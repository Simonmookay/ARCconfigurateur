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rien\OneDrive - CARBONERO Isolation\Bureau\"/>
    </mc:Choice>
  </mc:AlternateContent>
  <xr:revisionPtr revIDLastSave="0" documentId="8_{118FCEF6-1B2A-4522-8C9D-014C4A0B1DCD}" xr6:coauthVersionLast="47" xr6:coauthVersionMax="47" xr10:uidLastSave="{00000000-0000-0000-0000-000000000000}"/>
  <bookViews>
    <workbookView xWindow="-120" yWindow="-120" windowWidth="29040" windowHeight="15720" tabRatio="500" activeTab="3" xr2:uid="{00000000-000D-0000-FFFF-FFFF00000000}"/>
  </bookViews>
  <sheets>
    <sheet name="Notice d'utilisation" sheetId="1" r:id="rId1"/>
    <sheet name="Paramètres" sheetId="2" r:id="rId2"/>
    <sheet name="Sommaire" sheetId="3" r:id="rId3"/>
    <sheet name="Devis" sheetId="4" r:id="rId4"/>
    <sheet name="Coulissant 2 vantaux 2 rails" sheetId="5" state="hidden" r:id="rId5"/>
    <sheet name="Coulissant 3 vantaux 2 rails" sheetId="6" state="hidden" r:id="rId6"/>
    <sheet name="Coulissant 4 vantaux 2 rails" sheetId="7" state="hidden" r:id="rId7"/>
    <sheet name="Coulissant 3 vantaux 3 rails" sheetId="8" state="hidden" r:id="rId8"/>
    <sheet name="Coulissant 6 vantaux 3 rails" sheetId="9" state="hidden" r:id="rId9"/>
    <sheet name="Galandage 1 vantail 1 rail" sheetId="10" state="hidden" r:id="rId10"/>
    <sheet name="Galandage 2 vantaux 1 rail" sheetId="11" state="hidden" r:id="rId11"/>
    <sheet name="Galandage 2 vantaux 2 rails" sheetId="12" state="hidden" r:id="rId12"/>
    <sheet name="Galandage 4 vantaux 2 rails" sheetId="13" state="hidden" r:id="rId13"/>
    <sheet name="Châssis fixe vitré" sheetId="14" state="hidden" r:id="rId14"/>
    <sheet name="Porte Lourde 1 vantail" sheetId="15" state="hidden" r:id="rId15"/>
    <sheet name="Porte Lourde 2 vantaux" sheetId="16" state="hidden" r:id="rId16"/>
    <sheet name="Doubles Vitrages" sheetId="17" state="hidden" r:id="rId17"/>
    <sheet name="Options dormant" sheetId="18" state="hidden" r:id="rId18"/>
    <sheet name="Teintes &amp; Finitions" sheetId="19" state="hidden" r:id="rId19"/>
    <sheet name="_Données" sheetId="20" state="hidden" r:id="rId20"/>
    <sheet name="Fenêtre OF 1 vantail" sheetId="21" state="hidden" r:id="rId21"/>
    <sheet name="Fenêtre OF 2 vantaux" sheetId="22" state="hidden" r:id="rId22"/>
    <sheet name="Fenêtre OB 1 vantail" sheetId="23" state="hidden" r:id="rId23"/>
    <sheet name="Fenêtre OB 2 vantaux" sheetId="24" state="hidden" r:id="rId24"/>
  </sheets>
  <externalReferences>
    <externalReference r:id="rId25"/>
  </externalReferences>
  <definedNames>
    <definedName name="_xlnm.Print_Area" localSheetId="3">Devis!$A$1:$T$48</definedName>
    <definedName name="_xlnm.Print_Area" localSheetId="0">'Notice d''utilisation'!$B$1:$C$58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1" i="24" l="1"/>
  <c r="R51" i="24"/>
  <c r="Q51" i="24"/>
  <c r="P51" i="24"/>
  <c r="O51" i="24"/>
  <c r="N51" i="24"/>
  <c r="M51" i="24"/>
  <c r="L51" i="24"/>
  <c r="K51" i="24"/>
  <c r="J51" i="24"/>
  <c r="I51" i="24"/>
  <c r="H51" i="24"/>
  <c r="G51" i="24"/>
  <c r="F51" i="24"/>
  <c r="E51" i="24"/>
  <c r="D51" i="24"/>
  <c r="C51" i="24"/>
  <c r="B51" i="24"/>
  <c r="S50" i="24"/>
  <c r="R50" i="24"/>
  <c r="Q50" i="24"/>
  <c r="P50" i="24"/>
  <c r="O50" i="24"/>
  <c r="N50" i="24"/>
  <c r="M50" i="24"/>
  <c r="L50" i="24"/>
  <c r="K50" i="24"/>
  <c r="J50" i="24"/>
  <c r="I50" i="24"/>
  <c r="H50" i="24"/>
  <c r="G50" i="24"/>
  <c r="F50" i="24"/>
  <c r="E50" i="24"/>
  <c r="D50" i="24"/>
  <c r="C50" i="24"/>
  <c r="B50" i="24"/>
  <c r="S49" i="24"/>
  <c r="R49" i="24"/>
  <c r="Q49" i="24"/>
  <c r="P49" i="24"/>
  <c r="O49" i="24"/>
  <c r="N49" i="24"/>
  <c r="M49" i="24"/>
  <c r="L49" i="24"/>
  <c r="K49" i="24"/>
  <c r="J49" i="24"/>
  <c r="I49" i="24"/>
  <c r="H49" i="24"/>
  <c r="G49" i="24"/>
  <c r="F49" i="24"/>
  <c r="E49" i="24"/>
  <c r="D49" i="24"/>
  <c r="C49" i="24"/>
  <c r="B49" i="24"/>
  <c r="S48" i="24"/>
  <c r="R48" i="24"/>
  <c r="Q48" i="24"/>
  <c r="P48" i="24"/>
  <c r="O48" i="24"/>
  <c r="N48" i="24"/>
  <c r="M48" i="24"/>
  <c r="L48" i="24"/>
  <c r="K48" i="24"/>
  <c r="J48" i="24"/>
  <c r="I48" i="24"/>
  <c r="H48" i="24"/>
  <c r="G48" i="24"/>
  <c r="F48" i="24"/>
  <c r="E48" i="24"/>
  <c r="D48" i="24"/>
  <c r="C48" i="24"/>
  <c r="B48" i="24"/>
  <c r="S47" i="24"/>
  <c r="R47" i="24"/>
  <c r="Q47" i="24"/>
  <c r="P47" i="24"/>
  <c r="O47" i="24"/>
  <c r="N47" i="24"/>
  <c r="M47" i="24"/>
  <c r="L47" i="24"/>
  <c r="K47" i="24"/>
  <c r="J47" i="24"/>
  <c r="I47" i="24"/>
  <c r="H47" i="24"/>
  <c r="G47" i="24"/>
  <c r="F47" i="24"/>
  <c r="E47" i="24"/>
  <c r="D47" i="24"/>
  <c r="C47" i="24"/>
  <c r="B47" i="24"/>
  <c r="S46" i="24"/>
  <c r="R46" i="24"/>
  <c r="Q46" i="24"/>
  <c r="P46" i="24"/>
  <c r="O46" i="24"/>
  <c r="N46" i="24"/>
  <c r="M46" i="24"/>
  <c r="L46" i="24"/>
  <c r="K46" i="24"/>
  <c r="J46" i="24"/>
  <c r="I46" i="24"/>
  <c r="H46" i="24"/>
  <c r="G46" i="24"/>
  <c r="F46" i="24"/>
  <c r="E46" i="24"/>
  <c r="D46" i="24"/>
  <c r="C46" i="24"/>
  <c r="B46" i="24"/>
  <c r="S45" i="24"/>
  <c r="R45" i="24"/>
  <c r="Q45" i="24"/>
  <c r="P45" i="24"/>
  <c r="O45" i="24"/>
  <c r="N45" i="24"/>
  <c r="M45" i="24"/>
  <c r="L45" i="24"/>
  <c r="K45" i="24"/>
  <c r="J45" i="24"/>
  <c r="I45" i="24"/>
  <c r="H45" i="24"/>
  <c r="G45" i="24"/>
  <c r="F45" i="24"/>
  <c r="E45" i="24"/>
  <c r="D45" i="24"/>
  <c r="C45" i="24"/>
  <c r="B45" i="24"/>
  <c r="S44" i="24"/>
  <c r="R44" i="24"/>
  <c r="Q44" i="24"/>
  <c r="P44" i="24"/>
  <c r="O44" i="24"/>
  <c r="N44" i="24"/>
  <c r="M44" i="24"/>
  <c r="L44" i="24"/>
  <c r="K44" i="24"/>
  <c r="J44" i="24"/>
  <c r="I44" i="24"/>
  <c r="H44" i="24"/>
  <c r="G44" i="24"/>
  <c r="F44" i="24"/>
  <c r="E44" i="24"/>
  <c r="D44" i="24"/>
  <c r="C44" i="24"/>
  <c r="B44" i="24"/>
  <c r="S43" i="24"/>
  <c r="R43" i="24"/>
  <c r="Q43" i="24"/>
  <c r="P43" i="24"/>
  <c r="O43" i="24"/>
  <c r="N43" i="24"/>
  <c r="M43" i="24"/>
  <c r="L43" i="24"/>
  <c r="K43" i="24"/>
  <c r="J43" i="24"/>
  <c r="I43" i="24"/>
  <c r="H43" i="24"/>
  <c r="G43" i="24"/>
  <c r="F43" i="24"/>
  <c r="E43" i="24"/>
  <c r="D43" i="24"/>
  <c r="C43" i="24"/>
  <c r="B43" i="24"/>
  <c r="S42" i="24"/>
  <c r="R42" i="24"/>
  <c r="Q42" i="24"/>
  <c r="P42" i="24"/>
  <c r="O42" i="24"/>
  <c r="N42" i="24"/>
  <c r="M42" i="24"/>
  <c r="L42" i="24"/>
  <c r="K42" i="24"/>
  <c r="J42" i="24"/>
  <c r="I42" i="24"/>
  <c r="H42" i="24"/>
  <c r="G42" i="24"/>
  <c r="F42" i="24"/>
  <c r="E42" i="24"/>
  <c r="D42" i="24"/>
  <c r="C42" i="24"/>
  <c r="B42" i="24"/>
  <c r="S41" i="24"/>
  <c r="R41" i="24"/>
  <c r="Q41" i="24"/>
  <c r="P41" i="24"/>
  <c r="O41" i="24"/>
  <c r="N41" i="24"/>
  <c r="M41" i="24"/>
  <c r="L41" i="24"/>
  <c r="K41" i="24"/>
  <c r="J41" i="24"/>
  <c r="I41" i="24"/>
  <c r="H41" i="24"/>
  <c r="G41" i="24"/>
  <c r="F41" i="24"/>
  <c r="E41" i="24"/>
  <c r="D41" i="24"/>
  <c r="C41" i="24"/>
  <c r="B41" i="24"/>
  <c r="S40" i="24"/>
  <c r="R40" i="24"/>
  <c r="Q40" i="24"/>
  <c r="P40" i="24"/>
  <c r="O40" i="24"/>
  <c r="N40" i="24"/>
  <c r="M40" i="24"/>
  <c r="L40" i="24"/>
  <c r="K40" i="24"/>
  <c r="J40" i="24"/>
  <c r="I40" i="24"/>
  <c r="H40" i="24"/>
  <c r="G40" i="24"/>
  <c r="F40" i="24"/>
  <c r="E40" i="24"/>
  <c r="D40" i="24"/>
  <c r="C40" i="24"/>
  <c r="B40" i="24"/>
  <c r="S39" i="24"/>
  <c r="R39" i="24"/>
  <c r="Q39" i="24"/>
  <c r="P39" i="24"/>
  <c r="O39" i="24"/>
  <c r="N39" i="24"/>
  <c r="M39" i="24"/>
  <c r="L39" i="24"/>
  <c r="K39" i="24"/>
  <c r="J39" i="24"/>
  <c r="I39" i="24"/>
  <c r="H39" i="24"/>
  <c r="G39" i="24"/>
  <c r="F39" i="24"/>
  <c r="E39" i="24"/>
  <c r="D39" i="24"/>
  <c r="C39" i="24"/>
  <c r="B39" i="24"/>
  <c r="S38" i="24"/>
  <c r="R38" i="24"/>
  <c r="Q38" i="24"/>
  <c r="P38" i="24"/>
  <c r="O38" i="24"/>
  <c r="N38" i="24"/>
  <c r="M38" i="24"/>
  <c r="L38" i="24"/>
  <c r="K38" i="24"/>
  <c r="J38" i="24"/>
  <c r="I38" i="24"/>
  <c r="H38" i="24"/>
  <c r="G38" i="24"/>
  <c r="F38" i="24"/>
  <c r="E38" i="24"/>
  <c r="D38" i="24"/>
  <c r="C38" i="24"/>
  <c r="B38" i="24"/>
  <c r="S37" i="24"/>
  <c r="R37" i="24"/>
  <c r="Q37" i="24"/>
  <c r="P37" i="24"/>
  <c r="O37" i="24"/>
  <c r="N37" i="24"/>
  <c r="M37" i="24"/>
  <c r="L37" i="24"/>
  <c r="K37" i="24"/>
  <c r="J37" i="24"/>
  <c r="I37" i="24"/>
  <c r="H37" i="24"/>
  <c r="G37" i="24"/>
  <c r="F37" i="24"/>
  <c r="E37" i="24"/>
  <c r="D37" i="24"/>
  <c r="C37" i="24"/>
  <c r="B37" i="24"/>
  <c r="S36" i="24"/>
  <c r="R36" i="24"/>
  <c r="Q36" i="24"/>
  <c r="P36" i="24"/>
  <c r="O36" i="24"/>
  <c r="N36" i="24"/>
  <c r="M36" i="24"/>
  <c r="L36" i="24"/>
  <c r="K36" i="24"/>
  <c r="J36" i="24"/>
  <c r="I36" i="24"/>
  <c r="H36" i="24"/>
  <c r="G36" i="24"/>
  <c r="F36" i="24"/>
  <c r="E36" i="24"/>
  <c r="D36" i="24"/>
  <c r="C36" i="24"/>
  <c r="B36" i="24"/>
  <c r="S35" i="24"/>
  <c r="R35" i="24"/>
  <c r="Q35" i="24"/>
  <c r="P35" i="24"/>
  <c r="O35" i="24"/>
  <c r="N35" i="24"/>
  <c r="M35" i="24"/>
  <c r="L35" i="24"/>
  <c r="K35" i="24"/>
  <c r="J35" i="24"/>
  <c r="I35" i="24"/>
  <c r="H35" i="24"/>
  <c r="G35" i="24"/>
  <c r="F35" i="24"/>
  <c r="E35" i="24"/>
  <c r="D35" i="24"/>
  <c r="C35" i="24"/>
  <c r="B35" i="24"/>
  <c r="S34" i="24"/>
  <c r="R34" i="24"/>
  <c r="Q34" i="24"/>
  <c r="P34" i="24"/>
  <c r="O34" i="24"/>
  <c r="N34" i="24"/>
  <c r="M34" i="24"/>
  <c r="L34" i="24"/>
  <c r="K34" i="24"/>
  <c r="J34" i="24"/>
  <c r="I34" i="24"/>
  <c r="H34" i="24"/>
  <c r="G34" i="24"/>
  <c r="F34" i="24"/>
  <c r="E34" i="24"/>
  <c r="D34" i="24"/>
  <c r="C34" i="24"/>
  <c r="B34" i="24"/>
  <c r="S33" i="24"/>
  <c r="R33" i="24"/>
  <c r="Q33" i="24"/>
  <c r="P33" i="24"/>
  <c r="O33" i="24"/>
  <c r="N33" i="24"/>
  <c r="M33" i="24"/>
  <c r="L33" i="24"/>
  <c r="K33" i="24"/>
  <c r="J33" i="24"/>
  <c r="I33" i="24"/>
  <c r="H33" i="24"/>
  <c r="G33" i="24"/>
  <c r="F33" i="24"/>
  <c r="E33" i="24"/>
  <c r="D33" i="24"/>
  <c r="C33" i="24"/>
  <c r="B33" i="24"/>
  <c r="S32" i="24"/>
  <c r="R32" i="24"/>
  <c r="Q32" i="24"/>
  <c r="P32" i="24"/>
  <c r="O32" i="24"/>
  <c r="N32" i="24"/>
  <c r="M32" i="24"/>
  <c r="L32" i="24"/>
  <c r="K32" i="24"/>
  <c r="J32" i="24"/>
  <c r="I32" i="24"/>
  <c r="H32" i="24"/>
  <c r="G32" i="24"/>
  <c r="F32" i="24"/>
  <c r="E32" i="24"/>
  <c r="D32" i="24"/>
  <c r="C32" i="24"/>
  <c r="B32" i="24"/>
  <c r="S31" i="24"/>
  <c r="R31" i="24"/>
  <c r="Q31" i="24"/>
  <c r="P31" i="24"/>
  <c r="O31" i="24"/>
  <c r="N31" i="24"/>
  <c r="M31" i="24"/>
  <c r="L31" i="24"/>
  <c r="K31" i="24"/>
  <c r="J31" i="24"/>
  <c r="I31" i="24"/>
  <c r="H31" i="24"/>
  <c r="G31" i="24"/>
  <c r="F31" i="24"/>
  <c r="E31" i="24"/>
  <c r="D31" i="24"/>
  <c r="C31" i="24"/>
  <c r="B31" i="24"/>
  <c r="B29" i="24"/>
  <c r="K51" i="23"/>
  <c r="J51" i="23"/>
  <c r="I51" i="23"/>
  <c r="H51" i="23"/>
  <c r="G51" i="23"/>
  <c r="F51" i="23"/>
  <c r="E51" i="23"/>
  <c r="D51" i="23"/>
  <c r="C51" i="23"/>
  <c r="B51" i="23"/>
  <c r="K50" i="23"/>
  <c r="J50" i="23"/>
  <c r="I50" i="23"/>
  <c r="H50" i="23"/>
  <c r="G50" i="23"/>
  <c r="F50" i="23"/>
  <c r="E50" i="23"/>
  <c r="D50" i="23"/>
  <c r="C50" i="23"/>
  <c r="B50" i="23"/>
  <c r="K49" i="23"/>
  <c r="J49" i="23"/>
  <c r="I49" i="23"/>
  <c r="H49" i="23"/>
  <c r="G49" i="23"/>
  <c r="F49" i="23"/>
  <c r="E49" i="23"/>
  <c r="D49" i="23"/>
  <c r="C49" i="23"/>
  <c r="B49" i="23"/>
  <c r="K48" i="23"/>
  <c r="J48" i="23"/>
  <c r="I48" i="23"/>
  <c r="H48" i="23"/>
  <c r="G48" i="23"/>
  <c r="F48" i="23"/>
  <c r="E48" i="23"/>
  <c r="D48" i="23"/>
  <c r="C48" i="23"/>
  <c r="B48" i="23"/>
  <c r="K47" i="23"/>
  <c r="J47" i="23"/>
  <c r="I47" i="23"/>
  <c r="H47" i="23"/>
  <c r="G47" i="23"/>
  <c r="F47" i="23"/>
  <c r="E47" i="23"/>
  <c r="D47" i="23"/>
  <c r="C47" i="23"/>
  <c r="B47" i="23"/>
  <c r="K46" i="23"/>
  <c r="J46" i="23"/>
  <c r="I46" i="23"/>
  <c r="H46" i="23"/>
  <c r="G46" i="23"/>
  <c r="F46" i="23"/>
  <c r="E46" i="23"/>
  <c r="D46" i="23"/>
  <c r="C46" i="23"/>
  <c r="B46" i="23"/>
  <c r="K45" i="23"/>
  <c r="J45" i="23"/>
  <c r="I45" i="23"/>
  <c r="H45" i="23"/>
  <c r="G45" i="23"/>
  <c r="F45" i="23"/>
  <c r="E45" i="23"/>
  <c r="D45" i="23"/>
  <c r="C45" i="23"/>
  <c r="B45" i="23"/>
  <c r="K44" i="23"/>
  <c r="J44" i="23"/>
  <c r="I44" i="23"/>
  <c r="H44" i="23"/>
  <c r="G44" i="23"/>
  <c r="F44" i="23"/>
  <c r="E44" i="23"/>
  <c r="D44" i="23"/>
  <c r="C44" i="23"/>
  <c r="B44" i="23"/>
  <c r="K43" i="23"/>
  <c r="J43" i="23"/>
  <c r="I43" i="23"/>
  <c r="H43" i="23"/>
  <c r="G43" i="23"/>
  <c r="F43" i="23"/>
  <c r="E43" i="23"/>
  <c r="D43" i="23"/>
  <c r="C43" i="23"/>
  <c r="B43" i="23"/>
  <c r="K42" i="23"/>
  <c r="J42" i="23"/>
  <c r="I42" i="23"/>
  <c r="H42" i="23"/>
  <c r="G42" i="23"/>
  <c r="F42" i="23"/>
  <c r="E42" i="23"/>
  <c r="D42" i="23"/>
  <c r="C42" i="23"/>
  <c r="B42" i="23"/>
  <c r="K41" i="23"/>
  <c r="J41" i="23"/>
  <c r="I41" i="23"/>
  <c r="H41" i="23"/>
  <c r="G41" i="23"/>
  <c r="F41" i="23"/>
  <c r="E41" i="23"/>
  <c r="D41" i="23"/>
  <c r="C41" i="23"/>
  <c r="B41" i="23"/>
  <c r="K40" i="23"/>
  <c r="J40" i="23"/>
  <c r="I40" i="23"/>
  <c r="H40" i="23"/>
  <c r="G40" i="23"/>
  <c r="F40" i="23"/>
  <c r="E40" i="23"/>
  <c r="D40" i="23"/>
  <c r="C40" i="23"/>
  <c r="B40" i="23"/>
  <c r="K39" i="23"/>
  <c r="J39" i="23"/>
  <c r="I39" i="23"/>
  <c r="H39" i="23"/>
  <c r="G39" i="23"/>
  <c r="F39" i="23"/>
  <c r="E39" i="23"/>
  <c r="D39" i="23"/>
  <c r="C39" i="23"/>
  <c r="B39" i="23"/>
  <c r="K38" i="23"/>
  <c r="J38" i="23"/>
  <c r="I38" i="23"/>
  <c r="H38" i="23"/>
  <c r="G38" i="23"/>
  <c r="F38" i="23"/>
  <c r="E38" i="23"/>
  <c r="D38" i="23"/>
  <c r="C38" i="23"/>
  <c r="B38" i="23"/>
  <c r="K37" i="23"/>
  <c r="J37" i="23"/>
  <c r="I37" i="23"/>
  <c r="H37" i="23"/>
  <c r="G37" i="23"/>
  <c r="F37" i="23"/>
  <c r="E37" i="23"/>
  <c r="D37" i="23"/>
  <c r="C37" i="23"/>
  <c r="B37" i="23"/>
  <c r="K36" i="23"/>
  <c r="J36" i="23"/>
  <c r="I36" i="23"/>
  <c r="H36" i="23"/>
  <c r="G36" i="23"/>
  <c r="F36" i="23"/>
  <c r="E36" i="23"/>
  <c r="D36" i="23"/>
  <c r="C36" i="23"/>
  <c r="B36" i="23"/>
  <c r="K35" i="23"/>
  <c r="J35" i="23"/>
  <c r="I35" i="23"/>
  <c r="H35" i="23"/>
  <c r="G35" i="23"/>
  <c r="F35" i="23"/>
  <c r="E35" i="23"/>
  <c r="D35" i="23"/>
  <c r="C35" i="23"/>
  <c r="B35" i="23"/>
  <c r="K34" i="23"/>
  <c r="J34" i="23"/>
  <c r="I34" i="23"/>
  <c r="H34" i="23"/>
  <c r="G34" i="23"/>
  <c r="F34" i="23"/>
  <c r="E34" i="23"/>
  <c r="D34" i="23"/>
  <c r="C34" i="23"/>
  <c r="B34" i="23"/>
  <c r="K33" i="23"/>
  <c r="J33" i="23"/>
  <c r="I33" i="23"/>
  <c r="H33" i="23"/>
  <c r="G33" i="23"/>
  <c r="F33" i="23"/>
  <c r="E33" i="23"/>
  <c r="D33" i="23"/>
  <c r="C33" i="23"/>
  <c r="B33" i="23"/>
  <c r="K32" i="23"/>
  <c r="J32" i="23"/>
  <c r="I32" i="23"/>
  <c r="H32" i="23"/>
  <c r="G32" i="23"/>
  <c r="F32" i="23"/>
  <c r="E32" i="23"/>
  <c r="D32" i="23"/>
  <c r="C32" i="23"/>
  <c r="B32" i="23"/>
  <c r="K31" i="23"/>
  <c r="J31" i="23"/>
  <c r="I31" i="23"/>
  <c r="H31" i="23"/>
  <c r="G31" i="23"/>
  <c r="F31" i="23"/>
  <c r="E31" i="23"/>
  <c r="D31" i="23"/>
  <c r="C31" i="23"/>
  <c r="B31" i="23"/>
  <c r="B29" i="23"/>
  <c r="S75" i="22"/>
  <c r="R75" i="22"/>
  <c r="Q75" i="22"/>
  <c r="P75" i="22"/>
  <c r="O75" i="22"/>
  <c r="N75" i="22"/>
  <c r="M75" i="22"/>
  <c r="L75" i="22"/>
  <c r="K75" i="22"/>
  <c r="J75" i="22"/>
  <c r="I75" i="22"/>
  <c r="H75" i="22"/>
  <c r="G75" i="22"/>
  <c r="F75" i="22"/>
  <c r="E75" i="22"/>
  <c r="D75" i="22"/>
  <c r="C75" i="22"/>
  <c r="B75" i="22"/>
  <c r="S74" i="22"/>
  <c r="R74" i="22"/>
  <c r="Q74" i="22"/>
  <c r="P74" i="22"/>
  <c r="O74" i="22"/>
  <c r="N74" i="22"/>
  <c r="M74" i="22"/>
  <c r="L74" i="22"/>
  <c r="K74" i="22"/>
  <c r="J74" i="22"/>
  <c r="I74" i="22"/>
  <c r="H74" i="22"/>
  <c r="G74" i="22"/>
  <c r="F74" i="22"/>
  <c r="E74" i="22"/>
  <c r="D74" i="22"/>
  <c r="C74" i="22"/>
  <c r="B74" i="22"/>
  <c r="S73" i="22"/>
  <c r="R73" i="22"/>
  <c r="Q73" i="22"/>
  <c r="P73" i="22"/>
  <c r="O73" i="22"/>
  <c r="N73" i="22"/>
  <c r="M73" i="22"/>
  <c r="L73" i="22"/>
  <c r="K73" i="22"/>
  <c r="J73" i="22"/>
  <c r="I73" i="22"/>
  <c r="H73" i="22"/>
  <c r="G73" i="22"/>
  <c r="F73" i="22"/>
  <c r="E73" i="22"/>
  <c r="D73" i="22"/>
  <c r="C73" i="22"/>
  <c r="B73" i="22"/>
  <c r="S72" i="22"/>
  <c r="R72" i="22"/>
  <c r="Q72" i="22"/>
  <c r="P72" i="22"/>
  <c r="O72" i="22"/>
  <c r="N72" i="22"/>
  <c r="M72" i="22"/>
  <c r="L72" i="22"/>
  <c r="K72" i="22"/>
  <c r="J72" i="22"/>
  <c r="I72" i="22"/>
  <c r="H72" i="22"/>
  <c r="G72" i="22"/>
  <c r="F72" i="22"/>
  <c r="E72" i="22"/>
  <c r="D72" i="22"/>
  <c r="C72" i="22"/>
  <c r="B72" i="22"/>
  <c r="S71" i="22"/>
  <c r="R71" i="22"/>
  <c r="Q71" i="22"/>
  <c r="P71" i="22"/>
  <c r="O71" i="22"/>
  <c r="N71" i="22"/>
  <c r="M71" i="22"/>
  <c r="L71" i="22"/>
  <c r="K71" i="22"/>
  <c r="J71" i="22"/>
  <c r="I71" i="22"/>
  <c r="H71" i="22"/>
  <c r="G71" i="22"/>
  <c r="F71" i="22"/>
  <c r="E71" i="22"/>
  <c r="D71" i="22"/>
  <c r="C71" i="22"/>
  <c r="B71" i="22"/>
  <c r="S70" i="22"/>
  <c r="R70" i="22"/>
  <c r="Q70" i="22"/>
  <c r="P70" i="22"/>
  <c r="O70" i="22"/>
  <c r="N70" i="22"/>
  <c r="M70" i="22"/>
  <c r="L70" i="22"/>
  <c r="K70" i="22"/>
  <c r="J70" i="22"/>
  <c r="I70" i="22"/>
  <c r="H70" i="22"/>
  <c r="G70" i="22"/>
  <c r="F70" i="22"/>
  <c r="E70" i="22"/>
  <c r="D70" i="22"/>
  <c r="C70" i="22"/>
  <c r="B70" i="22"/>
  <c r="S69" i="22"/>
  <c r="R69" i="22"/>
  <c r="Q69" i="22"/>
  <c r="P69" i="22"/>
  <c r="O69" i="22"/>
  <c r="N69" i="22"/>
  <c r="M69" i="22"/>
  <c r="L69" i="22"/>
  <c r="K69" i="22"/>
  <c r="J69" i="22"/>
  <c r="I69" i="22"/>
  <c r="H69" i="22"/>
  <c r="G69" i="22"/>
  <c r="F69" i="22"/>
  <c r="E69" i="22"/>
  <c r="D69" i="22"/>
  <c r="C69" i="22"/>
  <c r="B69" i="22"/>
  <c r="S68" i="22"/>
  <c r="R68" i="22"/>
  <c r="Q68" i="22"/>
  <c r="P68" i="22"/>
  <c r="O68" i="22"/>
  <c r="N68" i="22"/>
  <c r="M68" i="22"/>
  <c r="L68" i="22"/>
  <c r="K68" i="22"/>
  <c r="J68" i="22"/>
  <c r="I68" i="22"/>
  <c r="H68" i="22"/>
  <c r="G68" i="22"/>
  <c r="F68" i="22"/>
  <c r="E68" i="22"/>
  <c r="D68" i="22"/>
  <c r="C68" i="22"/>
  <c r="B68" i="22"/>
  <c r="S67" i="22"/>
  <c r="R67" i="22"/>
  <c r="Q67" i="22"/>
  <c r="P67" i="22"/>
  <c r="O67" i="22"/>
  <c r="N67" i="22"/>
  <c r="M67" i="22"/>
  <c r="L67" i="22"/>
  <c r="K67" i="22"/>
  <c r="J67" i="22"/>
  <c r="I67" i="22"/>
  <c r="H67" i="22"/>
  <c r="G67" i="22"/>
  <c r="F67" i="22"/>
  <c r="E67" i="22"/>
  <c r="D67" i="22"/>
  <c r="C67" i="22"/>
  <c r="B67" i="22"/>
  <c r="S66" i="22"/>
  <c r="R66" i="22"/>
  <c r="Q66" i="22"/>
  <c r="P66" i="22"/>
  <c r="O66" i="22"/>
  <c r="N66" i="22"/>
  <c r="M66" i="22"/>
  <c r="L66" i="22"/>
  <c r="K66" i="22"/>
  <c r="J66" i="22"/>
  <c r="I66" i="22"/>
  <c r="H66" i="22"/>
  <c r="G66" i="22"/>
  <c r="F66" i="22"/>
  <c r="E66" i="22"/>
  <c r="D66" i="22"/>
  <c r="C66" i="22"/>
  <c r="B66" i="22"/>
  <c r="S65" i="22"/>
  <c r="R65" i="22"/>
  <c r="Q65" i="22"/>
  <c r="P65" i="22"/>
  <c r="O65" i="22"/>
  <c r="N65" i="22"/>
  <c r="M65" i="22"/>
  <c r="L65" i="22"/>
  <c r="K65" i="22"/>
  <c r="J65" i="22"/>
  <c r="I65" i="22"/>
  <c r="H65" i="22"/>
  <c r="G65" i="22"/>
  <c r="F65" i="22"/>
  <c r="E65" i="22"/>
  <c r="D65" i="22"/>
  <c r="C65" i="22"/>
  <c r="B65" i="22"/>
  <c r="S64" i="22"/>
  <c r="R64" i="22"/>
  <c r="Q64" i="22"/>
  <c r="P64" i="22"/>
  <c r="O64" i="22"/>
  <c r="N64" i="22"/>
  <c r="M64" i="22"/>
  <c r="L64" i="22"/>
  <c r="K64" i="22"/>
  <c r="J64" i="22"/>
  <c r="I64" i="22"/>
  <c r="H64" i="22"/>
  <c r="G64" i="22"/>
  <c r="F64" i="22"/>
  <c r="E64" i="22"/>
  <c r="D64" i="22"/>
  <c r="C64" i="22"/>
  <c r="B64" i="22"/>
  <c r="S63" i="22"/>
  <c r="R63" i="22"/>
  <c r="Q63" i="22"/>
  <c r="P63" i="22"/>
  <c r="O63" i="22"/>
  <c r="N63" i="22"/>
  <c r="M63" i="22"/>
  <c r="L63" i="22"/>
  <c r="K63" i="22"/>
  <c r="J63" i="22"/>
  <c r="I63" i="22"/>
  <c r="H63" i="22"/>
  <c r="G63" i="22"/>
  <c r="F63" i="22"/>
  <c r="E63" i="22"/>
  <c r="D63" i="22"/>
  <c r="C63" i="22"/>
  <c r="B63" i="22"/>
  <c r="S62" i="22"/>
  <c r="R62" i="22"/>
  <c r="Q62" i="22"/>
  <c r="P62" i="22"/>
  <c r="O62" i="22"/>
  <c r="N62" i="22"/>
  <c r="M62" i="22"/>
  <c r="L62" i="22"/>
  <c r="K62" i="22"/>
  <c r="J62" i="22"/>
  <c r="I62" i="22"/>
  <c r="H62" i="22"/>
  <c r="G62" i="22"/>
  <c r="F62" i="22"/>
  <c r="E62" i="22"/>
  <c r="D62" i="22"/>
  <c r="C62" i="22"/>
  <c r="B62" i="22"/>
  <c r="S61" i="22"/>
  <c r="R61" i="22"/>
  <c r="Q61" i="22"/>
  <c r="P61" i="22"/>
  <c r="O61" i="22"/>
  <c r="N61" i="22"/>
  <c r="M61" i="22"/>
  <c r="L61" i="22"/>
  <c r="K61" i="22"/>
  <c r="J61" i="22"/>
  <c r="I61" i="22"/>
  <c r="H61" i="22"/>
  <c r="G61" i="22"/>
  <c r="F61" i="22"/>
  <c r="E61" i="22"/>
  <c r="D61" i="22"/>
  <c r="C61" i="22"/>
  <c r="B61" i="22"/>
  <c r="S60" i="22"/>
  <c r="R60" i="22"/>
  <c r="Q60" i="22"/>
  <c r="P60" i="22"/>
  <c r="O60" i="22"/>
  <c r="N60" i="22"/>
  <c r="M60" i="22"/>
  <c r="L60" i="22"/>
  <c r="K60" i="22"/>
  <c r="J60" i="22"/>
  <c r="I60" i="22"/>
  <c r="H60" i="22"/>
  <c r="G60" i="22"/>
  <c r="F60" i="22"/>
  <c r="E60" i="22"/>
  <c r="D60" i="22"/>
  <c r="C60" i="22"/>
  <c r="B60" i="22"/>
  <c r="S59" i="22"/>
  <c r="R59" i="22"/>
  <c r="Q59" i="22"/>
  <c r="P59" i="22"/>
  <c r="O59" i="22"/>
  <c r="N59" i="22"/>
  <c r="M59" i="22"/>
  <c r="L59" i="22"/>
  <c r="K59" i="22"/>
  <c r="J59" i="22"/>
  <c r="I59" i="22"/>
  <c r="H59" i="22"/>
  <c r="G59" i="22"/>
  <c r="F59" i="22"/>
  <c r="E59" i="22"/>
  <c r="D59" i="22"/>
  <c r="C59" i="22"/>
  <c r="B59" i="22"/>
  <c r="S58" i="22"/>
  <c r="R58" i="22"/>
  <c r="Q58" i="22"/>
  <c r="P58" i="22"/>
  <c r="O58" i="22"/>
  <c r="N58" i="22"/>
  <c r="M58" i="22"/>
  <c r="L58" i="22"/>
  <c r="K58" i="22"/>
  <c r="J58" i="22"/>
  <c r="I58" i="22"/>
  <c r="H58" i="22"/>
  <c r="G58" i="22"/>
  <c r="F58" i="22"/>
  <c r="E58" i="22"/>
  <c r="D58" i="22"/>
  <c r="C58" i="22"/>
  <c r="B58" i="22"/>
  <c r="S57" i="22"/>
  <c r="R57" i="22"/>
  <c r="Q57" i="22"/>
  <c r="P57" i="22"/>
  <c r="O57" i="22"/>
  <c r="N57" i="22"/>
  <c r="M57" i="22"/>
  <c r="L57" i="22"/>
  <c r="K57" i="22"/>
  <c r="J57" i="22"/>
  <c r="I57" i="22"/>
  <c r="H57" i="22"/>
  <c r="G57" i="22"/>
  <c r="F57" i="22"/>
  <c r="E57" i="22"/>
  <c r="D57" i="22"/>
  <c r="C57" i="22"/>
  <c r="B57" i="22"/>
  <c r="S56" i="22"/>
  <c r="R56" i="22"/>
  <c r="Q56" i="22"/>
  <c r="P56" i="22"/>
  <c r="O56" i="22"/>
  <c r="N56" i="22"/>
  <c r="M56" i="22"/>
  <c r="L56" i="22"/>
  <c r="K56" i="22"/>
  <c r="J56" i="22"/>
  <c r="I56" i="22"/>
  <c r="H56" i="22"/>
  <c r="G56" i="22"/>
  <c r="F56" i="22"/>
  <c r="E56" i="22"/>
  <c r="D56" i="22"/>
  <c r="C56" i="22"/>
  <c r="B56" i="22"/>
  <c r="S55" i="22"/>
  <c r="R55" i="22"/>
  <c r="Q55" i="22"/>
  <c r="P55" i="22"/>
  <c r="O55" i="22"/>
  <c r="N55" i="22"/>
  <c r="M55" i="22"/>
  <c r="L55" i="22"/>
  <c r="K55" i="22"/>
  <c r="J55" i="22"/>
  <c r="I55" i="22"/>
  <c r="H55" i="22"/>
  <c r="G55" i="22"/>
  <c r="F55" i="22"/>
  <c r="E55" i="22"/>
  <c r="D55" i="22"/>
  <c r="C55" i="22"/>
  <c r="B55" i="22"/>
  <c r="B53" i="22"/>
  <c r="K75" i="21"/>
  <c r="J75" i="21"/>
  <c r="I75" i="21"/>
  <c r="H75" i="21"/>
  <c r="G75" i="21"/>
  <c r="F75" i="21"/>
  <c r="E75" i="21"/>
  <c r="D75" i="21"/>
  <c r="C75" i="21"/>
  <c r="B75" i="21"/>
  <c r="K74" i="21"/>
  <c r="J74" i="21"/>
  <c r="I74" i="21"/>
  <c r="H74" i="21"/>
  <c r="G74" i="21"/>
  <c r="F74" i="21"/>
  <c r="E74" i="21"/>
  <c r="D74" i="21"/>
  <c r="C74" i="21"/>
  <c r="B74" i="21"/>
  <c r="K73" i="21"/>
  <c r="J73" i="21"/>
  <c r="I73" i="21"/>
  <c r="H73" i="21"/>
  <c r="G73" i="21"/>
  <c r="F73" i="21"/>
  <c r="E73" i="21"/>
  <c r="D73" i="21"/>
  <c r="C73" i="21"/>
  <c r="B73" i="21"/>
  <c r="K72" i="21"/>
  <c r="J72" i="21"/>
  <c r="I72" i="21"/>
  <c r="H72" i="21"/>
  <c r="G72" i="21"/>
  <c r="F72" i="21"/>
  <c r="E72" i="21"/>
  <c r="D72" i="21"/>
  <c r="C72" i="21"/>
  <c r="B72" i="21"/>
  <c r="K71" i="21"/>
  <c r="J71" i="21"/>
  <c r="I71" i="21"/>
  <c r="H71" i="21"/>
  <c r="G71" i="21"/>
  <c r="F71" i="21"/>
  <c r="E71" i="21"/>
  <c r="D71" i="21"/>
  <c r="C71" i="21"/>
  <c r="B71" i="21"/>
  <c r="K70" i="21"/>
  <c r="J70" i="21"/>
  <c r="I70" i="21"/>
  <c r="H70" i="21"/>
  <c r="G70" i="21"/>
  <c r="F70" i="21"/>
  <c r="E70" i="21"/>
  <c r="D70" i="21"/>
  <c r="C70" i="21"/>
  <c r="B70" i="21"/>
  <c r="K69" i="21"/>
  <c r="J69" i="21"/>
  <c r="I69" i="21"/>
  <c r="H69" i="21"/>
  <c r="G69" i="21"/>
  <c r="F69" i="21"/>
  <c r="E69" i="21"/>
  <c r="D69" i="21"/>
  <c r="C69" i="21"/>
  <c r="B69" i="21"/>
  <c r="K68" i="21"/>
  <c r="J68" i="21"/>
  <c r="I68" i="21"/>
  <c r="H68" i="21"/>
  <c r="G68" i="21"/>
  <c r="F68" i="21"/>
  <c r="E68" i="21"/>
  <c r="D68" i="21"/>
  <c r="C68" i="21"/>
  <c r="B68" i="21"/>
  <c r="K67" i="21"/>
  <c r="J67" i="21"/>
  <c r="I67" i="21"/>
  <c r="H67" i="21"/>
  <c r="G67" i="21"/>
  <c r="F67" i="21"/>
  <c r="E67" i="21"/>
  <c r="D67" i="21"/>
  <c r="C67" i="21"/>
  <c r="B67" i="21"/>
  <c r="K66" i="21"/>
  <c r="J66" i="21"/>
  <c r="I66" i="21"/>
  <c r="H66" i="21"/>
  <c r="G66" i="21"/>
  <c r="F66" i="21"/>
  <c r="E66" i="21"/>
  <c r="D66" i="21"/>
  <c r="C66" i="21"/>
  <c r="B66" i="21"/>
  <c r="K65" i="21"/>
  <c r="J65" i="21"/>
  <c r="I65" i="21"/>
  <c r="H65" i="21"/>
  <c r="G65" i="21"/>
  <c r="F65" i="21"/>
  <c r="E65" i="21"/>
  <c r="D65" i="21"/>
  <c r="C65" i="21"/>
  <c r="B65" i="21"/>
  <c r="K64" i="21"/>
  <c r="J64" i="21"/>
  <c r="I64" i="21"/>
  <c r="H64" i="21"/>
  <c r="G64" i="21"/>
  <c r="F64" i="21"/>
  <c r="E64" i="21"/>
  <c r="D64" i="21"/>
  <c r="C64" i="21"/>
  <c r="B64" i="21"/>
  <c r="K63" i="21"/>
  <c r="J63" i="21"/>
  <c r="I63" i="21"/>
  <c r="H63" i="21"/>
  <c r="G63" i="21"/>
  <c r="F63" i="21"/>
  <c r="E63" i="21"/>
  <c r="D63" i="21"/>
  <c r="C63" i="21"/>
  <c r="B63" i="21"/>
  <c r="K62" i="21"/>
  <c r="J62" i="21"/>
  <c r="I62" i="21"/>
  <c r="H62" i="21"/>
  <c r="G62" i="21"/>
  <c r="F62" i="21"/>
  <c r="E62" i="21"/>
  <c r="D62" i="21"/>
  <c r="C62" i="21"/>
  <c r="B62" i="21"/>
  <c r="K61" i="21"/>
  <c r="J61" i="21"/>
  <c r="I61" i="21"/>
  <c r="H61" i="21"/>
  <c r="G61" i="21"/>
  <c r="F61" i="21"/>
  <c r="E61" i="21"/>
  <c r="D61" i="21"/>
  <c r="C61" i="21"/>
  <c r="B61" i="21"/>
  <c r="K60" i="21"/>
  <c r="J60" i="21"/>
  <c r="I60" i="21"/>
  <c r="H60" i="21"/>
  <c r="G60" i="21"/>
  <c r="F60" i="21"/>
  <c r="E60" i="21"/>
  <c r="D60" i="21"/>
  <c r="C60" i="21"/>
  <c r="B60" i="21"/>
  <c r="K59" i="21"/>
  <c r="J59" i="21"/>
  <c r="I59" i="21"/>
  <c r="H59" i="21"/>
  <c r="G59" i="21"/>
  <c r="F59" i="21"/>
  <c r="E59" i="21"/>
  <c r="D59" i="21"/>
  <c r="C59" i="21"/>
  <c r="B59" i="21"/>
  <c r="K58" i="21"/>
  <c r="J58" i="21"/>
  <c r="I58" i="21"/>
  <c r="H58" i="21"/>
  <c r="G58" i="21"/>
  <c r="F58" i="21"/>
  <c r="E58" i="21"/>
  <c r="D58" i="21"/>
  <c r="C58" i="21"/>
  <c r="B58" i="21"/>
  <c r="K57" i="21"/>
  <c r="J57" i="21"/>
  <c r="I57" i="21"/>
  <c r="H57" i="21"/>
  <c r="G57" i="21"/>
  <c r="F57" i="21"/>
  <c r="E57" i="21"/>
  <c r="D57" i="21"/>
  <c r="C57" i="21"/>
  <c r="B57" i="21"/>
  <c r="K56" i="21"/>
  <c r="J56" i="21"/>
  <c r="I56" i="21"/>
  <c r="H56" i="21"/>
  <c r="G56" i="21"/>
  <c r="F56" i="21"/>
  <c r="E56" i="21"/>
  <c r="D56" i="21"/>
  <c r="C56" i="21"/>
  <c r="B56" i="21"/>
  <c r="K55" i="21"/>
  <c r="J55" i="21"/>
  <c r="I55" i="21"/>
  <c r="H55" i="21"/>
  <c r="G55" i="21"/>
  <c r="F55" i="21"/>
  <c r="E55" i="21"/>
  <c r="D55" i="21"/>
  <c r="C55" i="21"/>
  <c r="B55" i="21"/>
  <c r="B53" i="21"/>
  <c r="C23" i="18"/>
  <c r="C22" i="18"/>
  <c r="C18" i="18"/>
  <c r="C17" i="18"/>
  <c r="C13" i="18"/>
  <c r="C12" i="18"/>
  <c r="C7" i="18"/>
  <c r="C6" i="18"/>
  <c r="L77" i="17"/>
  <c r="L76" i="17"/>
  <c r="L75" i="17"/>
  <c r="L74" i="17"/>
  <c r="L73" i="17"/>
  <c r="L72" i="17"/>
  <c r="L71" i="17"/>
  <c r="L70" i="17"/>
  <c r="L66" i="17"/>
  <c r="L65" i="17"/>
  <c r="L64" i="17"/>
  <c r="L63" i="17"/>
  <c r="L62" i="17"/>
  <c r="L61" i="17"/>
  <c r="L60" i="17"/>
  <c r="L59" i="17"/>
  <c r="L58" i="17"/>
  <c r="L57" i="17"/>
  <c r="L56" i="17"/>
  <c r="L55" i="17"/>
  <c r="L54" i="17"/>
  <c r="L53" i="17"/>
  <c r="L52" i="17"/>
  <c r="L51" i="17"/>
  <c r="L50" i="17"/>
  <c r="L49" i="17"/>
  <c r="L48" i="17"/>
  <c r="L47" i="17"/>
  <c r="L46" i="17"/>
  <c r="L45" i="17"/>
  <c r="L44" i="17"/>
  <c r="L43" i="17"/>
  <c r="L42" i="17"/>
  <c r="L38" i="17"/>
  <c r="L37" i="17"/>
  <c r="L33" i="17"/>
  <c r="L32" i="17"/>
  <c r="L31" i="17"/>
  <c r="L30" i="17"/>
  <c r="L29" i="17"/>
  <c r="L28" i="17"/>
  <c r="L27" i="17"/>
  <c r="L26" i="17"/>
  <c r="L25" i="17"/>
  <c r="L21" i="17"/>
  <c r="L20" i="17"/>
  <c r="L19" i="17"/>
  <c r="L18" i="17"/>
  <c r="L17" i="17"/>
  <c r="L16" i="17"/>
  <c r="L15" i="17"/>
  <c r="L14" i="17"/>
  <c r="L13" i="17"/>
  <c r="L12" i="17"/>
  <c r="L8" i="17"/>
  <c r="L7" i="17"/>
  <c r="L6" i="17"/>
  <c r="L5" i="17"/>
  <c r="O25" i="16"/>
  <c r="N25" i="16"/>
  <c r="M25" i="16"/>
  <c r="L25" i="16"/>
  <c r="K25" i="16"/>
  <c r="J25" i="16"/>
  <c r="I25" i="16"/>
  <c r="H25" i="16"/>
  <c r="G25" i="16"/>
  <c r="F25" i="16"/>
  <c r="E25" i="16"/>
  <c r="D25" i="16"/>
  <c r="C25" i="16"/>
  <c r="B25" i="16"/>
  <c r="O24" i="16"/>
  <c r="N24" i="16"/>
  <c r="M24" i="16"/>
  <c r="L24" i="16"/>
  <c r="K24" i="16"/>
  <c r="J24" i="16"/>
  <c r="I24" i="16"/>
  <c r="H24" i="16"/>
  <c r="G24" i="16"/>
  <c r="F24" i="16"/>
  <c r="E24" i="16"/>
  <c r="D24" i="16"/>
  <c r="C24" i="16"/>
  <c r="B24" i="16"/>
  <c r="O23" i="16"/>
  <c r="N23" i="16"/>
  <c r="M23" i="16"/>
  <c r="L23" i="16"/>
  <c r="K23" i="16"/>
  <c r="J23" i="16"/>
  <c r="I23" i="16"/>
  <c r="H23" i="16"/>
  <c r="G23" i="16"/>
  <c r="F23" i="16"/>
  <c r="E23" i="16"/>
  <c r="D23" i="16"/>
  <c r="C23" i="16"/>
  <c r="B23" i="16"/>
  <c r="O22" i="16"/>
  <c r="N22" i="16"/>
  <c r="M22" i="16"/>
  <c r="L22" i="16"/>
  <c r="K22" i="16"/>
  <c r="J22" i="16"/>
  <c r="I22" i="16"/>
  <c r="H22" i="16"/>
  <c r="G22" i="16"/>
  <c r="F22" i="16"/>
  <c r="E22" i="16"/>
  <c r="D22" i="16"/>
  <c r="C22" i="16"/>
  <c r="B22" i="16"/>
  <c r="O21" i="16"/>
  <c r="N21" i="16"/>
  <c r="M21" i="16"/>
  <c r="L21" i="16"/>
  <c r="K21" i="16"/>
  <c r="J21" i="16"/>
  <c r="I21" i="16"/>
  <c r="H21" i="16"/>
  <c r="G21" i="16"/>
  <c r="F21" i="16"/>
  <c r="E21" i="16"/>
  <c r="D21" i="16"/>
  <c r="C21" i="16"/>
  <c r="B21" i="16"/>
  <c r="O20" i="16"/>
  <c r="N20" i="16"/>
  <c r="M20" i="16"/>
  <c r="L20" i="16"/>
  <c r="K20" i="16"/>
  <c r="J20" i="16"/>
  <c r="I20" i="16"/>
  <c r="H20" i="16"/>
  <c r="G20" i="16"/>
  <c r="F20" i="16"/>
  <c r="E20" i="16"/>
  <c r="D20" i="16"/>
  <c r="C20" i="16"/>
  <c r="B20" i="16"/>
  <c r="O19" i="16"/>
  <c r="N19" i="16"/>
  <c r="M19" i="16"/>
  <c r="L19" i="16"/>
  <c r="K19" i="16"/>
  <c r="J19" i="16"/>
  <c r="I19" i="16"/>
  <c r="H19" i="16"/>
  <c r="G19" i="16"/>
  <c r="F19" i="16"/>
  <c r="E19" i="16"/>
  <c r="D19" i="16"/>
  <c r="C19" i="16"/>
  <c r="B19" i="16"/>
  <c r="B17" i="16"/>
  <c r="G25" i="15"/>
  <c r="F25" i="15"/>
  <c r="E25" i="15"/>
  <c r="D25" i="15"/>
  <c r="C25" i="15"/>
  <c r="B25" i="15"/>
  <c r="G24" i="15"/>
  <c r="F24" i="15"/>
  <c r="E24" i="15"/>
  <c r="D24" i="15"/>
  <c r="C24" i="15"/>
  <c r="B24" i="15"/>
  <c r="G23" i="15"/>
  <c r="F23" i="15"/>
  <c r="E23" i="15"/>
  <c r="D23" i="15"/>
  <c r="C23" i="15"/>
  <c r="B23" i="15"/>
  <c r="G22" i="15"/>
  <c r="F22" i="15"/>
  <c r="E22" i="15"/>
  <c r="D22" i="15"/>
  <c r="C22" i="15"/>
  <c r="B22" i="15"/>
  <c r="G21" i="15"/>
  <c r="F21" i="15"/>
  <c r="E21" i="15"/>
  <c r="D21" i="15"/>
  <c r="C21" i="15"/>
  <c r="B21" i="15"/>
  <c r="G20" i="15"/>
  <c r="F20" i="15"/>
  <c r="E20" i="15"/>
  <c r="D20" i="15"/>
  <c r="C20" i="15"/>
  <c r="B20" i="15"/>
  <c r="G19" i="15"/>
  <c r="F19" i="15"/>
  <c r="E19" i="15"/>
  <c r="D19" i="15"/>
  <c r="C19" i="15"/>
  <c r="B19" i="15"/>
  <c r="B17" i="15"/>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C79" i="14"/>
  <c r="B79"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C78" i="14"/>
  <c r="B78"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C77" i="14"/>
  <c r="B77"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C76" i="14"/>
  <c r="B76"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C75" i="14"/>
  <c r="B75"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C74" i="14"/>
  <c r="B74"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C73" i="14"/>
  <c r="B73"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C72" i="14"/>
  <c r="B72"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C71" i="14"/>
  <c r="B71" i="14"/>
  <c r="AC70" i="14"/>
  <c r="AB70" i="14"/>
  <c r="AA70" i="14"/>
  <c r="Z70" i="14"/>
  <c r="Y70" i="14"/>
  <c r="X70" i="14"/>
  <c r="W70" i="14"/>
  <c r="V70" i="14"/>
  <c r="U70" i="14"/>
  <c r="T70" i="14"/>
  <c r="S70" i="14"/>
  <c r="R70" i="14"/>
  <c r="Q70" i="14"/>
  <c r="P70" i="14"/>
  <c r="O70" i="14"/>
  <c r="N70" i="14"/>
  <c r="M70" i="14"/>
  <c r="L70" i="14"/>
  <c r="K70" i="14"/>
  <c r="J70" i="14"/>
  <c r="I70" i="14"/>
  <c r="H70" i="14"/>
  <c r="G70" i="14"/>
  <c r="F70" i="14"/>
  <c r="E70" i="14"/>
  <c r="D70" i="14"/>
  <c r="C70" i="14"/>
  <c r="B70" i="14"/>
  <c r="AC69" i="14"/>
  <c r="AB69" i="14"/>
  <c r="AA69" i="14"/>
  <c r="Z69" i="14"/>
  <c r="Y69" i="14"/>
  <c r="X69" i="14"/>
  <c r="W69" i="14"/>
  <c r="V69" i="14"/>
  <c r="U69" i="14"/>
  <c r="T69" i="14"/>
  <c r="S69" i="14"/>
  <c r="R69" i="14"/>
  <c r="Q69" i="14"/>
  <c r="P69" i="14"/>
  <c r="O69" i="14"/>
  <c r="N69" i="14"/>
  <c r="M69" i="14"/>
  <c r="L69" i="14"/>
  <c r="K69" i="14"/>
  <c r="J69" i="14"/>
  <c r="I69" i="14"/>
  <c r="H69" i="14"/>
  <c r="G69" i="14"/>
  <c r="F69" i="14"/>
  <c r="E69" i="14"/>
  <c r="D69" i="14"/>
  <c r="C69" i="14"/>
  <c r="B69" i="14"/>
  <c r="AC68" i="14"/>
  <c r="AB68" i="14"/>
  <c r="AA68" i="14"/>
  <c r="Z68" i="14"/>
  <c r="Y68" i="14"/>
  <c r="X68" i="14"/>
  <c r="W68" i="14"/>
  <c r="V68" i="14"/>
  <c r="U68" i="14"/>
  <c r="T68" i="14"/>
  <c r="S68" i="14"/>
  <c r="R68" i="14"/>
  <c r="Q68" i="14"/>
  <c r="P68" i="14"/>
  <c r="O68" i="14"/>
  <c r="N68" i="14"/>
  <c r="M68" i="14"/>
  <c r="L68" i="14"/>
  <c r="K68" i="14"/>
  <c r="J68" i="14"/>
  <c r="I68" i="14"/>
  <c r="H68" i="14"/>
  <c r="G68" i="14"/>
  <c r="F68" i="14"/>
  <c r="E68" i="14"/>
  <c r="D68" i="14"/>
  <c r="C68" i="14"/>
  <c r="B68" i="14"/>
  <c r="AC67" i="14"/>
  <c r="AB67" i="14"/>
  <c r="AA67" i="14"/>
  <c r="Z67" i="14"/>
  <c r="Y67" i="14"/>
  <c r="X67" i="14"/>
  <c r="W67" i="14"/>
  <c r="V67" i="14"/>
  <c r="U67" i="14"/>
  <c r="T67" i="14"/>
  <c r="S67" i="14"/>
  <c r="R67" i="14"/>
  <c r="Q67" i="14"/>
  <c r="P67" i="14"/>
  <c r="O67" i="14"/>
  <c r="N67" i="14"/>
  <c r="M67" i="14"/>
  <c r="L67" i="14"/>
  <c r="K67" i="14"/>
  <c r="J67" i="14"/>
  <c r="I67" i="14"/>
  <c r="H67" i="14"/>
  <c r="G67" i="14"/>
  <c r="F67" i="14"/>
  <c r="E67" i="14"/>
  <c r="D67" i="14"/>
  <c r="C67" i="14"/>
  <c r="B67" i="14"/>
  <c r="AC66" i="14"/>
  <c r="AB66" i="14"/>
  <c r="AA66" i="14"/>
  <c r="Z66" i="14"/>
  <c r="Y66" i="14"/>
  <c r="X66" i="14"/>
  <c r="W66" i="14"/>
  <c r="V66" i="14"/>
  <c r="U66" i="14"/>
  <c r="T66" i="14"/>
  <c r="S66" i="14"/>
  <c r="R66" i="14"/>
  <c r="Q66" i="14"/>
  <c r="P66" i="14"/>
  <c r="O66" i="14"/>
  <c r="N66" i="14"/>
  <c r="M66" i="14"/>
  <c r="L66" i="14"/>
  <c r="K66" i="14"/>
  <c r="J66" i="14"/>
  <c r="I66" i="14"/>
  <c r="H66" i="14"/>
  <c r="G66" i="14"/>
  <c r="F66" i="14"/>
  <c r="E66" i="14"/>
  <c r="D66" i="14"/>
  <c r="C66" i="14"/>
  <c r="B66" i="14"/>
  <c r="AC65" i="14"/>
  <c r="AB65" i="14"/>
  <c r="AA65" i="14"/>
  <c r="Z65" i="14"/>
  <c r="Y65" i="14"/>
  <c r="X65" i="14"/>
  <c r="W65" i="14"/>
  <c r="V65" i="14"/>
  <c r="U65" i="14"/>
  <c r="T65" i="14"/>
  <c r="S65" i="14"/>
  <c r="R65" i="14"/>
  <c r="Q65" i="14"/>
  <c r="P65" i="14"/>
  <c r="O65" i="14"/>
  <c r="N65" i="14"/>
  <c r="M65" i="14"/>
  <c r="L65" i="14"/>
  <c r="K65" i="14"/>
  <c r="J65" i="14"/>
  <c r="I65" i="14"/>
  <c r="H65" i="14"/>
  <c r="G65" i="14"/>
  <c r="F65" i="14"/>
  <c r="E65" i="14"/>
  <c r="D65" i="14"/>
  <c r="C65" i="14"/>
  <c r="B65" i="14"/>
  <c r="AC64" i="14"/>
  <c r="AB64" i="14"/>
  <c r="AA64" i="14"/>
  <c r="Z64" i="14"/>
  <c r="Y64" i="14"/>
  <c r="X64" i="14"/>
  <c r="W64" i="14"/>
  <c r="V64" i="14"/>
  <c r="U64" i="14"/>
  <c r="T64" i="14"/>
  <c r="S64" i="14"/>
  <c r="R64" i="14"/>
  <c r="Q64" i="14"/>
  <c r="P64" i="14"/>
  <c r="O64" i="14"/>
  <c r="N64" i="14"/>
  <c r="M64" i="14"/>
  <c r="L64" i="14"/>
  <c r="K64" i="14"/>
  <c r="J64" i="14"/>
  <c r="I64" i="14"/>
  <c r="H64" i="14"/>
  <c r="G64" i="14"/>
  <c r="F64" i="14"/>
  <c r="E64" i="14"/>
  <c r="D64" i="14"/>
  <c r="C64" i="14"/>
  <c r="B64" i="14"/>
  <c r="AC63" i="14"/>
  <c r="AB63" i="14"/>
  <c r="AA63" i="14"/>
  <c r="Z63" i="14"/>
  <c r="Y63" i="14"/>
  <c r="X63" i="14"/>
  <c r="W63" i="14"/>
  <c r="V63" i="14"/>
  <c r="U63" i="14"/>
  <c r="T63" i="14"/>
  <c r="S63" i="14"/>
  <c r="R63" i="14"/>
  <c r="Q63" i="14"/>
  <c r="P63" i="14"/>
  <c r="O63" i="14"/>
  <c r="N63" i="14"/>
  <c r="M63" i="14"/>
  <c r="L63" i="14"/>
  <c r="K63" i="14"/>
  <c r="J63" i="14"/>
  <c r="I63" i="14"/>
  <c r="H63" i="14"/>
  <c r="G63" i="14"/>
  <c r="F63" i="14"/>
  <c r="E63" i="14"/>
  <c r="D63" i="14"/>
  <c r="C63" i="14"/>
  <c r="B63" i="14"/>
  <c r="AC62" i="14"/>
  <c r="AB62" i="14"/>
  <c r="AA62" i="14"/>
  <c r="Z62" i="14"/>
  <c r="Y62" i="14"/>
  <c r="X62" i="14"/>
  <c r="W62" i="14"/>
  <c r="V62" i="14"/>
  <c r="U62" i="14"/>
  <c r="T62" i="14"/>
  <c r="S62" i="14"/>
  <c r="R62" i="14"/>
  <c r="Q62" i="14"/>
  <c r="P62" i="14"/>
  <c r="O62" i="14"/>
  <c r="N62" i="14"/>
  <c r="M62" i="14"/>
  <c r="L62" i="14"/>
  <c r="K62" i="14"/>
  <c r="J62" i="14"/>
  <c r="I62" i="14"/>
  <c r="H62" i="14"/>
  <c r="G62" i="14"/>
  <c r="F62" i="14"/>
  <c r="E62" i="14"/>
  <c r="D62" i="14"/>
  <c r="C62" i="14"/>
  <c r="B62" i="14"/>
  <c r="AC61" i="14"/>
  <c r="AB61" i="14"/>
  <c r="AA61" i="14"/>
  <c r="Z61" i="14"/>
  <c r="Y61" i="14"/>
  <c r="X61" i="14"/>
  <c r="W61" i="14"/>
  <c r="V61" i="14"/>
  <c r="U61" i="14"/>
  <c r="T61" i="14"/>
  <c r="S61" i="14"/>
  <c r="R61" i="14"/>
  <c r="Q61" i="14"/>
  <c r="P61" i="14"/>
  <c r="O61" i="14"/>
  <c r="N61" i="14"/>
  <c r="M61" i="14"/>
  <c r="L61" i="14"/>
  <c r="K61" i="14"/>
  <c r="J61" i="14"/>
  <c r="I61" i="14"/>
  <c r="H61" i="14"/>
  <c r="G61" i="14"/>
  <c r="F61" i="14"/>
  <c r="E61" i="14"/>
  <c r="D61" i="14"/>
  <c r="C61" i="14"/>
  <c r="B61" i="14"/>
  <c r="AC60" i="14"/>
  <c r="AB60" i="14"/>
  <c r="AA60" i="14"/>
  <c r="Z60" i="14"/>
  <c r="Y60" i="14"/>
  <c r="X60" i="14"/>
  <c r="W60" i="14"/>
  <c r="V60" i="14"/>
  <c r="U60" i="14"/>
  <c r="T60" i="14"/>
  <c r="S60" i="14"/>
  <c r="R60" i="14"/>
  <c r="Q60" i="14"/>
  <c r="P60" i="14"/>
  <c r="O60" i="14"/>
  <c r="N60" i="14"/>
  <c r="M60" i="14"/>
  <c r="L60" i="14"/>
  <c r="K60" i="14"/>
  <c r="J60" i="14"/>
  <c r="I60" i="14"/>
  <c r="H60" i="14"/>
  <c r="G60" i="14"/>
  <c r="F60" i="14"/>
  <c r="E60" i="14"/>
  <c r="D60" i="14"/>
  <c r="C60" i="14"/>
  <c r="B60" i="14"/>
  <c r="AC59" i="14"/>
  <c r="AB59" i="14"/>
  <c r="AA59" i="14"/>
  <c r="Z59" i="14"/>
  <c r="Y59" i="14"/>
  <c r="X59" i="14"/>
  <c r="W59" i="14"/>
  <c r="V59" i="14"/>
  <c r="U59" i="14"/>
  <c r="T59" i="14"/>
  <c r="S59" i="14"/>
  <c r="R59" i="14"/>
  <c r="Q59" i="14"/>
  <c r="P59" i="14"/>
  <c r="O59" i="14"/>
  <c r="N59" i="14"/>
  <c r="M59" i="14"/>
  <c r="L59" i="14"/>
  <c r="K59" i="14"/>
  <c r="J59" i="14"/>
  <c r="I59" i="14"/>
  <c r="H59" i="14"/>
  <c r="G59" i="14"/>
  <c r="F59" i="14"/>
  <c r="E59" i="14"/>
  <c r="D59" i="14"/>
  <c r="C59" i="14"/>
  <c r="B59" i="14"/>
  <c r="AC58" i="14"/>
  <c r="AB58" i="14"/>
  <c r="AA58" i="14"/>
  <c r="Z58" i="14"/>
  <c r="Y58" i="14"/>
  <c r="X58" i="14"/>
  <c r="W58" i="14"/>
  <c r="V58" i="14"/>
  <c r="U58" i="14"/>
  <c r="T58" i="14"/>
  <c r="S58" i="14"/>
  <c r="R58" i="14"/>
  <c r="Q58" i="14"/>
  <c r="P58" i="14"/>
  <c r="O58" i="14"/>
  <c r="N58" i="14"/>
  <c r="M58" i="14"/>
  <c r="L58" i="14"/>
  <c r="K58" i="14"/>
  <c r="J58" i="14"/>
  <c r="I58" i="14"/>
  <c r="H58" i="14"/>
  <c r="G58" i="14"/>
  <c r="F58" i="14"/>
  <c r="E58" i="14"/>
  <c r="D58" i="14"/>
  <c r="C58" i="14"/>
  <c r="B58" i="14"/>
  <c r="B56" i="14"/>
  <c r="Y64" i="13"/>
  <c r="X64" i="13"/>
  <c r="W64" i="13"/>
  <c r="V64" i="13"/>
  <c r="U64" i="13"/>
  <c r="T64" i="13"/>
  <c r="S64" i="13"/>
  <c r="R64" i="13"/>
  <c r="Q64" i="13"/>
  <c r="P64" i="13"/>
  <c r="O64" i="13"/>
  <c r="N64" i="13"/>
  <c r="M64" i="13"/>
  <c r="L64" i="13"/>
  <c r="K64" i="13"/>
  <c r="J64" i="13"/>
  <c r="I64" i="13"/>
  <c r="H64" i="13"/>
  <c r="G64" i="13"/>
  <c r="F64" i="13"/>
  <c r="E64" i="13"/>
  <c r="D64" i="13"/>
  <c r="C64" i="13"/>
  <c r="B64" i="13"/>
  <c r="Y63" i="13"/>
  <c r="X63" i="13"/>
  <c r="W63" i="13"/>
  <c r="V63" i="13"/>
  <c r="U63" i="13"/>
  <c r="T63" i="13"/>
  <c r="S63" i="13"/>
  <c r="R63" i="13"/>
  <c r="Q63" i="13"/>
  <c r="P63" i="13"/>
  <c r="O63" i="13"/>
  <c r="N63" i="13"/>
  <c r="M63" i="13"/>
  <c r="L63" i="13"/>
  <c r="K63" i="13"/>
  <c r="J63" i="13"/>
  <c r="I63" i="13"/>
  <c r="H63" i="13"/>
  <c r="G63" i="13"/>
  <c r="F63" i="13"/>
  <c r="E63" i="13"/>
  <c r="D63" i="13"/>
  <c r="C63" i="13"/>
  <c r="B63" i="13"/>
  <c r="Y62" i="13"/>
  <c r="X62" i="13"/>
  <c r="W62" i="13"/>
  <c r="V62" i="13"/>
  <c r="U62" i="13"/>
  <c r="T62" i="13"/>
  <c r="S62" i="13"/>
  <c r="R62" i="13"/>
  <c r="Q62" i="13"/>
  <c r="P62" i="13"/>
  <c r="O62" i="13"/>
  <c r="N62" i="13"/>
  <c r="M62" i="13"/>
  <c r="L62" i="13"/>
  <c r="K62" i="13"/>
  <c r="J62" i="13"/>
  <c r="I62" i="13"/>
  <c r="H62" i="13"/>
  <c r="G62" i="13"/>
  <c r="F62" i="13"/>
  <c r="E62" i="13"/>
  <c r="D62" i="13"/>
  <c r="C62" i="13"/>
  <c r="B62" i="13"/>
  <c r="Y61" i="13"/>
  <c r="X61" i="13"/>
  <c r="W61" i="13"/>
  <c r="V61" i="13"/>
  <c r="U61" i="13"/>
  <c r="T61" i="13"/>
  <c r="S61" i="13"/>
  <c r="R61" i="13"/>
  <c r="Q61" i="13"/>
  <c r="P61" i="13"/>
  <c r="O61" i="13"/>
  <c r="N61" i="13"/>
  <c r="M61" i="13"/>
  <c r="L61" i="13"/>
  <c r="K61" i="13"/>
  <c r="J61" i="13"/>
  <c r="I61" i="13"/>
  <c r="H61" i="13"/>
  <c r="G61" i="13"/>
  <c r="F61" i="13"/>
  <c r="E61" i="13"/>
  <c r="D61" i="13"/>
  <c r="C61" i="13"/>
  <c r="B61" i="13"/>
  <c r="Y60" i="13"/>
  <c r="X60" i="13"/>
  <c r="W60" i="13"/>
  <c r="V60" i="13"/>
  <c r="U60" i="13"/>
  <c r="T60" i="13"/>
  <c r="S60" i="13"/>
  <c r="R60" i="13"/>
  <c r="Q60" i="13"/>
  <c r="P60" i="13"/>
  <c r="O60" i="13"/>
  <c r="N60" i="13"/>
  <c r="M60" i="13"/>
  <c r="L60" i="13"/>
  <c r="K60" i="13"/>
  <c r="J60" i="13"/>
  <c r="I60" i="13"/>
  <c r="H60" i="13"/>
  <c r="G60" i="13"/>
  <c r="F60" i="13"/>
  <c r="E60" i="13"/>
  <c r="D60" i="13"/>
  <c r="C60" i="13"/>
  <c r="B60" i="13"/>
  <c r="Y59" i="13"/>
  <c r="X59" i="13"/>
  <c r="W59" i="13"/>
  <c r="V59" i="13"/>
  <c r="U59" i="13"/>
  <c r="T59" i="13"/>
  <c r="S59" i="13"/>
  <c r="R59" i="13"/>
  <c r="Q59" i="13"/>
  <c r="P59" i="13"/>
  <c r="O59" i="13"/>
  <c r="N59" i="13"/>
  <c r="M59" i="13"/>
  <c r="L59" i="13"/>
  <c r="K59" i="13"/>
  <c r="J59" i="13"/>
  <c r="I59" i="13"/>
  <c r="H59" i="13"/>
  <c r="G59" i="13"/>
  <c r="F59" i="13"/>
  <c r="E59" i="13"/>
  <c r="D59" i="13"/>
  <c r="C59" i="13"/>
  <c r="B59" i="13"/>
  <c r="Y58" i="13"/>
  <c r="X58" i="13"/>
  <c r="W58" i="13"/>
  <c r="V58" i="13"/>
  <c r="U58" i="13"/>
  <c r="T58" i="13"/>
  <c r="S58" i="13"/>
  <c r="R58" i="13"/>
  <c r="Q58" i="13"/>
  <c r="P58" i="13"/>
  <c r="O58" i="13"/>
  <c r="N58" i="13"/>
  <c r="M58" i="13"/>
  <c r="L58" i="13"/>
  <c r="K58" i="13"/>
  <c r="J58" i="13"/>
  <c r="I58" i="13"/>
  <c r="H58" i="13"/>
  <c r="G58" i="13"/>
  <c r="F58" i="13"/>
  <c r="E58" i="13"/>
  <c r="D58" i="13"/>
  <c r="C58" i="13"/>
  <c r="B58" i="13"/>
  <c r="Y57" i="13"/>
  <c r="X57" i="13"/>
  <c r="W57" i="13"/>
  <c r="V57" i="13"/>
  <c r="U57" i="13"/>
  <c r="T57" i="13"/>
  <c r="S57" i="13"/>
  <c r="R57" i="13"/>
  <c r="Q57" i="13"/>
  <c r="P57" i="13"/>
  <c r="O57" i="13"/>
  <c r="N57" i="13"/>
  <c r="M57" i="13"/>
  <c r="L57" i="13"/>
  <c r="K57" i="13"/>
  <c r="J57" i="13"/>
  <c r="I57" i="13"/>
  <c r="H57" i="13"/>
  <c r="G57" i="13"/>
  <c r="F57" i="13"/>
  <c r="E57" i="13"/>
  <c r="D57" i="13"/>
  <c r="C57" i="13"/>
  <c r="B57" i="13"/>
  <c r="Y56" i="13"/>
  <c r="X56" i="13"/>
  <c r="W56" i="13"/>
  <c r="V56" i="13"/>
  <c r="U56" i="13"/>
  <c r="T56" i="13"/>
  <c r="S56" i="13"/>
  <c r="R56" i="13"/>
  <c r="Q56" i="13"/>
  <c r="P56" i="13"/>
  <c r="O56" i="13"/>
  <c r="N56" i="13"/>
  <c r="M56" i="13"/>
  <c r="L56" i="13"/>
  <c r="K56" i="13"/>
  <c r="J56" i="13"/>
  <c r="I56" i="13"/>
  <c r="H56" i="13"/>
  <c r="G56" i="13"/>
  <c r="F56" i="13"/>
  <c r="E56" i="13"/>
  <c r="D56" i="13"/>
  <c r="C56" i="13"/>
  <c r="B56" i="13"/>
  <c r="Y55" i="13"/>
  <c r="X55" i="13"/>
  <c r="W55" i="13"/>
  <c r="V55" i="13"/>
  <c r="U55" i="13"/>
  <c r="T55" i="13"/>
  <c r="S55" i="13"/>
  <c r="R55" i="13"/>
  <c r="Q55" i="13"/>
  <c r="P55" i="13"/>
  <c r="O55" i="13"/>
  <c r="N55" i="13"/>
  <c r="M55" i="13"/>
  <c r="L55" i="13"/>
  <c r="K55" i="13"/>
  <c r="J55" i="13"/>
  <c r="I55" i="13"/>
  <c r="H55" i="13"/>
  <c r="G55" i="13"/>
  <c r="F55" i="13"/>
  <c r="E55" i="13"/>
  <c r="D55" i="13"/>
  <c r="C55" i="13"/>
  <c r="B55" i="13"/>
  <c r="Y54" i="13"/>
  <c r="X54" i="13"/>
  <c r="W54" i="13"/>
  <c r="V54" i="13"/>
  <c r="U54" i="13"/>
  <c r="T54" i="13"/>
  <c r="S54" i="13"/>
  <c r="R54" i="13"/>
  <c r="Q54" i="13"/>
  <c r="P54" i="13"/>
  <c r="O54" i="13"/>
  <c r="N54" i="13"/>
  <c r="M54" i="13"/>
  <c r="L54" i="13"/>
  <c r="K54" i="13"/>
  <c r="J54" i="13"/>
  <c r="I54" i="13"/>
  <c r="H54" i="13"/>
  <c r="G54" i="13"/>
  <c r="F54" i="13"/>
  <c r="E54" i="13"/>
  <c r="D54" i="13"/>
  <c r="C54" i="13"/>
  <c r="B54" i="13"/>
  <c r="Y53" i="13"/>
  <c r="X53" i="13"/>
  <c r="W53" i="13"/>
  <c r="V53" i="13"/>
  <c r="U53" i="13"/>
  <c r="T53" i="13"/>
  <c r="S53" i="13"/>
  <c r="R53" i="13"/>
  <c r="Q53" i="13"/>
  <c r="P53" i="13"/>
  <c r="O53" i="13"/>
  <c r="N53" i="13"/>
  <c r="M53" i="13"/>
  <c r="L53" i="13"/>
  <c r="K53" i="13"/>
  <c r="J53" i="13"/>
  <c r="I53" i="13"/>
  <c r="H53" i="13"/>
  <c r="G53" i="13"/>
  <c r="F53" i="13"/>
  <c r="E53" i="13"/>
  <c r="D53" i="13"/>
  <c r="C53" i="13"/>
  <c r="B53" i="13"/>
  <c r="Y52" i="13"/>
  <c r="X52" i="13"/>
  <c r="W52" i="13"/>
  <c r="V52" i="13"/>
  <c r="U52" i="13"/>
  <c r="T52" i="13"/>
  <c r="S52" i="13"/>
  <c r="R52" i="13"/>
  <c r="Q52" i="13"/>
  <c r="P52" i="13"/>
  <c r="O52" i="13"/>
  <c r="N52" i="13"/>
  <c r="M52" i="13"/>
  <c r="L52" i="13"/>
  <c r="K52" i="13"/>
  <c r="J52" i="13"/>
  <c r="I52" i="13"/>
  <c r="H52" i="13"/>
  <c r="G52" i="13"/>
  <c r="F52" i="13"/>
  <c r="E52" i="13"/>
  <c r="D52" i="13"/>
  <c r="C52" i="13"/>
  <c r="B52" i="13"/>
  <c r="Y51" i="13"/>
  <c r="X51" i="13"/>
  <c r="W51" i="13"/>
  <c r="V51" i="13"/>
  <c r="U51" i="13"/>
  <c r="T51" i="13"/>
  <c r="S51" i="13"/>
  <c r="R51" i="13"/>
  <c r="Q51" i="13"/>
  <c r="P51" i="13"/>
  <c r="O51" i="13"/>
  <c r="N51" i="13"/>
  <c r="M51" i="13"/>
  <c r="L51" i="13"/>
  <c r="K51" i="13"/>
  <c r="J51" i="13"/>
  <c r="I51" i="13"/>
  <c r="H51" i="13"/>
  <c r="G51" i="13"/>
  <c r="F51" i="13"/>
  <c r="E51" i="13"/>
  <c r="D51" i="13"/>
  <c r="C51" i="13"/>
  <c r="B51" i="13"/>
  <c r="Y50" i="13"/>
  <c r="X50" i="13"/>
  <c r="W50" i="13"/>
  <c r="V50" i="13"/>
  <c r="U50" i="13"/>
  <c r="T50" i="13"/>
  <c r="S50" i="13"/>
  <c r="R50" i="13"/>
  <c r="Q50" i="13"/>
  <c r="P50" i="13"/>
  <c r="O50" i="13"/>
  <c r="N50" i="13"/>
  <c r="M50" i="13"/>
  <c r="L50" i="13"/>
  <c r="K50" i="13"/>
  <c r="J50" i="13"/>
  <c r="I50" i="13"/>
  <c r="H50" i="13"/>
  <c r="G50" i="13"/>
  <c r="F50" i="13"/>
  <c r="E50" i="13"/>
  <c r="D50" i="13"/>
  <c r="C50" i="13"/>
  <c r="B50" i="13"/>
  <c r="Y49" i="13"/>
  <c r="X49" i="13"/>
  <c r="W49" i="13"/>
  <c r="V49" i="13"/>
  <c r="U49" i="13"/>
  <c r="T49" i="13"/>
  <c r="S49" i="13"/>
  <c r="R49" i="13"/>
  <c r="Q49" i="13"/>
  <c r="P49" i="13"/>
  <c r="O49" i="13"/>
  <c r="N49" i="13"/>
  <c r="M49" i="13"/>
  <c r="L49" i="13"/>
  <c r="K49" i="13"/>
  <c r="J49" i="13"/>
  <c r="I49" i="13"/>
  <c r="H49" i="13"/>
  <c r="G49" i="13"/>
  <c r="F49" i="13"/>
  <c r="E49" i="13"/>
  <c r="D49" i="13"/>
  <c r="C49" i="13"/>
  <c r="B49" i="13"/>
  <c r="Y48" i="13"/>
  <c r="X48" i="13"/>
  <c r="W48" i="13"/>
  <c r="V48" i="13"/>
  <c r="U48" i="13"/>
  <c r="T48" i="13"/>
  <c r="S48" i="13"/>
  <c r="R48" i="13"/>
  <c r="Q48" i="13"/>
  <c r="P48" i="13"/>
  <c r="O48" i="13"/>
  <c r="N48" i="13"/>
  <c r="M48" i="13"/>
  <c r="L48" i="13"/>
  <c r="K48" i="13"/>
  <c r="J48" i="13"/>
  <c r="I48" i="13"/>
  <c r="H48" i="13"/>
  <c r="G48" i="13"/>
  <c r="F48" i="13"/>
  <c r="E48" i="13"/>
  <c r="D48" i="13"/>
  <c r="C48" i="13"/>
  <c r="B48" i="13"/>
  <c r="B46" i="13"/>
  <c r="Y64" i="12"/>
  <c r="X64" i="12"/>
  <c r="W64" i="12"/>
  <c r="V64" i="12"/>
  <c r="U64" i="12"/>
  <c r="T64" i="12"/>
  <c r="S64" i="12"/>
  <c r="R64" i="12"/>
  <c r="Q64" i="12"/>
  <c r="P64" i="12"/>
  <c r="O64" i="12"/>
  <c r="N64" i="12"/>
  <c r="M64" i="12"/>
  <c r="L64" i="12"/>
  <c r="K64" i="12"/>
  <c r="J64" i="12"/>
  <c r="I64" i="12"/>
  <c r="H64" i="12"/>
  <c r="G64" i="12"/>
  <c r="F64" i="12"/>
  <c r="E64" i="12"/>
  <c r="D64" i="12"/>
  <c r="C64" i="12"/>
  <c r="B64" i="12"/>
  <c r="Y63" i="12"/>
  <c r="X63" i="12"/>
  <c r="W63" i="12"/>
  <c r="V63" i="12"/>
  <c r="U63" i="12"/>
  <c r="T63" i="12"/>
  <c r="S63" i="12"/>
  <c r="R63" i="12"/>
  <c r="Q63" i="12"/>
  <c r="P63" i="12"/>
  <c r="O63" i="12"/>
  <c r="N63" i="12"/>
  <c r="M63" i="12"/>
  <c r="L63" i="12"/>
  <c r="K63" i="12"/>
  <c r="J63" i="12"/>
  <c r="I63" i="12"/>
  <c r="H63" i="12"/>
  <c r="G63" i="12"/>
  <c r="F63" i="12"/>
  <c r="E63" i="12"/>
  <c r="D63" i="12"/>
  <c r="C63" i="12"/>
  <c r="B63" i="12"/>
  <c r="Y62" i="12"/>
  <c r="X62" i="12"/>
  <c r="W62" i="12"/>
  <c r="V62" i="12"/>
  <c r="U62" i="12"/>
  <c r="T62" i="12"/>
  <c r="S62" i="12"/>
  <c r="R62" i="12"/>
  <c r="Q62" i="12"/>
  <c r="P62" i="12"/>
  <c r="O62" i="12"/>
  <c r="N62" i="12"/>
  <c r="M62" i="12"/>
  <c r="L62" i="12"/>
  <c r="K62" i="12"/>
  <c r="J62" i="12"/>
  <c r="I62" i="12"/>
  <c r="H62" i="12"/>
  <c r="G62" i="12"/>
  <c r="F62" i="12"/>
  <c r="E62" i="12"/>
  <c r="D62" i="12"/>
  <c r="C62" i="12"/>
  <c r="B62" i="12"/>
  <c r="Y61" i="12"/>
  <c r="X61" i="12"/>
  <c r="W61" i="12"/>
  <c r="V61" i="12"/>
  <c r="U61" i="12"/>
  <c r="T61" i="12"/>
  <c r="S61" i="12"/>
  <c r="R61" i="12"/>
  <c r="Q61" i="12"/>
  <c r="P61" i="12"/>
  <c r="O61" i="12"/>
  <c r="N61" i="12"/>
  <c r="M61" i="12"/>
  <c r="L61" i="12"/>
  <c r="K61" i="12"/>
  <c r="J61" i="12"/>
  <c r="I61" i="12"/>
  <c r="H61" i="12"/>
  <c r="G61" i="12"/>
  <c r="F61" i="12"/>
  <c r="E61" i="12"/>
  <c r="D61" i="12"/>
  <c r="C61" i="12"/>
  <c r="B61" i="12"/>
  <c r="Y60" i="12"/>
  <c r="X60" i="12"/>
  <c r="W60" i="12"/>
  <c r="V60" i="12"/>
  <c r="U60" i="12"/>
  <c r="T60" i="12"/>
  <c r="S60" i="12"/>
  <c r="R60" i="12"/>
  <c r="Q60" i="12"/>
  <c r="P60" i="12"/>
  <c r="O60" i="12"/>
  <c r="N60" i="12"/>
  <c r="M60" i="12"/>
  <c r="L60" i="12"/>
  <c r="K60" i="12"/>
  <c r="J60" i="12"/>
  <c r="I60" i="12"/>
  <c r="H60" i="12"/>
  <c r="G60" i="12"/>
  <c r="F60" i="12"/>
  <c r="E60" i="12"/>
  <c r="D60" i="12"/>
  <c r="C60" i="12"/>
  <c r="B60" i="12"/>
  <c r="Y59" i="12"/>
  <c r="X59" i="12"/>
  <c r="W59" i="12"/>
  <c r="V59" i="12"/>
  <c r="U59" i="12"/>
  <c r="T59" i="12"/>
  <c r="S59" i="12"/>
  <c r="R59" i="12"/>
  <c r="Q59" i="12"/>
  <c r="P59" i="12"/>
  <c r="O59" i="12"/>
  <c r="N59" i="12"/>
  <c r="M59" i="12"/>
  <c r="L59" i="12"/>
  <c r="K59" i="12"/>
  <c r="J59" i="12"/>
  <c r="I59" i="12"/>
  <c r="H59" i="12"/>
  <c r="G59" i="12"/>
  <c r="F59" i="12"/>
  <c r="E59" i="12"/>
  <c r="D59" i="12"/>
  <c r="C59" i="12"/>
  <c r="B59" i="12"/>
  <c r="Y58" i="12"/>
  <c r="X58" i="12"/>
  <c r="W58" i="12"/>
  <c r="V58" i="12"/>
  <c r="U58" i="12"/>
  <c r="T58" i="12"/>
  <c r="S58" i="12"/>
  <c r="R58" i="12"/>
  <c r="Q58" i="12"/>
  <c r="P58" i="12"/>
  <c r="O58" i="12"/>
  <c r="N58" i="12"/>
  <c r="M58" i="12"/>
  <c r="L58" i="12"/>
  <c r="K58" i="12"/>
  <c r="J58" i="12"/>
  <c r="I58" i="12"/>
  <c r="H58" i="12"/>
  <c r="G58" i="12"/>
  <c r="F58" i="12"/>
  <c r="E58" i="12"/>
  <c r="D58" i="12"/>
  <c r="C58" i="12"/>
  <c r="B58" i="12"/>
  <c r="Y57" i="12"/>
  <c r="X57" i="12"/>
  <c r="W57" i="12"/>
  <c r="V57" i="12"/>
  <c r="U57" i="12"/>
  <c r="T57" i="12"/>
  <c r="S57" i="12"/>
  <c r="R57" i="12"/>
  <c r="Q57" i="12"/>
  <c r="P57" i="12"/>
  <c r="O57" i="12"/>
  <c r="N57" i="12"/>
  <c r="M57" i="12"/>
  <c r="L57" i="12"/>
  <c r="K57" i="12"/>
  <c r="J57" i="12"/>
  <c r="I57" i="12"/>
  <c r="H57" i="12"/>
  <c r="G57" i="12"/>
  <c r="F57" i="12"/>
  <c r="E57" i="12"/>
  <c r="D57" i="12"/>
  <c r="C57" i="12"/>
  <c r="B57" i="12"/>
  <c r="Y56" i="12"/>
  <c r="X56" i="12"/>
  <c r="W56" i="12"/>
  <c r="V56" i="12"/>
  <c r="U56" i="12"/>
  <c r="T56" i="12"/>
  <c r="S56" i="12"/>
  <c r="R56" i="12"/>
  <c r="Q56" i="12"/>
  <c r="P56" i="12"/>
  <c r="O56" i="12"/>
  <c r="N56" i="12"/>
  <c r="M56" i="12"/>
  <c r="L56" i="12"/>
  <c r="K56" i="12"/>
  <c r="J56" i="12"/>
  <c r="I56" i="12"/>
  <c r="H56" i="12"/>
  <c r="G56" i="12"/>
  <c r="F56" i="12"/>
  <c r="E56" i="12"/>
  <c r="D56" i="12"/>
  <c r="C56" i="12"/>
  <c r="B56" i="12"/>
  <c r="Y55" i="12"/>
  <c r="X55" i="12"/>
  <c r="W55" i="12"/>
  <c r="V55" i="12"/>
  <c r="U55" i="12"/>
  <c r="T55" i="12"/>
  <c r="S55" i="12"/>
  <c r="R55" i="12"/>
  <c r="Q55" i="12"/>
  <c r="P55" i="12"/>
  <c r="O55" i="12"/>
  <c r="N55" i="12"/>
  <c r="M55" i="12"/>
  <c r="L55" i="12"/>
  <c r="K55" i="12"/>
  <c r="J55" i="12"/>
  <c r="I55" i="12"/>
  <c r="H55" i="12"/>
  <c r="G55" i="12"/>
  <c r="F55" i="12"/>
  <c r="E55" i="12"/>
  <c r="D55" i="12"/>
  <c r="C55" i="12"/>
  <c r="B55" i="12"/>
  <c r="Y54" i="12"/>
  <c r="X54" i="12"/>
  <c r="W54" i="12"/>
  <c r="V54" i="12"/>
  <c r="U54" i="12"/>
  <c r="T54" i="12"/>
  <c r="S54" i="12"/>
  <c r="R54" i="12"/>
  <c r="Q54" i="12"/>
  <c r="P54" i="12"/>
  <c r="O54" i="12"/>
  <c r="N54" i="12"/>
  <c r="M54" i="12"/>
  <c r="L54" i="12"/>
  <c r="K54" i="12"/>
  <c r="J54" i="12"/>
  <c r="I54" i="12"/>
  <c r="H54" i="12"/>
  <c r="G54" i="12"/>
  <c r="F54" i="12"/>
  <c r="E54" i="12"/>
  <c r="D54" i="12"/>
  <c r="C54" i="12"/>
  <c r="B54" i="12"/>
  <c r="Y53" i="12"/>
  <c r="X53" i="12"/>
  <c r="W53" i="12"/>
  <c r="V53" i="12"/>
  <c r="U53" i="12"/>
  <c r="T53" i="12"/>
  <c r="S53" i="12"/>
  <c r="R53" i="12"/>
  <c r="Q53" i="12"/>
  <c r="P53" i="12"/>
  <c r="O53" i="12"/>
  <c r="N53" i="12"/>
  <c r="M53" i="12"/>
  <c r="L53" i="12"/>
  <c r="K53" i="12"/>
  <c r="J53" i="12"/>
  <c r="I53" i="12"/>
  <c r="H53" i="12"/>
  <c r="G53" i="12"/>
  <c r="F53" i="12"/>
  <c r="E53" i="12"/>
  <c r="D53" i="12"/>
  <c r="C53" i="12"/>
  <c r="B53" i="12"/>
  <c r="Y52" i="12"/>
  <c r="X52" i="12"/>
  <c r="W52" i="12"/>
  <c r="V52" i="12"/>
  <c r="U52" i="12"/>
  <c r="T52" i="12"/>
  <c r="S52" i="12"/>
  <c r="R52" i="12"/>
  <c r="Q52" i="12"/>
  <c r="P52" i="12"/>
  <c r="O52" i="12"/>
  <c r="N52" i="12"/>
  <c r="M52" i="12"/>
  <c r="L52" i="12"/>
  <c r="K52" i="12"/>
  <c r="J52" i="12"/>
  <c r="I52" i="12"/>
  <c r="H52" i="12"/>
  <c r="G52" i="12"/>
  <c r="F52" i="12"/>
  <c r="E52" i="12"/>
  <c r="D52" i="12"/>
  <c r="C52" i="12"/>
  <c r="B52" i="12"/>
  <c r="Y51" i="12"/>
  <c r="X51" i="12"/>
  <c r="W51" i="12"/>
  <c r="V51" i="12"/>
  <c r="U51" i="12"/>
  <c r="T51" i="12"/>
  <c r="S51" i="12"/>
  <c r="R51" i="12"/>
  <c r="Q51" i="12"/>
  <c r="P51" i="12"/>
  <c r="O51" i="12"/>
  <c r="N51" i="12"/>
  <c r="M51" i="12"/>
  <c r="L51" i="12"/>
  <c r="K51" i="12"/>
  <c r="J51" i="12"/>
  <c r="I51" i="12"/>
  <c r="H51" i="12"/>
  <c r="G51" i="12"/>
  <c r="F51" i="12"/>
  <c r="E51" i="12"/>
  <c r="D51" i="12"/>
  <c r="C51" i="12"/>
  <c r="B51" i="12"/>
  <c r="Y50" i="12"/>
  <c r="X50" i="12"/>
  <c r="W50" i="12"/>
  <c r="V50" i="12"/>
  <c r="U50" i="12"/>
  <c r="T50" i="12"/>
  <c r="S50" i="12"/>
  <c r="R50" i="12"/>
  <c r="Q50" i="12"/>
  <c r="P50" i="12"/>
  <c r="O50" i="12"/>
  <c r="N50" i="12"/>
  <c r="M50" i="12"/>
  <c r="L50" i="12"/>
  <c r="K50" i="12"/>
  <c r="J50" i="12"/>
  <c r="I50" i="12"/>
  <c r="H50" i="12"/>
  <c r="G50" i="12"/>
  <c r="F50" i="12"/>
  <c r="E50" i="12"/>
  <c r="D50" i="12"/>
  <c r="C50" i="12"/>
  <c r="B50" i="12"/>
  <c r="Y49" i="12"/>
  <c r="X49" i="12"/>
  <c r="W49" i="12"/>
  <c r="V49" i="12"/>
  <c r="U49" i="12"/>
  <c r="T49" i="12"/>
  <c r="S49" i="12"/>
  <c r="R49" i="12"/>
  <c r="Q49" i="12"/>
  <c r="P49" i="12"/>
  <c r="O49" i="12"/>
  <c r="N49" i="12"/>
  <c r="M49" i="12"/>
  <c r="L49" i="12"/>
  <c r="K49" i="12"/>
  <c r="J49" i="12"/>
  <c r="I49" i="12"/>
  <c r="H49" i="12"/>
  <c r="G49" i="12"/>
  <c r="F49" i="12"/>
  <c r="E49" i="12"/>
  <c r="D49" i="12"/>
  <c r="C49" i="12"/>
  <c r="B49" i="12"/>
  <c r="Y48" i="12"/>
  <c r="X48" i="12"/>
  <c r="W48" i="12"/>
  <c r="V48" i="12"/>
  <c r="U48" i="12"/>
  <c r="T48" i="12"/>
  <c r="S48" i="12"/>
  <c r="R48" i="12"/>
  <c r="Q48" i="12"/>
  <c r="P48" i="12"/>
  <c r="O48" i="12"/>
  <c r="N48" i="12"/>
  <c r="M48" i="12"/>
  <c r="L48" i="12"/>
  <c r="K48" i="12"/>
  <c r="J48" i="12"/>
  <c r="I48" i="12"/>
  <c r="H48" i="12"/>
  <c r="G48" i="12"/>
  <c r="F48" i="12"/>
  <c r="E48" i="12"/>
  <c r="D48" i="12"/>
  <c r="C48" i="12"/>
  <c r="B48" i="12"/>
  <c r="B46" i="12"/>
  <c r="Y64" i="11"/>
  <c r="X64" i="11"/>
  <c r="W64" i="11"/>
  <c r="V64" i="11"/>
  <c r="U64" i="11"/>
  <c r="T64" i="11"/>
  <c r="S64" i="11"/>
  <c r="R64" i="11"/>
  <c r="Q64" i="11"/>
  <c r="P64" i="11"/>
  <c r="O64" i="11"/>
  <c r="N64" i="11"/>
  <c r="M64" i="11"/>
  <c r="L64" i="11"/>
  <c r="K64" i="11"/>
  <c r="J64" i="11"/>
  <c r="I64" i="11"/>
  <c r="H64" i="11"/>
  <c r="G64" i="11"/>
  <c r="F64" i="11"/>
  <c r="E64" i="11"/>
  <c r="D64" i="11"/>
  <c r="C64" i="11"/>
  <c r="B64" i="11"/>
  <c r="Y63" i="11"/>
  <c r="X63" i="11"/>
  <c r="W63" i="11"/>
  <c r="V63" i="11"/>
  <c r="U63" i="11"/>
  <c r="T63" i="11"/>
  <c r="S63" i="11"/>
  <c r="R63" i="11"/>
  <c r="Q63" i="11"/>
  <c r="P63" i="11"/>
  <c r="O63" i="11"/>
  <c r="N63" i="11"/>
  <c r="M63" i="11"/>
  <c r="L63" i="11"/>
  <c r="K63" i="11"/>
  <c r="J63" i="11"/>
  <c r="I63" i="11"/>
  <c r="H63" i="11"/>
  <c r="G63" i="11"/>
  <c r="F63" i="11"/>
  <c r="E63" i="11"/>
  <c r="D63" i="11"/>
  <c r="C63" i="11"/>
  <c r="B63" i="11"/>
  <c r="Y62" i="11"/>
  <c r="X62" i="11"/>
  <c r="W62" i="11"/>
  <c r="V62" i="11"/>
  <c r="U62" i="11"/>
  <c r="T62" i="11"/>
  <c r="S62" i="11"/>
  <c r="R62" i="11"/>
  <c r="Q62" i="11"/>
  <c r="P62" i="11"/>
  <c r="O62" i="11"/>
  <c r="N62" i="11"/>
  <c r="M62" i="11"/>
  <c r="L62" i="11"/>
  <c r="K62" i="11"/>
  <c r="J62" i="11"/>
  <c r="I62" i="11"/>
  <c r="H62" i="11"/>
  <c r="G62" i="11"/>
  <c r="F62" i="11"/>
  <c r="E62" i="11"/>
  <c r="D62" i="11"/>
  <c r="C62" i="11"/>
  <c r="B62" i="11"/>
  <c r="Y61" i="11"/>
  <c r="X61" i="11"/>
  <c r="W61" i="11"/>
  <c r="V61" i="11"/>
  <c r="U61" i="11"/>
  <c r="T61" i="11"/>
  <c r="S61" i="11"/>
  <c r="R61" i="11"/>
  <c r="Q61" i="11"/>
  <c r="P61" i="11"/>
  <c r="O61" i="11"/>
  <c r="N61" i="11"/>
  <c r="M61" i="11"/>
  <c r="L61" i="11"/>
  <c r="K61" i="11"/>
  <c r="J61" i="11"/>
  <c r="I61" i="11"/>
  <c r="H61" i="11"/>
  <c r="G61" i="11"/>
  <c r="F61" i="11"/>
  <c r="E61" i="11"/>
  <c r="D61" i="11"/>
  <c r="C61" i="11"/>
  <c r="B61" i="11"/>
  <c r="Y60" i="11"/>
  <c r="X60" i="11"/>
  <c r="W60" i="11"/>
  <c r="V60" i="11"/>
  <c r="U60" i="11"/>
  <c r="T60" i="11"/>
  <c r="S60" i="11"/>
  <c r="R60" i="11"/>
  <c r="Q60" i="11"/>
  <c r="P60" i="11"/>
  <c r="O60" i="11"/>
  <c r="N60" i="11"/>
  <c r="M60" i="11"/>
  <c r="L60" i="11"/>
  <c r="K60" i="11"/>
  <c r="J60" i="11"/>
  <c r="I60" i="11"/>
  <c r="H60" i="11"/>
  <c r="G60" i="11"/>
  <c r="F60" i="11"/>
  <c r="E60" i="11"/>
  <c r="D60" i="11"/>
  <c r="C60" i="11"/>
  <c r="B60" i="11"/>
  <c r="Y59" i="11"/>
  <c r="X59" i="11"/>
  <c r="W59" i="11"/>
  <c r="V59" i="11"/>
  <c r="U59" i="11"/>
  <c r="T59" i="11"/>
  <c r="S59" i="11"/>
  <c r="R59" i="11"/>
  <c r="Q59" i="11"/>
  <c r="P59" i="11"/>
  <c r="O59" i="11"/>
  <c r="N59" i="11"/>
  <c r="M59" i="11"/>
  <c r="L59" i="11"/>
  <c r="K59" i="11"/>
  <c r="J59" i="11"/>
  <c r="I59" i="11"/>
  <c r="H59" i="11"/>
  <c r="G59" i="11"/>
  <c r="F59" i="11"/>
  <c r="E59" i="11"/>
  <c r="D59" i="11"/>
  <c r="C59" i="11"/>
  <c r="B59" i="11"/>
  <c r="Y58" i="11"/>
  <c r="X58" i="11"/>
  <c r="W58" i="11"/>
  <c r="V58" i="11"/>
  <c r="U58" i="11"/>
  <c r="T58" i="11"/>
  <c r="S58" i="11"/>
  <c r="R58" i="11"/>
  <c r="Q58" i="11"/>
  <c r="P58" i="11"/>
  <c r="O58" i="11"/>
  <c r="N58" i="11"/>
  <c r="M58" i="11"/>
  <c r="L58" i="11"/>
  <c r="K58" i="11"/>
  <c r="J58" i="11"/>
  <c r="I58" i="11"/>
  <c r="H58" i="11"/>
  <c r="G58" i="11"/>
  <c r="F58" i="11"/>
  <c r="E58" i="11"/>
  <c r="D58" i="11"/>
  <c r="C58" i="11"/>
  <c r="B58" i="11"/>
  <c r="Y57" i="11"/>
  <c r="X57" i="11"/>
  <c r="W57" i="11"/>
  <c r="V57" i="11"/>
  <c r="U57" i="11"/>
  <c r="T57" i="11"/>
  <c r="S57" i="11"/>
  <c r="R57" i="11"/>
  <c r="Q57" i="11"/>
  <c r="P57" i="11"/>
  <c r="O57" i="11"/>
  <c r="N57" i="11"/>
  <c r="M57" i="11"/>
  <c r="L57" i="11"/>
  <c r="K57" i="11"/>
  <c r="J57" i="11"/>
  <c r="I57" i="11"/>
  <c r="H57" i="11"/>
  <c r="G57" i="11"/>
  <c r="F57" i="11"/>
  <c r="E57" i="11"/>
  <c r="D57" i="11"/>
  <c r="C57" i="11"/>
  <c r="B57" i="11"/>
  <c r="Y56" i="11"/>
  <c r="X56" i="11"/>
  <c r="W56" i="11"/>
  <c r="V56" i="11"/>
  <c r="U56" i="11"/>
  <c r="T56" i="11"/>
  <c r="S56" i="11"/>
  <c r="R56" i="11"/>
  <c r="Q56" i="11"/>
  <c r="P56" i="11"/>
  <c r="O56" i="11"/>
  <c r="N56" i="11"/>
  <c r="M56" i="11"/>
  <c r="L56" i="11"/>
  <c r="K56" i="11"/>
  <c r="J56" i="11"/>
  <c r="I56" i="11"/>
  <c r="H56" i="11"/>
  <c r="G56" i="11"/>
  <c r="F56" i="11"/>
  <c r="E56" i="11"/>
  <c r="D56" i="11"/>
  <c r="C56" i="11"/>
  <c r="B56" i="11"/>
  <c r="Y55" i="11"/>
  <c r="X55" i="11"/>
  <c r="W55" i="11"/>
  <c r="V55" i="11"/>
  <c r="U55" i="11"/>
  <c r="T55" i="11"/>
  <c r="S55" i="11"/>
  <c r="R55" i="11"/>
  <c r="Q55" i="11"/>
  <c r="P55" i="11"/>
  <c r="O55" i="11"/>
  <c r="N55" i="11"/>
  <c r="M55" i="11"/>
  <c r="L55" i="11"/>
  <c r="K55" i="11"/>
  <c r="J55" i="11"/>
  <c r="I55" i="11"/>
  <c r="H55" i="11"/>
  <c r="G55" i="11"/>
  <c r="F55" i="11"/>
  <c r="E55" i="11"/>
  <c r="D55" i="11"/>
  <c r="C55" i="11"/>
  <c r="B55" i="11"/>
  <c r="Y54" i="11"/>
  <c r="X54" i="11"/>
  <c r="W54" i="11"/>
  <c r="V54" i="11"/>
  <c r="U54" i="11"/>
  <c r="T54" i="11"/>
  <c r="S54" i="11"/>
  <c r="R54" i="11"/>
  <c r="Q54" i="11"/>
  <c r="P54" i="11"/>
  <c r="O54" i="11"/>
  <c r="N54" i="11"/>
  <c r="M54" i="11"/>
  <c r="L54" i="11"/>
  <c r="K54" i="11"/>
  <c r="J54" i="11"/>
  <c r="I54" i="11"/>
  <c r="H54" i="11"/>
  <c r="G54" i="11"/>
  <c r="F54" i="11"/>
  <c r="E54" i="11"/>
  <c r="D54" i="11"/>
  <c r="C54" i="11"/>
  <c r="B54" i="11"/>
  <c r="Y53" i="11"/>
  <c r="X53" i="11"/>
  <c r="W53" i="11"/>
  <c r="V53" i="11"/>
  <c r="U53" i="11"/>
  <c r="T53" i="11"/>
  <c r="S53" i="11"/>
  <c r="R53" i="11"/>
  <c r="Q53" i="11"/>
  <c r="P53" i="11"/>
  <c r="O53" i="11"/>
  <c r="N53" i="11"/>
  <c r="M53" i="11"/>
  <c r="L53" i="11"/>
  <c r="K53" i="11"/>
  <c r="J53" i="11"/>
  <c r="I53" i="11"/>
  <c r="H53" i="11"/>
  <c r="G53" i="11"/>
  <c r="F53" i="11"/>
  <c r="E53" i="11"/>
  <c r="D53" i="11"/>
  <c r="C53" i="11"/>
  <c r="B53" i="11"/>
  <c r="Y52" i="11"/>
  <c r="X52" i="11"/>
  <c r="W52" i="11"/>
  <c r="V52" i="11"/>
  <c r="U52" i="11"/>
  <c r="T52" i="11"/>
  <c r="S52" i="11"/>
  <c r="R52" i="11"/>
  <c r="Q52" i="11"/>
  <c r="P52" i="11"/>
  <c r="O52" i="11"/>
  <c r="N52" i="11"/>
  <c r="M52" i="11"/>
  <c r="L52" i="11"/>
  <c r="K52" i="11"/>
  <c r="J52" i="11"/>
  <c r="I52" i="11"/>
  <c r="H52" i="11"/>
  <c r="G52" i="11"/>
  <c r="F52" i="11"/>
  <c r="E52" i="11"/>
  <c r="D52" i="11"/>
  <c r="C52" i="11"/>
  <c r="B52" i="11"/>
  <c r="Y51" i="11"/>
  <c r="X51" i="11"/>
  <c r="W51" i="11"/>
  <c r="V51" i="11"/>
  <c r="U51" i="11"/>
  <c r="T51" i="11"/>
  <c r="S51" i="11"/>
  <c r="R51" i="11"/>
  <c r="Q51" i="11"/>
  <c r="P51" i="11"/>
  <c r="O51" i="11"/>
  <c r="N51" i="11"/>
  <c r="M51" i="11"/>
  <c r="L51" i="11"/>
  <c r="K51" i="11"/>
  <c r="J51" i="11"/>
  <c r="I51" i="11"/>
  <c r="H51" i="11"/>
  <c r="G51" i="11"/>
  <c r="F51" i="11"/>
  <c r="E51" i="11"/>
  <c r="D51" i="11"/>
  <c r="C51" i="11"/>
  <c r="B51" i="11"/>
  <c r="Y50" i="11"/>
  <c r="X50" i="11"/>
  <c r="W50" i="11"/>
  <c r="V50" i="11"/>
  <c r="U50" i="11"/>
  <c r="T50" i="11"/>
  <c r="S50" i="11"/>
  <c r="R50" i="11"/>
  <c r="Q50" i="11"/>
  <c r="P50" i="11"/>
  <c r="O50" i="11"/>
  <c r="N50" i="11"/>
  <c r="M50" i="11"/>
  <c r="L50" i="11"/>
  <c r="K50" i="11"/>
  <c r="J50" i="11"/>
  <c r="I50" i="11"/>
  <c r="H50" i="11"/>
  <c r="G50" i="11"/>
  <c r="F50" i="11"/>
  <c r="E50" i="11"/>
  <c r="D50" i="11"/>
  <c r="C50" i="11"/>
  <c r="B50" i="11"/>
  <c r="Y49" i="11"/>
  <c r="X49" i="11"/>
  <c r="W49" i="11"/>
  <c r="V49" i="11"/>
  <c r="U49" i="11"/>
  <c r="T49" i="11"/>
  <c r="S49" i="11"/>
  <c r="R49" i="11"/>
  <c r="Q49" i="11"/>
  <c r="P49" i="11"/>
  <c r="O49" i="11"/>
  <c r="N49" i="11"/>
  <c r="M49" i="11"/>
  <c r="L49" i="11"/>
  <c r="K49" i="11"/>
  <c r="J49" i="11"/>
  <c r="I49" i="11"/>
  <c r="H49" i="11"/>
  <c r="G49" i="11"/>
  <c r="F49" i="11"/>
  <c r="E49" i="11"/>
  <c r="D49" i="11"/>
  <c r="C49" i="11"/>
  <c r="B49" i="11"/>
  <c r="Y48" i="11"/>
  <c r="X48" i="11"/>
  <c r="W48" i="11"/>
  <c r="V48" i="11"/>
  <c r="U48" i="11"/>
  <c r="T48" i="11"/>
  <c r="S48" i="11"/>
  <c r="R48" i="11"/>
  <c r="Q48" i="11"/>
  <c r="P48" i="11"/>
  <c r="O48" i="11"/>
  <c r="N48" i="11"/>
  <c r="M48" i="11"/>
  <c r="L48" i="11"/>
  <c r="K48" i="11"/>
  <c r="J48" i="11"/>
  <c r="I48" i="11"/>
  <c r="H48" i="11"/>
  <c r="G48" i="11"/>
  <c r="F48" i="11"/>
  <c r="E48" i="11"/>
  <c r="D48" i="11"/>
  <c r="C48" i="11"/>
  <c r="B48" i="11"/>
  <c r="B46" i="11"/>
  <c r="Q64" i="10"/>
  <c r="P64" i="10"/>
  <c r="O64" i="10"/>
  <c r="N64" i="10"/>
  <c r="M64" i="10"/>
  <c r="L64" i="10"/>
  <c r="K64" i="10"/>
  <c r="J64" i="10"/>
  <c r="I64" i="10"/>
  <c r="H64" i="10"/>
  <c r="G64" i="10"/>
  <c r="F64" i="10"/>
  <c r="E64" i="10"/>
  <c r="D64" i="10"/>
  <c r="C64" i="10"/>
  <c r="B64" i="10"/>
  <c r="Q63" i="10"/>
  <c r="P63" i="10"/>
  <c r="O63" i="10"/>
  <c r="N63" i="10"/>
  <c r="M63" i="10"/>
  <c r="L63" i="10"/>
  <c r="K63" i="10"/>
  <c r="J63" i="10"/>
  <c r="I63" i="10"/>
  <c r="H63" i="10"/>
  <c r="G63" i="10"/>
  <c r="F63" i="10"/>
  <c r="E63" i="10"/>
  <c r="D63" i="10"/>
  <c r="C63" i="10"/>
  <c r="B63" i="10"/>
  <c r="Q62" i="10"/>
  <c r="P62" i="10"/>
  <c r="O62" i="10"/>
  <c r="N62" i="10"/>
  <c r="M62" i="10"/>
  <c r="L62" i="10"/>
  <c r="K62" i="10"/>
  <c r="J62" i="10"/>
  <c r="I62" i="10"/>
  <c r="H62" i="10"/>
  <c r="G62" i="10"/>
  <c r="F62" i="10"/>
  <c r="E62" i="10"/>
  <c r="D62" i="10"/>
  <c r="C62" i="10"/>
  <c r="B62" i="10"/>
  <c r="Q61" i="10"/>
  <c r="P61" i="10"/>
  <c r="O61" i="10"/>
  <c r="N61" i="10"/>
  <c r="M61" i="10"/>
  <c r="L61" i="10"/>
  <c r="K61" i="10"/>
  <c r="J61" i="10"/>
  <c r="I61" i="10"/>
  <c r="H61" i="10"/>
  <c r="G61" i="10"/>
  <c r="F61" i="10"/>
  <c r="E61" i="10"/>
  <c r="D61" i="10"/>
  <c r="C61" i="10"/>
  <c r="B61" i="10"/>
  <c r="Q60" i="10"/>
  <c r="P60" i="10"/>
  <c r="O60" i="10"/>
  <c r="N60" i="10"/>
  <c r="M60" i="10"/>
  <c r="L60" i="10"/>
  <c r="K60" i="10"/>
  <c r="J60" i="10"/>
  <c r="I60" i="10"/>
  <c r="H60" i="10"/>
  <c r="G60" i="10"/>
  <c r="F60" i="10"/>
  <c r="E60" i="10"/>
  <c r="D60" i="10"/>
  <c r="C60" i="10"/>
  <c r="B60" i="10"/>
  <c r="Q59" i="10"/>
  <c r="P59" i="10"/>
  <c r="O59" i="10"/>
  <c r="N59" i="10"/>
  <c r="M59" i="10"/>
  <c r="L59" i="10"/>
  <c r="K59" i="10"/>
  <c r="J59" i="10"/>
  <c r="I59" i="10"/>
  <c r="H59" i="10"/>
  <c r="G59" i="10"/>
  <c r="F59" i="10"/>
  <c r="E59" i="10"/>
  <c r="D59" i="10"/>
  <c r="C59" i="10"/>
  <c r="B59" i="10"/>
  <c r="Q58" i="10"/>
  <c r="P58" i="10"/>
  <c r="O58" i="10"/>
  <c r="N58" i="10"/>
  <c r="M58" i="10"/>
  <c r="L58" i="10"/>
  <c r="K58" i="10"/>
  <c r="J58" i="10"/>
  <c r="I58" i="10"/>
  <c r="H58" i="10"/>
  <c r="G58" i="10"/>
  <c r="F58" i="10"/>
  <c r="E58" i="10"/>
  <c r="D58" i="10"/>
  <c r="C58" i="10"/>
  <c r="B58" i="10"/>
  <c r="Q57" i="10"/>
  <c r="P57" i="10"/>
  <c r="O57" i="10"/>
  <c r="N57" i="10"/>
  <c r="M57" i="10"/>
  <c r="L57" i="10"/>
  <c r="K57" i="10"/>
  <c r="J57" i="10"/>
  <c r="I57" i="10"/>
  <c r="H57" i="10"/>
  <c r="G57" i="10"/>
  <c r="F57" i="10"/>
  <c r="E57" i="10"/>
  <c r="D57" i="10"/>
  <c r="C57" i="10"/>
  <c r="B57" i="10"/>
  <c r="Q56" i="10"/>
  <c r="P56" i="10"/>
  <c r="O56" i="10"/>
  <c r="N56" i="10"/>
  <c r="M56" i="10"/>
  <c r="L56" i="10"/>
  <c r="K56" i="10"/>
  <c r="J56" i="10"/>
  <c r="I56" i="10"/>
  <c r="H56" i="10"/>
  <c r="G56" i="10"/>
  <c r="F56" i="10"/>
  <c r="E56" i="10"/>
  <c r="D56" i="10"/>
  <c r="C56" i="10"/>
  <c r="B56" i="10"/>
  <c r="Q55" i="10"/>
  <c r="P55" i="10"/>
  <c r="O55" i="10"/>
  <c r="N55" i="10"/>
  <c r="M55" i="10"/>
  <c r="L55" i="10"/>
  <c r="K55" i="10"/>
  <c r="J55" i="10"/>
  <c r="I55" i="10"/>
  <c r="H55" i="10"/>
  <c r="G55" i="10"/>
  <c r="F55" i="10"/>
  <c r="E55" i="10"/>
  <c r="D55" i="10"/>
  <c r="C55" i="10"/>
  <c r="B55" i="10"/>
  <c r="Q54" i="10"/>
  <c r="P54" i="10"/>
  <c r="O54" i="10"/>
  <c r="N54" i="10"/>
  <c r="M54" i="10"/>
  <c r="L54" i="10"/>
  <c r="K54" i="10"/>
  <c r="J54" i="10"/>
  <c r="I54" i="10"/>
  <c r="H54" i="10"/>
  <c r="G54" i="10"/>
  <c r="F54" i="10"/>
  <c r="E54" i="10"/>
  <c r="D54" i="10"/>
  <c r="C54" i="10"/>
  <c r="B54" i="10"/>
  <c r="Q53" i="10"/>
  <c r="P53" i="10"/>
  <c r="O53" i="10"/>
  <c r="N53" i="10"/>
  <c r="M53" i="10"/>
  <c r="L53" i="10"/>
  <c r="K53" i="10"/>
  <c r="J53" i="10"/>
  <c r="I53" i="10"/>
  <c r="H53" i="10"/>
  <c r="G53" i="10"/>
  <c r="F53" i="10"/>
  <c r="E53" i="10"/>
  <c r="D53" i="10"/>
  <c r="C53" i="10"/>
  <c r="B53" i="10"/>
  <c r="Q52" i="10"/>
  <c r="P52" i="10"/>
  <c r="O52" i="10"/>
  <c r="N52" i="10"/>
  <c r="M52" i="10"/>
  <c r="L52" i="10"/>
  <c r="K52" i="10"/>
  <c r="J52" i="10"/>
  <c r="I52" i="10"/>
  <c r="H52" i="10"/>
  <c r="G52" i="10"/>
  <c r="F52" i="10"/>
  <c r="E52" i="10"/>
  <c r="D52" i="10"/>
  <c r="C52" i="10"/>
  <c r="B52" i="10"/>
  <c r="Q51" i="10"/>
  <c r="P51" i="10"/>
  <c r="O51" i="10"/>
  <c r="N51" i="10"/>
  <c r="M51" i="10"/>
  <c r="L51" i="10"/>
  <c r="K51" i="10"/>
  <c r="J51" i="10"/>
  <c r="I51" i="10"/>
  <c r="H51" i="10"/>
  <c r="G51" i="10"/>
  <c r="F51" i="10"/>
  <c r="E51" i="10"/>
  <c r="D51" i="10"/>
  <c r="C51" i="10"/>
  <c r="B51" i="10"/>
  <c r="Q50" i="10"/>
  <c r="P50" i="10"/>
  <c r="O50" i="10"/>
  <c r="N50" i="10"/>
  <c r="M50" i="10"/>
  <c r="L50" i="10"/>
  <c r="K50" i="10"/>
  <c r="J50" i="10"/>
  <c r="I50" i="10"/>
  <c r="H50" i="10"/>
  <c r="G50" i="10"/>
  <c r="F50" i="10"/>
  <c r="E50" i="10"/>
  <c r="D50" i="10"/>
  <c r="C50" i="10"/>
  <c r="B50" i="10"/>
  <c r="Q49" i="10"/>
  <c r="P49" i="10"/>
  <c r="O49" i="10"/>
  <c r="N49" i="10"/>
  <c r="M49" i="10"/>
  <c r="L49" i="10"/>
  <c r="K49" i="10"/>
  <c r="J49" i="10"/>
  <c r="I49" i="10"/>
  <c r="H49" i="10"/>
  <c r="G49" i="10"/>
  <c r="F49" i="10"/>
  <c r="E49" i="10"/>
  <c r="D49" i="10"/>
  <c r="C49" i="10"/>
  <c r="B49" i="10"/>
  <c r="Q48" i="10"/>
  <c r="P48" i="10"/>
  <c r="O48" i="10"/>
  <c r="N48" i="10"/>
  <c r="M48" i="10"/>
  <c r="L48" i="10"/>
  <c r="K48" i="10"/>
  <c r="J48" i="10"/>
  <c r="I48" i="10"/>
  <c r="H48" i="10"/>
  <c r="G48" i="10"/>
  <c r="F48" i="10"/>
  <c r="E48" i="10"/>
  <c r="D48" i="10"/>
  <c r="C48" i="10"/>
  <c r="B48" i="10"/>
  <c r="B46" i="10"/>
  <c r="Z76" i="9"/>
  <c r="Y76" i="9"/>
  <c r="X76" i="9"/>
  <c r="W76" i="9"/>
  <c r="V76" i="9"/>
  <c r="U76" i="9"/>
  <c r="T76" i="9"/>
  <c r="S76" i="9"/>
  <c r="R76" i="9"/>
  <c r="Q76" i="9"/>
  <c r="P76" i="9"/>
  <c r="O76" i="9"/>
  <c r="N76" i="9"/>
  <c r="M76" i="9"/>
  <c r="L76" i="9"/>
  <c r="K76" i="9"/>
  <c r="J76" i="9"/>
  <c r="I76" i="9"/>
  <c r="H76" i="9"/>
  <c r="G76" i="9"/>
  <c r="F76" i="9"/>
  <c r="E76" i="9"/>
  <c r="D76" i="9"/>
  <c r="C76" i="9"/>
  <c r="B76" i="9"/>
  <c r="Z75" i="9"/>
  <c r="Y75" i="9"/>
  <c r="X75" i="9"/>
  <c r="W75" i="9"/>
  <c r="V75" i="9"/>
  <c r="U75" i="9"/>
  <c r="T75" i="9"/>
  <c r="S75" i="9"/>
  <c r="R75" i="9"/>
  <c r="Q75" i="9"/>
  <c r="P75" i="9"/>
  <c r="O75" i="9"/>
  <c r="N75" i="9"/>
  <c r="M75" i="9"/>
  <c r="L75" i="9"/>
  <c r="K75" i="9"/>
  <c r="J75" i="9"/>
  <c r="I75" i="9"/>
  <c r="H75" i="9"/>
  <c r="G75" i="9"/>
  <c r="F75" i="9"/>
  <c r="E75" i="9"/>
  <c r="D75" i="9"/>
  <c r="C75" i="9"/>
  <c r="B75" i="9"/>
  <c r="Z74" i="9"/>
  <c r="Y74" i="9"/>
  <c r="X74" i="9"/>
  <c r="W74" i="9"/>
  <c r="V74" i="9"/>
  <c r="U74" i="9"/>
  <c r="T74" i="9"/>
  <c r="S74" i="9"/>
  <c r="R74" i="9"/>
  <c r="Q74" i="9"/>
  <c r="P74" i="9"/>
  <c r="O74" i="9"/>
  <c r="N74" i="9"/>
  <c r="M74" i="9"/>
  <c r="L74" i="9"/>
  <c r="K74" i="9"/>
  <c r="J74" i="9"/>
  <c r="I74" i="9"/>
  <c r="H74" i="9"/>
  <c r="G74" i="9"/>
  <c r="F74" i="9"/>
  <c r="E74" i="9"/>
  <c r="D74" i="9"/>
  <c r="C74" i="9"/>
  <c r="B74" i="9"/>
  <c r="Z73" i="9"/>
  <c r="Y73" i="9"/>
  <c r="X73" i="9"/>
  <c r="W73" i="9"/>
  <c r="V73" i="9"/>
  <c r="U73" i="9"/>
  <c r="T73" i="9"/>
  <c r="S73" i="9"/>
  <c r="R73" i="9"/>
  <c r="Q73" i="9"/>
  <c r="P73" i="9"/>
  <c r="O73" i="9"/>
  <c r="N73" i="9"/>
  <c r="M73" i="9"/>
  <c r="L73" i="9"/>
  <c r="K73" i="9"/>
  <c r="J73" i="9"/>
  <c r="I73" i="9"/>
  <c r="H73" i="9"/>
  <c r="G73" i="9"/>
  <c r="F73" i="9"/>
  <c r="E73" i="9"/>
  <c r="D73" i="9"/>
  <c r="C73" i="9"/>
  <c r="B73" i="9"/>
  <c r="Z72" i="9"/>
  <c r="Y72" i="9"/>
  <c r="X72" i="9"/>
  <c r="W72" i="9"/>
  <c r="V72" i="9"/>
  <c r="U72" i="9"/>
  <c r="T72" i="9"/>
  <c r="S72" i="9"/>
  <c r="R72" i="9"/>
  <c r="Q72" i="9"/>
  <c r="P72" i="9"/>
  <c r="O72" i="9"/>
  <c r="N72" i="9"/>
  <c r="M72" i="9"/>
  <c r="L72" i="9"/>
  <c r="K72" i="9"/>
  <c r="J72" i="9"/>
  <c r="I72" i="9"/>
  <c r="H72" i="9"/>
  <c r="G72" i="9"/>
  <c r="F72" i="9"/>
  <c r="E72" i="9"/>
  <c r="D72" i="9"/>
  <c r="C72" i="9"/>
  <c r="B72" i="9"/>
  <c r="Z71" i="9"/>
  <c r="Y71" i="9"/>
  <c r="X71" i="9"/>
  <c r="W71" i="9"/>
  <c r="V71" i="9"/>
  <c r="U71" i="9"/>
  <c r="T71" i="9"/>
  <c r="S71" i="9"/>
  <c r="R71" i="9"/>
  <c r="Q71" i="9"/>
  <c r="P71" i="9"/>
  <c r="O71" i="9"/>
  <c r="N71" i="9"/>
  <c r="M71" i="9"/>
  <c r="L71" i="9"/>
  <c r="K71" i="9"/>
  <c r="J71" i="9"/>
  <c r="I71" i="9"/>
  <c r="H71" i="9"/>
  <c r="G71" i="9"/>
  <c r="F71" i="9"/>
  <c r="E71" i="9"/>
  <c r="D71" i="9"/>
  <c r="C71" i="9"/>
  <c r="B71" i="9"/>
  <c r="Z70" i="9"/>
  <c r="Y70" i="9"/>
  <c r="X70" i="9"/>
  <c r="W70" i="9"/>
  <c r="V70" i="9"/>
  <c r="U70" i="9"/>
  <c r="T70" i="9"/>
  <c r="S70" i="9"/>
  <c r="R70" i="9"/>
  <c r="Q70" i="9"/>
  <c r="P70" i="9"/>
  <c r="O70" i="9"/>
  <c r="N70" i="9"/>
  <c r="M70" i="9"/>
  <c r="L70" i="9"/>
  <c r="K70" i="9"/>
  <c r="J70" i="9"/>
  <c r="I70" i="9"/>
  <c r="H70" i="9"/>
  <c r="G70" i="9"/>
  <c r="F70" i="9"/>
  <c r="E70" i="9"/>
  <c r="D70" i="9"/>
  <c r="C70" i="9"/>
  <c r="B70" i="9"/>
  <c r="Z69" i="9"/>
  <c r="Y69" i="9"/>
  <c r="X69" i="9"/>
  <c r="W69" i="9"/>
  <c r="V69" i="9"/>
  <c r="U69" i="9"/>
  <c r="T69" i="9"/>
  <c r="S69" i="9"/>
  <c r="R69" i="9"/>
  <c r="Q69" i="9"/>
  <c r="P69" i="9"/>
  <c r="O69" i="9"/>
  <c r="N69" i="9"/>
  <c r="M69" i="9"/>
  <c r="L69" i="9"/>
  <c r="K69" i="9"/>
  <c r="J69" i="9"/>
  <c r="I69" i="9"/>
  <c r="H69" i="9"/>
  <c r="G69" i="9"/>
  <c r="F69" i="9"/>
  <c r="E69" i="9"/>
  <c r="D69" i="9"/>
  <c r="C69" i="9"/>
  <c r="B69" i="9"/>
  <c r="Z68" i="9"/>
  <c r="Y68" i="9"/>
  <c r="X68" i="9"/>
  <c r="W68" i="9"/>
  <c r="V68" i="9"/>
  <c r="U68" i="9"/>
  <c r="T68" i="9"/>
  <c r="S68" i="9"/>
  <c r="R68" i="9"/>
  <c r="Q68" i="9"/>
  <c r="P68" i="9"/>
  <c r="O68" i="9"/>
  <c r="N68" i="9"/>
  <c r="M68" i="9"/>
  <c r="L68" i="9"/>
  <c r="K68" i="9"/>
  <c r="J68" i="9"/>
  <c r="I68" i="9"/>
  <c r="H68" i="9"/>
  <c r="G68" i="9"/>
  <c r="F68" i="9"/>
  <c r="E68" i="9"/>
  <c r="D68" i="9"/>
  <c r="C68" i="9"/>
  <c r="B68" i="9"/>
  <c r="Z67" i="9"/>
  <c r="Y67" i="9"/>
  <c r="X67" i="9"/>
  <c r="W67" i="9"/>
  <c r="V67" i="9"/>
  <c r="U67" i="9"/>
  <c r="T67" i="9"/>
  <c r="S67" i="9"/>
  <c r="R67" i="9"/>
  <c r="Q67" i="9"/>
  <c r="P67" i="9"/>
  <c r="O67" i="9"/>
  <c r="N67" i="9"/>
  <c r="M67" i="9"/>
  <c r="L67" i="9"/>
  <c r="K67" i="9"/>
  <c r="J67" i="9"/>
  <c r="I67" i="9"/>
  <c r="H67" i="9"/>
  <c r="G67" i="9"/>
  <c r="F67" i="9"/>
  <c r="E67" i="9"/>
  <c r="D67" i="9"/>
  <c r="C67" i="9"/>
  <c r="B67" i="9"/>
  <c r="Z66" i="9"/>
  <c r="Y66" i="9"/>
  <c r="X66" i="9"/>
  <c r="W66" i="9"/>
  <c r="V66" i="9"/>
  <c r="U66" i="9"/>
  <c r="T66" i="9"/>
  <c r="S66" i="9"/>
  <c r="R66" i="9"/>
  <c r="Q66" i="9"/>
  <c r="P66" i="9"/>
  <c r="O66" i="9"/>
  <c r="N66" i="9"/>
  <c r="M66" i="9"/>
  <c r="L66" i="9"/>
  <c r="K66" i="9"/>
  <c r="J66" i="9"/>
  <c r="I66" i="9"/>
  <c r="H66" i="9"/>
  <c r="G66" i="9"/>
  <c r="F66" i="9"/>
  <c r="E66" i="9"/>
  <c r="D66" i="9"/>
  <c r="C66" i="9"/>
  <c r="B66" i="9"/>
  <c r="Z65" i="9"/>
  <c r="Y65" i="9"/>
  <c r="X65" i="9"/>
  <c r="W65" i="9"/>
  <c r="V65" i="9"/>
  <c r="U65" i="9"/>
  <c r="T65" i="9"/>
  <c r="S65" i="9"/>
  <c r="R65" i="9"/>
  <c r="Q65" i="9"/>
  <c r="P65" i="9"/>
  <c r="O65" i="9"/>
  <c r="N65" i="9"/>
  <c r="M65" i="9"/>
  <c r="L65" i="9"/>
  <c r="K65" i="9"/>
  <c r="J65" i="9"/>
  <c r="I65" i="9"/>
  <c r="H65" i="9"/>
  <c r="G65" i="9"/>
  <c r="F65" i="9"/>
  <c r="E65" i="9"/>
  <c r="D65" i="9"/>
  <c r="C65" i="9"/>
  <c r="B65" i="9"/>
  <c r="Z64" i="9"/>
  <c r="Y64" i="9"/>
  <c r="X64" i="9"/>
  <c r="W64" i="9"/>
  <c r="V64" i="9"/>
  <c r="U64" i="9"/>
  <c r="T64" i="9"/>
  <c r="S64" i="9"/>
  <c r="R64" i="9"/>
  <c r="Q64" i="9"/>
  <c r="P64" i="9"/>
  <c r="O64" i="9"/>
  <c r="N64" i="9"/>
  <c r="M64" i="9"/>
  <c r="L64" i="9"/>
  <c r="K64" i="9"/>
  <c r="J64" i="9"/>
  <c r="I64" i="9"/>
  <c r="H64" i="9"/>
  <c r="G64" i="9"/>
  <c r="F64" i="9"/>
  <c r="E64" i="9"/>
  <c r="D64" i="9"/>
  <c r="C64" i="9"/>
  <c r="B64" i="9"/>
  <c r="Z63" i="9"/>
  <c r="Y63" i="9"/>
  <c r="X63" i="9"/>
  <c r="W63" i="9"/>
  <c r="V63" i="9"/>
  <c r="U63" i="9"/>
  <c r="T63" i="9"/>
  <c r="S63" i="9"/>
  <c r="R63" i="9"/>
  <c r="Q63" i="9"/>
  <c r="P63" i="9"/>
  <c r="O63" i="9"/>
  <c r="N63" i="9"/>
  <c r="M63" i="9"/>
  <c r="L63" i="9"/>
  <c r="K63" i="9"/>
  <c r="J63" i="9"/>
  <c r="I63" i="9"/>
  <c r="H63" i="9"/>
  <c r="G63" i="9"/>
  <c r="F63" i="9"/>
  <c r="E63" i="9"/>
  <c r="D63" i="9"/>
  <c r="C63" i="9"/>
  <c r="B63" i="9"/>
  <c r="Z62" i="9"/>
  <c r="Y62" i="9"/>
  <c r="X62" i="9"/>
  <c r="W62" i="9"/>
  <c r="V62" i="9"/>
  <c r="U62" i="9"/>
  <c r="T62" i="9"/>
  <c r="S62" i="9"/>
  <c r="R62" i="9"/>
  <c r="Q62" i="9"/>
  <c r="P62" i="9"/>
  <c r="O62" i="9"/>
  <c r="N62" i="9"/>
  <c r="M62" i="9"/>
  <c r="L62" i="9"/>
  <c r="K62" i="9"/>
  <c r="J62" i="9"/>
  <c r="I62" i="9"/>
  <c r="H62" i="9"/>
  <c r="G62" i="9"/>
  <c r="F62" i="9"/>
  <c r="E62" i="9"/>
  <c r="D62" i="9"/>
  <c r="C62" i="9"/>
  <c r="B62" i="9"/>
  <c r="Z61" i="9"/>
  <c r="Y61" i="9"/>
  <c r="X61" i="9"/>
  <c r="W61" i="9"/>
  <c r="V61" i="9"/>
  <c r="U61" i="9"/>
  <c r="T61" i="9"/>
  <c r="S61" i="9"/>
  <c r="R61" i="9"/>
  <c r="Q61" i="9"/>
  <c r="P61" i="9"/>
  <c r="O61" i="9"/>
  <c r="N61" i="9"/>
  <c r="M61" i="9"/>
  <c r="L61" i="9"/>
  <c r="K61" i="9"/>
  <c r="J61" i="9"/>
  <c r="I61" i="9"/>
  <c r="H61" i="9"/>
  <c r="G61" i="9"/>
  <c r="F61" i="9"/>
  <c r="E61" i="9"/>
  <c r="D61" i="9"/>
  <c r="C61" i="9"/>
  <c r="B61" i="9"/>
  <c r="Z60" i="9"/>
  <c r="Y60" i="9"/>
  <c r="X60" i="9"/>
  <c r="W60" i="9"/>
  <c r="V60" i="9"/>
  <c r="U60" i="9"/>
  <c r="T60" i="9"/>
  <c r="S60" i="9"/>
  <c r="R60" i="9"/>
  <c r="Q60" i="9"/>
  <c r="P60" i="9"/>
  <c r="O60" i="9"/>
  <c r="N60" i="9"/>
  <c r="M60" i="9"/>
  <c r="L60" i="9"/>
  <c r="K60" i="9"/>
  <c r="J60" i="9"/>
  <c r="I60" i="9"/>
  <c r="H60" i="9"/>
  <c r="G60" i="9"/>
  <c r="F60" i="9"/>
  <c r="E60" i="9"/>
  <c r="D60" i="9"/>
  <c r="C60" i="9"/>
  <c r="B60" i="9"/>
  <c r="Z59" i="9"/>
  <c r="Y59" i="9"/>
  <c r="X59" i="9"/>
  <c r="W59" i="9"/>
  <c r="V59" i="9"/>
  <c r="U59" i="9"/>
  <c r="T59" i="9"/>
  <c r="S59" i="9"/>
  <c r="R59" i="9"/>
  <c r="Q59" i="9"/>
  <c r="P59" i="9"/>
  <c r="O59" i="9"/>
  <c r="N59" i="9"/>
  <c r="M59" i="9"/>
  <c r="L59" i="9"/>
  <c r="K59" i="9"/>
  <c r="J59" i="9"/>
  <c r="I59" i="9"/>
  <c r="H59" i="9"/>
  <c r="G59" i="9"/>
  <c r="F59" i="9"/>
  <c r="E59" i="9"/>
  <c r="D59" i="9"/>
  <c r="C59" i="9"/>
  <c r="B59" i="9"/>
  <c r="Z58" i="9"/>
  <c r="Y58" i="9"/>
  <c r="X58" i="9"/>
  <c r="W58" i="9"/>
  <c r="V58" i="9"/>
  <c r="U58" i="9"/>
  <c r="T58" i="9"/>
  <c r="S58" i="9"/>
  <c r="R58" i="9"/>
  <c r="Q58" i="9"/>
  <c r="P58" i="9"/>
  <c r="O58" i="9"/>
  <c r="N58" i="9"/>
  <c r="M58" i="9"/>
  <c r="L58" i="9"/>
  <c r="K58" i="9"/>
  <c r="J58" i="9"/>
  <c r="I58" i="9"/>
  <c r="H58" i="9"/>
  <c r="G58" i="9"/>
  <c r="F58" i="9"/>
  <c r="E58" i="9"/>
  <c r="D58" i="9"/>
  <c r="C58" i="9"/>
  <c r="B58" i="9"/>
  <c r="Z57" i="9"/>
  <c r="Y57" i="9"/>
  <c r="X57" i="9"/>
  <c r="W57" i="9"/>
  <c r="V57" i="9"/>
  <c r="U57" i="9"/>
  <c r="T57" i="9"/>
  <c r="S57" i="9"/>
  <c r="R57" i="9"/>
  <c r="Q57" i="9"/>
  <c r="P57" i="9"/>
  <c r="O57" i="9"/>
  <c r="N57" i="9"/>
  <c r="M57" i="9"/>
  <c r="L57" i="9"/>
  <c r="K57" i="9"/>
  <c r="J57" i="9"/>
  <c r="I57" i="9"/>
  <c r="H57" i="9"/>
  <c r="G57" i="9"/>
  <c r="F57" i="9"/>
  <c r="E57" i="9"/>
  <c r="D57" i="9"/>
  <c r="C57" i="9"/>
  <c r="B57" i="9"/>
  <c r="Z56" i="9"/>
  <c r="Y56" i="9"/>
  <c r="X56" i="9"/>
  <c r="W56" i="9"/>
  <c r="V56" i="9"/>
  <c r="U56" i="9"/>
  <c r="T56" i="9"/>
  <c r="S56" i="9"/>
  <c r="R56" i="9"/>
  <c r="Q56" i="9"/>
  <c r="P56" i="9"/>
  <c r="O56" i="9"/>
  <c r="N56" i="9"/>
  <c r="M56" i="9"/>
  <c r="L56" i="9"/>
  <c r="K56" i="9"/>
  <c r="J56" i="9"/>
  <c r="I56" i="9"/>
  <c r="H56" i="9"/>
  <c r="G56" i="9"/>
  <c r="F56" i="9"/>
  <c r="E56" i="9"/>
  <c r="D56" i="9"/>
  <c r="C56" i="9"/>
  <c r="B56" i="9"/>
  <c r="B54" i="9"/>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C76" i="8"/>
  <c r="B76"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C75" i="8"/>
  <c r="B75"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C74" i="8"/>
  <c r="B74"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C73" i="8"/>
  <c r="B73"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C72" i="8"/>
  <c r="B72"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C71" i="8"/>
  <c r="B71" i="8"/>
  <c r="AF70" i="8"/>
  <c r="AE70" i="8"/>
  <c r="AD70" i="8"/>
  <c r="AC70" i="8"/>
  <c r="AB70" i="8"/>
  <c r="AA70" i="8"/>
  <c r="Z70" i="8"/>
  <c r="Y70" i="8"/>
  <c r="X70" i="8"/>
  <c r="W70" i="8"/>
  <c r="V70" i="8"/>
  <c r="U70" i="8"/>
  <c r="T70" i="8"/>
  <c r="S70" i="8"/>
  <c r="R70" i="8"/>
  <c r="Q70" i="8"/>
  <c r="P70" i="8"/>
  <c r="O70" i="8"/>
  <c r="N70" i="8"/>
  <c r="M70" i="8"/>
  <c r="L70" i="8"/>
  <c r="K70" i="8"/>
  <c r="J70" i="8"/>
  <c r="I70" i="8"/>
  <c r="H70" i="8"/>
  <c r="G70" i="8"/>
  <c r="F70" i="8"/>
  <c r="E70" i="8"/>
  <c r="D70" i="8"/>
  <c r="C70" i="8"/>
  <c r="B70" i="8"/>
  <c r="AF69" i="8"/>
  <c r="AE69" i="8"/>
  <c r="AD69" i="8"/>
  <c r="AC69" i="8"/>
  <c r="AB69" i="8"/>
  <c r="AA69" i="8"/>
  <c r="Z69" i="8"/>
  <c r="Y69" i="8"/>
  <c r="X69" i="8"/>
  <c r="W69" i="8"/>
  <c r="V69" i="8"/>
  <c r="U69" i="8"/>
  <c r="T69" i="8"/>
  <c r="S69" i="8"/>
  <c r="R69" i="8"/>
  <c r="Q69" i="8"/>
  <c r="P69" i="8"/>
  <c r="O69" i="8"/>
  <c r="N69" i="8"/>
  <c r="M69" i="8"/>
  <c r="L69" i="8"/>
  <c r="K69" i="8"/>
  <c r="J69" i="8"/>
  <c r="I69" i="8"/>
  <c r="H69" i="8"/>
  <c r="G69" i="8"/>
  <c r="F69" i="8"/>
  <c r="E69" i="8"/>
  <c r="D69" i="8"/>
  <c r="C69" i="8"/>
  <c r="B69" i="8"/>
  <c r="AF68" i="8"/>
  <c r="AE68" i="8"/>
  <c r="AD68" i="8"/>
  <c r="AC68" i="8"/>
  <c r="AB68" i="8"/>
  <c r="AA68" i="8"/>
  <c r="Z68" i="8"/>
  <c r="Y68" i="8"/>
  <c r="X68" i="8"/>
  <c r="W68" i="8"/>
  <c r="V68" i="8"/>
  <c r="U68" i="8"/>
  <c r="T68" i="8"/>
  <c r="S68" i="8"/>
  <c r="R68" i="8"/>
  <c r="Q68" i="8"/>
  <c r="P68" i="8"/>
  <c r="O68" i="8"/>
  <c r="N68" i="8"/>
  <c r="M68" i="8"/>
  <c r="L68" i="8"/>
  <c r="K68" i="8"/>
  <c r="J68" i="8"/>
  <c r="I68" i="8"/>
  <c r="H68" i="8"/>
  <c r="G68" i="8"/>
  <c r="F68" i="8"/>
  <c r="E68" i="8"/>
  <c r="D68" i="8"/>
  <c r="C68" i="8"/>
  <c r="B68" i="8"/>
  <c r="AF67" i="8"/>
  <c r="AE67" i="8"/>
  <c r="AD67" i="8"/>
  <c r="AC67" i="8"/>
  <c r="AB67" i="8"/>
  <c r="AA67" i="8"/>
  <c r="Z67" i="8"/>
  <c r="Y67" i="8"/>
  <c r="X67" i="8"/>
  <c r="W67" i="8"/>
  <c r="V67" i="8"/>
  <c r="U67" i="8"/>
  <c r="T67" i="8"/>
  <c r="S67" i="8"/>
  <c r="R67" i="8"/>
  <c r="Q67" i="8"/>
  <c r="P67" i="8"/>
  <c r="O67" i="8"/>
  <c r="N67" i="8"/>
  <c r="M67" i="8"/>
  <c r="L67" i="8"/>
  <c r="K67" i="8"/>
  <c r="J67" i="8"/>
  <c r="I67" i="8"/>
  <c r="H67" i="8"/>
  <c r="G67" i="8"/>
  <c r="F67" i="8"/>
  <c r="E67" i="8"/>
  <c r="D67" i="8"/>
  <c r="C67" i="8"/>
  <c r="B67" i="8"/>
  <c r="AF66" i="8"/>
  <c r="AE66" i="8"/>
  <c r="AD66" i="8"/>
  <c r="AC66" i="8"/>
  <c r="AB66" i="8"/>
  <c r="AA66" i="8"/>
  <c r="Z66" i="8"/>
  <c r="Y66" i="8"/>
  <c r="X66" i="8"/>
  <c r="W66" i="8"/>
  <c r="V66" i="8"/>
  <c r="U66" i="8"/>
  <c r="T66" i="8"/>
  <c r="S66" i="8"/>
  <c r="R66" i="8"/>
  <c r="Q66" i="8"/>
  <c r="P66" i="8"/>
  <c r="O66" i="8"/>
  <c r="N66" i="8"/>
  <c r="M66" i="8"/>
  <c r="L66" i="8"/>
  <c r="K66" i="8"/>
  <c r="J66" i="8"/>
  <c r="I66" i="8"/>
  <c r="H66" i="8"/>
  <c r="G66" i="8"/>
  <c r="F66" i="8"/>
  <c r="E66" i="8"/>
  <c r="D66" i="8"/>
  <c r="C66" i="8"/>
  <c r="B66" i="8"/>
  <c r="AF65" i="8"/>
  <c r="AE65" i="8"/>
  <c r="AD65" i="8"/>
  <c r="AC65" i="8"/>
  <c r="AB65" i="8"/>
  <c r="AA65" i="8"/>
  <c r="Z65" i="8"/>
  <c r="Y65" i="8"/>
  <c r="X65" i="8"/>
  <c r="W65" i="8"/>
  <c r="V65" i="8"/>
  <c r="U65" i="8"/>
  <c r="T65" i="8"/>
  <c r="S65" i="8"/>
  <c r="R65" i="8"/>
  <c r="Q65" i="8"/>
  <c r="P65" i="8"/>
  <c r="O65" i="8"/>
  <c r="N65" i="8"/>
  <c r="M65" i="8"/>
  <c r="L65" i="8"/>
  <c r="K65" i="8"/>
  <c r="J65" i="8"/>
  <c r="I65" i="8"/>
  <c r="H65" i="8"/>
  <c r="G65" i="8"/>
  <c r="F65" i="8"/>
  <c r="E65" i="8"/>
  <c r="D65" i="8"/>
  <c r="C65" i="8"/>
  <c r="B65" i="8"/>
  <c r="AF64" i="8"/>
  <c r="AE64" i="8"/>
  <c r="AD64" i="8"/>
  <c r="AC64" i="8"/>
  <c r="AB64" i="8"/>
  <c r="AA64" i="8"/>
  <c r="Z64" i="8"/>
  <c r="Y64" i="8"/>
  <c r="X64" i="8"/>
  <c r="W64" i="8"/>
  <c r="V64" i="8"/>
  <c r="U64" i="8"/>
  <c r="T64" i="8"/>
  <c r="S64" i="8"/>
  <c r="R64" i="8"/>
  <c r="Q64" i="8"/>
  <c r="P64" i="8"/>
  <c r="O64" i="8"/>
  <c r="N64" i="8"/>
  <c r="M64" i="8"/>
  <c r="L64" i="8"/>
  <c r="K64" i="8"/>
  <c r="J64" i="8"/>
  <c r="I64" i="8"/>
  <c r="H64" i="8"/>
  <c r="G64" i="8"/>
  <c r="F64" i="8"/>
  <c r="E64" i="8"/>
  <c r="D64" i="8"/>
  <c r="C64" i="8"/>
  <c r="B64" i="8"/>
  <c r="AF63" i="8"/>
  <c r="AE63" i="8"/>
  <c r="AD63" i="8"/>
  <c r="AC63" i="8"/>
  <c r="AB63" i="8"/>
  <c r="AA63" i="8"/>
  <c r="Z63" i="8"/>
  <c r="Y63" i="8"/>
  <c r="X63" i="8"/>
  <c r="W63" i="8"/>
  <c r="V63" i="8"/>
  <c r="U63" i="8"/>
  <c r="T63" i="8"/>
  <c r="S63" i="8"/>
  <c r="R63" i="8"/>
  <c r="Q63" i="8"/>
  <c r="P63" i="8"/>
  <c r="O63" i="8"/>
  <c r="N63" i="8"/>
  <c r="M63" i="8"/>
  <c r="L63" i="8"/>
  <c r="K63" i="8"/>
  <c r="J63" i="8"/>
  <c r="I63" i="8"/>
  <c r="H63" i="8"/>
  <c r="G63" i="8"/>
  <c r="F63" i="8"/>
  <c r="E63" i="8"/>
  <c r="D63" i="8"/>
  <c r="C63" i="8"/>
  <c r="B63" i="8"/>
  <c r="AF62" i="8"/>
  <c r="AE62" i="8"/>
  <c r="AD62" i="8"/>
  <c r="AC62" i="8"/>
  <c r="AB62" i="8"/>
  <c r="AA62" i="8"/>
  <c r="Z62" i="8"/>
  <c r="Y62" i="8"/>
  <c r="X62" i="8"/>
  <c r="W62" i="8"/>
  <c r="V62" i="8"/>
  <c r="U62" i="8"/>
  <c r="T62" i="8"/>
  <c r="S62" i="8"/>
  <c r="R62" i="8"/>
  <c r="Q62" i="8"/>
  <c r="P62" i="8"/>
  <c r="O62" i="8"/>
  <c r="N62" i="8"/>
  <c r="M62" i="8"/>
  <c r="L62" i="8"/>
  <c r="K62" i="8"/>
  <c r="J62" i="8"/>
  <c r="I62" i="8"/>
  <c r="H62" i="8"/>
  <c r="G62" i="8"/>
  <c r="F62" i="8"/>
  <c r="E62" i="8"/>
  <c r="D62" i="8"/>
  <c r="C62" i="8"/>
  <c r="B62" i="8"/>
  <c r="AF61" i="8"/>
  <c r="AE61" i="8"/>
  <c r="AD61" i="8"/>
  <c r="AC61" i="8"/>
  <c r="AB61" i="8"/>
  <c r="AA61" i="8"/>
  <c r="Z61" i="8"/>
  <c r="Y61" i="8"/>
  <c r="X61" i="8"/>
  <c r="W61" i="8"/>
  <c r="V61" i="8"/>
  <c r="U61" i="8"/>
  <c r="T61" i="8"/>
  <c r="S61" i="8"/>
  <c r="R61" i="8"/>
  <c r="Q61" i="8"/>
  <c r="P61" i="8"/>
  <c r="O61" i="8"/>
  <c r="N61" i="8"/>
  <c r="M61" i="8"/>
  <c r="L61" i="8"/>
  <c r="K61" i="8"/>
  <c r="J61" i="8"/>
  <c r="I61" i="8"/>
  <c r="H61" i="8"/>
  <c r="G61" i="8"/>
  <c r="F61" i="8"/>
  <c r="E61" i="8"/>
  <c r="D61" i="8"/>
  <c r="C61" i="8"/>
  <c r="B61" i="8"/>
  <c r="AF60" i="8"/>
  <c r="AE60" i="8"/>
  <c r="AD60" i="8"/>
  <c r="AC60" i="8"/>
  <c r="AB60" i="8"/>
  <c r="AA60" i="8"/>
  <c r="Z60" i="8"/>
  <c r="Y60" i="8"/>
  <c r="X60" i="8"/>
  <c r="W60" i="8"/>
  <c r="V60" i="8"/>
  <c r="U60" i="8"/>
  <c r="T60" i="8"/>
  <c r="S60" i="8"/>
  <c r="R60" i="8"/>
  <c r="Q60" i="8"/>
  <c r="P60" i="8"/>
  <c r="O60" i="8"/>
  <c r="N60" i="8"/>
  <c r="M60" i="8"/>
  <c r="L60" i="8"/>
  <c r="K60" i="8"/>
  <c r="J60" i="8"/>
  <c r="I60" i="8"/>
  <c r="H60" i="8"/>
  <c r="G60" i="8"/>
  <c r="F60" i="8"/>
  <c r="E60" i="8"/>
  <c r="D60" i="8"/>
  <c r="C60" i="8"/>
  <c r="B60" i="8"/>
  <c r="AF59" i="8"/>
  <c r="AE59" i="8"/>
  <c r="AD59" i="8"/>
  <c r="AC59" i="8"/>
  <c r="AB59" i="8"/>
  <c r="AA59" i="8"/>
  <c r="Z59" i="8"/>
  <c r="Y59" i="8"/>
  <c r="X59" i="8"/>
  <c r="W59" i="8"/>
  <c r="V59" i="8"/>
  <c r="U59" i="8"/>
  <c r="T59" i="8"/>
  <c r="S59" i="8"/>
  <c r="R59" i="8"/>
  <c r="Q59" i="8"/>
  <c r="P59" i="8"/>
  <c r="O59" i="8"/>
  <c r="N59" i="8"/>
  <c r="M59" i="8"/>
  <c r="L59" i="8"/>
  <c r="K59" i="8"/>
  <c r="J59" i="8"/>
  <c r="I59" i="8"/>
  <c r="H59" i="8"/>
  <c r="G59" i="8"/>
  <c r="F59" i="8"/>
  <c r="E59" i="8"/>
  <c r="D59" i="8"/>
  <c r="C59" i="8"/>
  <c r="B59" i="8"/>
  <c r="AF58" i="8"/>
  <c r="AE58" i="8"/>
  <c r="AD58" i="8"/>
  <c r="AC58" i="8"/>
  <c r="AB58" i="8"/>
  <c r="AA58" i="8"/>
  <c r="Z58" i="8"/>
  <c r="Y58" i="8"/>
  <c r="X58" i="8"/>
  <c r="W58" i="8"/>
  <c r="V58" i="8"/>
  <c r="U58" i="8"/>
  <c r="T58" i="8"/>
  <c r="S58" i="8"/>
  <c r="R58" i="8"/>
  <c r="Q58" i="8"/>
  <c r="P58" i="8"/>
  <c r="O58" i="8"/>
  <c r="N58" i="8"/>
  <c r="M58" i="8"/>
  <c r="L58" i="8"/>
  <c r="K58" i="8"/>
  <c r="J58" i="8"/>
  <c r="I58" i="8"/>
  <c r="H58" i="8"/>
  <c r="G58" i="8"/>
  <c r="F58" i="8"/>
  <c r="E58" i="8"/>
  <c r="D58" i="8"/>
  <c r="C58" i="8"/>
  <c r="B58" i="8"/>
  <c r="AF57" i="8"/>
  <c r="AE57" i="8"/>
  <c r="AD57" i="8"/>
  <c r="AC57" i="8"/>
  <c r="AB57" i="8"/>
  <c r="AA57" i="8"/>
  <c r="Z57" i="8"/>
  <c r="Y57" i="8"/>
  <c r="X57" i="8"/>
  <c r="W57" i="8"/>
  <c r="V57" i="8"/>
  <c r="U57" i="8"/>
  <c r="T57" i="8"/>
  <c r="S57" i="8"/>
  <c r="R57" i="8"/>
  <c r="Q57" i="8"/>
  <c r="P57" i="8"/>
  <c r="O57" i="8"/>
  <c r="N57" i="8"/>
  <c r="M57" i="8"/>
  <c r="L57" i="8"/>
  <c r="K57" i="8"/>
  <c r="J57" i="8"/>
  <c r="I57" i="8"/>
  <c r="H57" i="8"/>
  <c r="G57" i="8"/>
  <c r="F57" i="8"/>
  <c r="E57" i="8"/>
  <c r="D57" i="8"/>
  <c r="C57" i="8"/>
  <c r="B57" i="8"/>
  <c r="AF56" i="8"/>
  <c r="AE56" i="8"/>
  <c r="AD56" i="8"/>
  <c r="AC56" i="8"/>
  <c r="AB56" i="8"/>
  <c r="AA56" i="8"/>
  <c r="Z56" i="8"/>
  <c r="Y56" i="8"/>
  <c r="X56" i="8"/>
  <c r="W56" i="8"/>
  <c r="V56" i="8"/>
  <c r="U56" i="8"/>
  <c r="T56" i="8"/>
  <c r="S56" i="8"/>
  <c r="R56" i="8"/>
  <c r="Q56" i="8"/>
  <c r="P56" i="8"/>
  <c r="O56" i="8"/>
  <c r="N56" i="8"/>
  <c r="M56" i="8"/>
  <c r="L56" i="8"/>
  <c r="K56" i="8"/>
  <c r="J56" i="8"/>
  <c r="I56" i="8"/>
  <c r="H56" i="8"/>
  <c r="G56" i="8"/>
  <c r="F56" i="8"/>
  <c r="E56" i="8"/>
  <c r="D56" i="8"/>
  <c r="C56" i="8"/>
  <c r="B56" i="8"/>
  <c r="B54" i="8"/>
  <c r="AK76" i="7"/>
  <c r="AJ76" i="7"/>
  <c r="AI76" i="7"/>
  <c r="AH76" i="7"/>
  <c r="AG76" i="7"/>
  <c r="AF76" i="7"/>
  <c r="AE76" i="7"/>
  <c r="AD76" i="7"/>
  <c r="AC76" i="7"/>
  <c r="AB76" i="7"/>
  <c r="AA76" i="7"/>
  <c r="Z76" i="7"/>
  <c r="Y76" i="7"/>
  <c r="X76" i="7"/>
  <c r="W76" i="7"/>
  <c r="V76" i="7"/>
  <c r="U76" i="7"/>
  <c r="T76" i="7"/>
  <c r="S76" i="7"/>
  <c r="R76" i="7"/>
  <c r="Q76" i="7"/>
  <c r="P76" i="7"/>
  <c r="O76" i="7"/>
  <c r="N76" i="7"/>
  <c r="M76" i="7"/>
  <c r="L76" i="7"/>
  <c r="K76" i="7"/>
  <c r="J76" i="7"/>
  <c r="I76" i="7"/>
  <c r="H76" i="7"/>
  <c r="G76" i="7"/>
  <c r="F76" i="7"/>
  <c r="E76" i="7"/>
  <c r="D76" i="7"/>
  <c r="C76" i="7"/>
  <c r="B76" i="7"/>
  <c r="AK75" i="7"/>
  <c r="AJ75" i="7"/>
  <c r="AI75" i="7"/>
  <c r="AH75" i="7"/>
  <c r="AG75" i="7"/>
  <c r="AF75" i="7"/>
  <c r="AE75" i="7"/>
  <c r="AD75" i="7"/>
  <c r="AC75" i="7"/>
  <c r="AB75" i="7"/>
  <c r="AA75" i="7"/>
  <c r="Z75" i="7"/>
  <c r="Y75" i="7"/>
  <c r="X75" i="7"/>
  <c r="W75" i="7"/>
  <c r="V75" i="7"/>
  <c r="U75" i="7"/>
  <c r="T75" i="7"/>
  <c r="S75" i="7"/>
  <c r="R75" i="7"/>
  <c r="Q75" i="7"/>
  <c r="P75" i="7"/>
  <c r="O75" i="7"/>
  <c r="N75" i="7"/>
  <c r="M75" i="7"/>
  <c r="L75" i="7"/>
  <c r="K75" i="7"/>
  <c r="J75" i="7"/>
  <c r="I75" i="7"/>
  <c r="H75" i="7"/>
  <c r="G75" i="7"/>
  <c r="F75" i="7"/>
  <c r="E75" i="7"/>
  <c r="D75" i="7"/>
  <c r="C75" i="7"/>
  <c r="B75" i="7"/>
  <c r="AK74" i="7"/>
  <c r="AJ74" i="7"/>
  <c r="AI74" i="7"/>
  <c r="AH74" i="7"/>
  <c r="AG74" i="7"/>
  <c r="AF74" i="7"/>
  <c r="AE74" i="7"/>
  <c r="AD74" i="7"/>
  <c r="AC74" i="7"/>
  <c r="AB74" i="7"/>
  <c r="AA74" i="7"/>
  <c r="Z74" i="7"/>
  <c r="Y74" i="7"/>
  <c r="X74" i="7"/>
  <c r="W74" i="7"/>
  <c r="V74" i="7"/>
  <c r="U74" i="7"/>
  <c r="T74" i="7"/>
  <c r="S74" i="7"/>
  <c r="R74" i="7"/>
  <c r="Q74" i="7"/>
  <c r="P74" i="7"/>
  <c r="O74" i="7"/>
  <c r="N74" i="7"/>
  <c r="M74" i="7"/>
  <c r="L74" i="7"/>
  <c r="K74" i="7"/>
  <c r="J74" i="7"/>
  <c r="I74" i="7"/>
  <c r="H74" i="7"/>
  <c r="G74" i="7"/>
  <c r="F74" i="7"/>
  <c r="E74" i="7"/>
  <c r="D74" i="7"/>
  <c r="C74" i="7"/>
  <c r="B74" i="7"/>
  <c r="AK73" i="7"/>
  <c r="AJ73" i="7"/>
  <c r="AI73" i="7"/>
  <c r="AH73" i="7"/>
  <c r="AG73" i="7"/>
  <c r="AF73" i="7"/>
  <c r="AE73" i="7"/>
  <c r="AD73" i="7"/>
  <c r="AC73" i="7"/>
  <c r="AB73" i="7"/>
  <c r="AA73" i="7"/>
  <c r="Z73" i="7"/>
  <c r="Y73" i="7"/>
  <c r="X73" i="7"/>
  <c r="W73" i="7"/>
  <c r="V73" i="7"/>
  <c r="U73" i="7"/>
  <c r="T73" i="7"/>
  <c r="S73" i="7"/>
  <c r="R73" i="7"/>
  <c r="Q73" i="7"/>
  <c r="P73" i="7"/>
  <c r="O73" i="7"/>
  <c r="N73" i="7"/>
  <c r="M73" i="7"/>
  <c r="L73" i="7"/>
  <c r="K73" i="7"/>
  <c r="J73" i="7"/>
  <c r="I73" i="7"/>
  <c r="H73" i="7"/>
  <c r="G73" i="7"/>
  <c r="F73" i="7"/>
  <c r="E73" i="7"/>
  <c r="D73" i="7"/>
  <c r="C73" i="7"/>
  <c r="B73" i="7"/>
  <c r="AK72" i="7"/>
  <c r="AJ72" i="7"/>
  <c r="AI72" i="7"/>
  <c r="AH72" i="7"/>
  <c r="AG72" i="7"/>
  <c r="AF72" i="7"/>
  <c r="AE72" i="7"/>
  <c r="AD72" i="7"/>
  <c r="AC72" i="7"/>
  <c r="AB72" i="7"/>
  <c r="AA72" i="7"/>
  <c r="Z72" i="7"/>
  <c r="Y72" i="7"/>
  <c r="X72" i="7"/>
  <c r="W72" i="7"/>
  <c r="V72" i="7"/>
  <c r="U72" i="7"/>
  <c r="T72" i="7"/>
  <c r="S72" i="7"/>
  <c r="R72" i="7"/>
  <c r="Q72" i="7"/>
  <c r="P72" i="7"/>
  <c r="O72" i="7"/>
  <c r="N72" i="7"/>
  <c r="M72" i="7"/>
  <c r="L72" i="7"/>
  <c r="K72" i="7"/>
  <c r="J72" i="7"/>
  <c r="I72" i="7"/>
  <c r="H72" i="7"/>
  <c r="G72" i="7"/>
  <c r="F72" i="7"/>
  <c r="E72" i="7"/>
  <c r="D72" i="7"/>
  <c r="C72" i="7"/>
  <c r="B72" i="7"/>
  <c r="AK71" i="7"/>
  <c r="AJ71" i="7"/>
  <c r="AI71" i="7"/>
  <c r="AH71" i="7"/>
  <c r="AG71" i="7"/>
  <c r="AF71" i="7"/>
  <c r="AE71" i="7"/>
  <c r="AD71" i="7"/>
  <c r="AC71" i="7"/>
  <c r="AB71" i="7"/>
  <c r="AA71" i="7"/>
  <c r="Z71" i="7"/>
  <c r="Y71" i="7"/>
  <c r="X71" i="7"/>
  <c r="W71" i="7"/>
  <c r="V71" i="7"/>
  <c r="U71" i="7"/>
  <c r="T71" i="7"/>
  <c r="S71" i="7"/>
  <c r="R71" i="7"/>
  <c r="Q71" i="7"/>
  <c r="P71" i="7"/>
  <c r="O71" i="7"/>
  <c r="N71" i="7"/>
  <c r="M71" i="7"/>
  <c r="L71" i="7"/>
  <c r="K71" i="7"/>
  <c r="J71" i="7"/>
  <c r="I71" i="7"/>
  <c r="H71" i="7"/>
  <c r="G71" i="7"/>
  <c r="F71" i="7"/>
  <c r="E71" i="7"/>
  <c r="D71" i="7"/>
  <c r="C71" i="7"/>
  <c r="B71" i="7"/>
  <c r="AK70" i="7"/>
  <c r="AJ70" i="7"/>
  <c r="AI70" i="7"/>
  <c r="AH70" i="7"/>
  <c r="AG70" i="7"/>
  <c r="AF70" i="7"/>
  <c r="AE70" i="7"/>
  <c r="AD70" i="7"/>
  <c r="AC70" i="7"/>
  <c r="AB70" i="7"/>
  <c r="AA70" i="7"/>
  <c r="Z70" i="7"/>
  <c r="Y70" i="7"/>
  <c r="X70" i="7"/>
  <c r="W70" i="7"/>
  <c r="V70" i="7"/>
  <c r="U70" i="7"/>
  <c r="T70" i="7"/>
  <c r="S70" i="7"/>
  <c r="R70" i="7"/>
  <c r="Q70" i="7"/>
  <c r="P70" i="7"/>
  <c r="O70" i="7"/>
  <c r="N70" i="7"/>
  <c r="M70" i="7"/>
  <c r="L70" i="7"/>
  <c r="K70" i="7"/>
  <c r="J70" i="7"/>
  <c r="I70" i="7"/>
  <c r="H70" i="7"/>
  <c r="G70" i="7"/>
  <c r="F70" i="7"/>
  <c r="E70" i="7"/>
  <c r="D70" i="7"/>
  <c r="C70" i="7"/>
  <c r="B70" i="7"/>
  <c r="AK69" i="7"/>
  <c r="AJ69" i="7"/>
  <c r="AI69" i="7"/>
  <c r="AH69" i="7"/>
  <c r="AG69" i="7"/>
  <c r="AF69" i="7"/>
  <c r="AE69" i="7"/>
  <c r="AD69" i="7"/>
  <c r="AC69" i="7"/>
  <c r="AB69" i="7"/>
  <c r="AA69" i="7"/>
  <c r="Z69" i="7"/>
  <c r="Y69" i="7"/>
  <c r="X69" i="7"/>
  <c r="W69" i="7"/>
  <c r="V69" i="7"/>
  <c r="U69" i="7"/>
  <c r="T69" i="7"/>
  <c r="S69" i="7"/>
  <c r="R69" i="7"/>
  <c r="Q69" i="7"/>
  <c r="P69" i="7"/>
  <c r="O69" i="7"/>
  <c r="N69" i="7"/>
  <c r="M69" i="7"/>
  <c r="L69" i="7"/>
  <c r="K69" i="7"/>
  <c r="J69" i="7"/>
  <c r="I69" i="7"/>
  <c r="H69" i="7"/>
  <c r="G69" i="7"/>
  <c r="F69" i="7"/>
  <c r="E69" i="7"/>
  <c r="D69" i="7"/>
  <c r="C69" i="7"/>
  <c r="B69" i="7"/>
  <c r="AK68" i="7"/>
  <c r="AJ68" i="7"/>
  <c r="AI68" i="7"/>
  <c r="AH68" i="7"/>
  <c r="AG68" i="7"/>
  <c r="AF68" i="7"/>
  <c r="AE68" i="7"/>
  <c r="AD68" i="7"/>
  <c r="AC68" i="7"/>
  <c r="AB68" i="7"/>
  <c r="AA68" i="7"/>
  <c r="Z68" i="7"/>
  <c r="Y68" i="7"/>
  <c r="X68" i="7"/>
  <c r="W68" i="7"/>
  <c r="V68" i="7"/>
  <c r="U68" i="7"/>
  <c r="T68" i="7"/>
  <c r="S68" i="7"/>
  <c r="R68" i="7"/>
  <c r="Q68" i="7"/>
  <c r="P68" i="7"/>
  <c r="O68" i="7"/>
  <c r="N68" i="7"/>
  <c r="M68" i="7"/>
  <c r="L68" i="7"/>
  <c r="K68" i="7"/>
  <c r="J68" i="7"/>
  <c r="I68" i="7"/>
  <c r="H68" i="7"/>
  <c r="G68" i="7"/>
  <c r="F68" i="7"/>
  <c r="E68" i="7"/>
  <c r="D68" i="7"/>
  <c r="C68" i="7"/>
  <c r="B68" i="7"/>
  <c r="AK67" i="7"/>
  <c r="AJ67" i="7"/>
  <c r="AI67" i="7"/>
  <c r="AH67" i="7"/>
  <c r="AG67" i="7"/>
  <c r="AF67" i="7"/>
  <c r="AE67" i="7"/>
  <c r="AD67" i="7"/>
  <c r="AC67" i="7"/>
  <c r="AB67" i="7"/>
  <c r="AA67" i="7"/>
  <c r="Z67" i="7"/>
  <c r="Y67" i="7"/>
  <c r="X67" i="7"/>
  <c r="W67" i="7"/>
  <c r="V67" i="7"/>
  <c r="U67" i="7"/>
  <c r="T67" i="7"/>
  <c r="S67" i="7"/>
  <c r="R67" i="7"/>
  <c r="Q67" i="7"/>
  <c r="P67" i="7"/>
  <c r="O67" i="7"/>
  <c r="N67" i="7"/>
  <c r="M67" i="7"/>
  <c r="L67" i="7"/>
  <c r="K67" i="7"/>
  <c r="J67" i="7"/>
  <c r="I67" i="7"/>
  <c r="H67" i="7"/>
  <c r="G67" i="7"/>
  <c r="F67" i="7"/>
  <c r="E67" i="7"/>
  <c r="D67" i="7"/>
  <c r="C67" i="7"/>
  <c r="B67" i="7"/>
  <c r="AK66" i="7"/>
  <c r="AJ66" i="7"/>
  <c r="AI66" i="7"/>
  <c r="AH66" i="7"/>
  <c r="AG66" i="7"/>
  <c r="AF66" i="7"/>
  <c r="AE66" i="7"/>
  <c r="AD66" i="7"/>
  <c r="AC66" i="7"/>
  <c r="AB66" i="7"/>
  <c r="AA66" i="7"/>
  <c r="Z66" i="7"/>
  <c r="Y66" i="7"/>
  <c r="X66" i="7"/>
  <c r="W66" i="7"/>
  <c r="V66" i="7"/>
  <c r="U66" i="7"/>
  <c r="T66" i="7"/>
  <c r="S66" i="7"/>
  <c r="R66" i="7"/>
  <c r="Q66" i="7"/>
  <c r="P66" i="7"/>
  <c r="O66" i="7"/>
  <c r="N66" i="7"/>
  <c r="M66" i="7"/>
  <c r="L66" i="7"/>
  <c r="K66" i="7"/>
  <c r="J66" i="7"/>
  <c r="I66" i="7"/>
  <c r="H66" i="7"/>
  <c r="G66" i="7"/>
  <c r="F66" i="7"/>
  <c r="E66" i="7"/>
  <c r="D66" i="7"/>
  <c r="C66" i="7"/>
  <c r="B66" i="7"/>
  <c r="AK65" i="7"/>
  <c r="AJ65" i="7"/>
  <c r="AI65" i="7"/>
  <c r="AH65" i="7"/>
  <c r="AG65" i="7"/>
  <c r="AF65" i="7"/>
  <c r="AE65" i="7"/>
  <c r="AD65" i="7"/>
  <c r="AC65" i="7"/>
  <c r="AB65" i="7"/>
  <c r="AA65" i="7"/>
  <c r="Z65" i="7"/>
  <c r="Y65" i="7"/>
  <c r="X65" i="7"/>
  <c r="W65" i="7"/>
  <c r="V65" i="7"/>
  <c r="U65" i="7"/>
  <c r="T65" i="7"/>
  <c r="S65" i="7"/>
  <c r="R65" i="7"/>
  <c r="Q65" i="7"/>
  <c r="P65" i="7"/>
  <c r="O65" i="7"/>
  <c r="N65" i="7"/>
  <c r="M65" i="7"/>
  <c r="L65" i="7"/>
  <c r="K65" i="7"/>
  <c r="J65" i="7"/>
  <c r="I65" i="7"/>
  <c r="H65" i="7"/>
  <c r="G65" i="7"/>
  <c r="F65" i="7"/>
  <c r="E65" i="7"/>
  <c r="D65" i="7"/>
  <c r="C65" i="7"/>
  <c r="B65" i="7"/>
  <c r="AK64" i="7"/>
  <c r="AJ64" i="7"/>
  <c r="AI64" i="7"/>
  <c r="AH64" i="7"/>
  <c r="AG64" i="7"/>
  <c r="AF64" i="7"/>
  <c r="AE64" i="7"/>
  <c r="AD64" i="7"/>
  <c r="AC64" i="7"/>
  <c r="AB64" i="7"/>
  <c r="AA64" i="7"/>
  <c r="Z64" i="7"/>
  <c r="Y64" i="7"/>
  <c r="X64" i="7"/>
  <c r="W64" i="7"/>
  <c r="V64" i="7"/>
  <c r="U64" i="7"/>
  <c r="T64" i="7"/>
  <c r="S64" i="7"/>
  <c r="R64" i="7"/>
  <c r="Q64" i="7"/>
  <c r="P64" i="7"/>
  <c r="O64" i="7"/>
  <c r="N64" i="7"/>
  <c r="M64" i="7"/>
  <c r="L64" i="7"/>
  <c r="K64" i="7"/>
  <c r="J64" i="7"/>
  <c r="I64" i="7"/>
  <c r="H64" i="7"/>
  <c r="G64" i="7"/>
  <c r="F64" i="7"/>
  <c r="E64" i="7"/>
  <c r="D64" i="7"/>
  <c r="C64" i="7"/>
  <c r="B64" i="7"/>
  <c r="AK63" i="7"/>
  <c r="AJ63" i="7"/>
  <c r="AI63" i="7"/>
  <c r="AH63" i="7"/>
  <c r="AG63" i="7"/>
  <c r="AF63" i="7"/>
  <c r="AE63" i="7"/>
  <c r="AD63" i="7"/>
  <c r="AC63" i="7"/>
  <c r="AB63" i="7"/>
  <c r="AA63" i="7"/>
  <c r="Z63" i="7"/>
  <c r="Y63" i="7"/>
  <c r="X63" i="7"/>
  <c r="W63" i="7"/>
  <c r="V63" i="7"/>
  <c r="U63" i="7"/>
  <c r="T63" i="7"/>
  <c r="S63" i="7"/>
  <c r="R63" i="7"/>
  <c r="Q63" i="7"/>
  <c r="P63" i="7"/>
  <c r="O63" i="7"/>
  <c r="N63" i="7"/>
  <c r="M63" i="7"/>
  <c r="L63" i="7"/>
  <c r="K63" i="7"/>
  <c r="J63" i="7"/>
  <c r="I63" i="7"/>
  <c r="H63" i="7"/>
  <c r="G63" i="7"/>
  <c r="F63" i="7"/>
  <c r="E63" i="7"/>
  <c r="D63" i="7"/>
  <c r="C63" i="7"/>
  <c r="B63" i="7"/>
  <c r="AK62" i="7"/>
  <c r="AJ62" i="7"/>
  <c r="AI62" i="7"/>
  <c r="AH62" i="7"/>
  <c r="AG62" i="7"/>
  <c r="AF62" i="7"/>
  <c r="AE62" i="7"/>
  <c r="AD62" i="7"/>
  <c r="AC62" i="7"/>
  <c r="AB62" i="7"/>
  <c r="AA62" i="7"/>
  <c r="Z62" i="7"/>
  <c r="Y62" i="7"/>
  <c r="X62" i="7"/>
  <c r="W62" i="7"/>
  <c r="V62" i="7"/>
  <c r="U62" i="7"/>
  <c r="T62" i="7"/>
  <c r="S62" i="7"/>
  <c r="R62" i="7"/>
  <c r="Q62" i="7"/>
  <c r="P62" i="7"/>
  <c r="O62" i="7"/>
  <c r="N62" i="7"/>
  <c r="M62" i="7"/>
  <c r="L62" i="7"/>
  <c r="K62" i="7"/>
  <c r="J62" i="7"/>
  <c r="I62" i="7"/>
  <c r="H62" i="7"/>
  <c r="G62" i="7"/>
  <c r="F62" i="7"/>
  <c r="E62" i="7"/>
  <c r="D62" i="7"/>
  <c r="C62" i="7"/>
  <c r="B62" i="7"/>
  <c r="AK61" i="7"/>
  <c r="AJ61" i="7"/>
  <c r="AI61" i="7"/>
  <c r="AH61" i="7"/>
  <c r="AG61" i="7"/>
  <c r="AF61" i="7"/>
  <c r="AE61" i="7"/>
  <c r="AD61" i="7"/>
  <c r="AC61" i="7"/>
  <c r="AB61" i="7"/>
  <c r="AA61" i="7"/>
  <c r="Z61" i="7"/>
  <c r="Y61" i="7"/>
  <c r="X61" i="7"/>
  <c r="W61" i="7"/>
  <c r="V61" i="7"/>
  <c r="U61" i="7"/>
  <c r="T61" i="7"/>
  <c r="S61" i="7"/>
  <c r="R61" i="7"/>
  <c r="Q61" i="7"/>
  <c r="P61" i="7"/>
  <c r="O61" i="7"/>
  <c r="N61" i="7"/>
  <c r="M61" i="7"/>
  <c r="L61" i="7"/>
  <c r="K61" i="7"/>
  <c r="J61" i="7"/>
  <c r="I61" i="7"/>
  <c r="H61" i="7"/>
  <c r="G61" i="7"/>
  <c r="F61" i="7"/>
  <c r="E61" i="7"/>
  <c r="D61" i="7"/>
  <c r="C61" i="7"/>
  <c r="B61" i="7"/>
  <c r="AK60" i="7"/>
  <c r="AJ60" i="7"/>
  <c r="AI60" i="7"/>
  <c r="AH60" i="7"/>
  <c r="AG60" i="7"/>
  <c r="AF60" i="7"/>
  <c r="AE60" i="7"/>
  <c r="AD60" i="7"/>
  <c r="AC60" i="7"/>
  <c r="AB60" i="7"/>
  <c r="AA60" i="7"/>
  <c r="Z60" i="7"/>
  <c r="Y60" i="7"/>
  <c r="X60" i="7"/>
  <c r="W60" i="7"/>
  <c r="V60" i="7"/>
  <c r="U60" i="7"/>
  <c r="T60" i="7"/>
  <c r="S60" i="7"/>
  <c r="R60" i="7"/>
  <c r="Q60" i="7"/>
  <c r="P60" i="7"/>
  <c r="O60" i="7"/>
  <c r="N60" i="7"/>
  <c r="M60" i="7"/>
  <c r="L60" i="7"/>
  <c r="K60" i="7"/>
  <c r="J60" i="7"/>
  <c r="I60" i="7"/>
  <c r="H60" i="7"/>
  <c r="G60" i="7"/>
  <c r="F60" i="7"/>
  <c r="E60" i="7"/>
  <c r="D60" i="7"/>
  <c r="C60" i="7"/>
  <c r="B60" i="7"/>
  <c r="AK59" i="7"/>
  <c r="AJ59" i="7"/>
  <c r="AI59" i="7"/>
  <c r="AH59" i="7"/>
  <c r="AG59" i="7"/>
  <c r="AF59" i="7"/>
  <c r="AE59" i="7"/>
  <c r="AD59" i="7"/>
  <c r="AC59" i="7"/>
  <c r="AB59" i="7"/>
  <c r="AA59" i="7"/>
  <c r="Z59" i="7"/>
  <c r="Y59" i="7"/>
  <c r="X59" i="7"/>
  <c r="W59" i="7"/>
  <c r="V59" i="7"/>
  <c r="U59" i="7"/>
  <c r="T59" i="7"/>
  <c r="S59" i="7"/>
  <c r="R59" i="7"/>
  <c r="Q59" i="7"/>
  <c r="P59" i="7"/>
  <c r="O59" i="7"/>
  <c r="N59" i="7"/>
  <c r="M59" i="7"/>
  <c r="L59" i="7"/>
  <c r="K59" i="7"/>
  <c r="J59" i="7"/>
  <c r="I59" i="7"/>
  <c r="H59" i="7"/>
  <c r="G59" i="7"/>
  <c r="F59" i="7"/>
  <c r="E59" i="7"/>
  <c r="D59" i="7"/>
  <c r="C59" i="7"/>
  <c r="B59" i="7"/>
  <c r="AK58" i="7"/>
  <c r="AJ58" i="7"/>
  <c r="AI58" i="7"/>
  <c r="AH58" i="7"/>
  <c r="AG58" i="7"/>
  <c r="AF58" i="7"/>
  <c r="AE58" i="7"/>
  <c r="AD58" i="7"/>
  <c r="AC58" i="7"/>
  <c r="AB58" i="7"/>
  <c r="AA58" i="7"/>
  <c r="Z58" i="7"/>
  <c r="Y58" i="7"/>
  <c r="X58" i="7"/>
  <c r="W58" i="7"/>
  <c r="V58" i="7"/>
  <c r="U58" i="7"/>
  <c r="T58" i="7"/>
  <c r="S58" i="7"/>
  <c r="R58" i="7"/>
  <c r="Q58" i="7"/>
  <c r="P58" i="7"/>
  <c r="O58" i="7"/>
  <c r="N58" i="7"/>
  <c r="M58" i="7"/>
  <c r="L58" i="7"/>
  <c r="K58" i="7"/>
  <c r="J58" i="7"/>
  <c r="I58" i="7"/>
  <c r="H58" i="7"/>
  <c r="G58" i="7"/>
  <c r="F58" i="7"/>
  <c r="E58" i="7"/>
  <c r="D58" i="7"/>
  <c r="C58" i="7"/>
  <c r="B58" i="7"/>
  <c r="AK57" i="7"/>
  <c r="AJ57" i="7"/>
  <c r="AI57" i="7"/>
  <c r="AH57" i="7"/>
  <c r="AG57" i="7"/>
  <c r="AF57" i="7"/>
  <c r="AE57" i="7"/>
  <c r="AD57" i="7"/>
  <c r="AC57" i="7"/>
  <c r="AB57" i="7"/>
  <c r="AA57" i="7"/>
  <c r="Z57" i="7"/>
  <c r="Y57" i="7"/>
  <c r="X57" i="7"/>
  <c r="W57" i="7"/>
  <c r="V57" i="7"/>
  <c r="U57" i="7"/>
  <c r="T57" i="7"/>
  <c r="S57" i="7"/>
  <c r="R57" i="7"/>
  <c r="Q57" i="7"/>
  <c r="P57" i="7"/>
  <c r="O57" i="7"/>
  <c r="N57" i="7"/>
  <c r="M57" i="7"/>
  <c r="L57" i="7"/>
  <c r="K57" i="7"/>
  <c r="J57" i="7"/>
  <c r="I57" i="7"/>
  <c r="H57" i="7"/>
  <c r="G57" i="7"/>
  <c r="F57" i="7"/>
  <c r="E57" i="7"/>
  <c r="D57" i="7"/>
  <c r="C57" i="7"/>
  <c r="B57" i="7"/>
  <c r="AK56" i="7"/>
  <c r="AJ56" i="7"/>
  <c r="AI56" i="7"/>
  <c r="AH56" i="7"/>
  <c r="AG56" i="7"/>
  <c r="AF56" i="7"/>
  <c r="AE56" i="7"/>
  <c r="AD56" i="7"/>
  <c r="AC56" i="7"/>
  <c r="AB56" i="7"/>
  <c r="AA56" i="7"/>
  <c r="Z56" i="7"/>
  <c r="Y56" i="7"/>
  <c r="X56" i="7"/>
  <c r="W56" i="7"/>
  <c r="V56" i="7"/>
  <c r="U56" i="7"/>
  <c r="T56" i="7"/>
  <c r="S56" i="7"/>
  <c r="R56" i="7"/>
  <c r="Q56" i="7"/>
  <c r="P56" i="7"/>
  <c r="O56" i="7"/>
  <c r="N56" i="7"/>
  <c r="M56" i="7"/>
  <c r="L56" i="7"/>
  <c r="K56" i="7"/>
  <c r="J56" i="7"/>
  <c r="I56" i="7"/>
  <c r="H56" i="7"/>
  <c r="G56" i="7"/>
  <c r="F56" i="7"/>
  <c r="E56" i="7"/>
  <c r="D56" i="7"/>
  <c r="C56" i="7"/>
  <c r="B56" i="7"/>
  <c r="B54" i="7"/>
  <c r="AF76" i="6"/>
  <c r="AE76" i="6"/>
  <c r="AD76" i="6"/>
  <c r="AC76" i="6"/>
  <c r="AB76" i="6"/>
  <c r="AA76" i="6"/>
  <c r="Z76" i="6"/>
  <c r="Y76" i="6"/>
  <c r="X76" i="6"/>
  <c r="W76" i="6"/>
  <c r="V76" i="6"/>
  <c r="U76" i="6"/>
  <c r="T76" i="6"/>
  <c r="S76" i="6"/>
  <c r="R76" i="6"/>
  <c r="Q76" i="6"/>
  <c r="P76" i="6"/>
  <c r="O76" i="6"/>
  <c r="N76" i="6"/>
  <c r="M76" i="6"/>
  <c r="L76" i="6"/>
  <c r="K76" i="6"/>
  <c r="J76" i="6"/>
  <c r="I76" i="6"/>
  <c r="H76" i="6"/>
  <c r="G76" i="6"/>
  <c r="F76" i="6"/>
  <c r="E76" i="6"/>
  <c r="D76" i="6"/>
  <c r="C76" i="6"/>
  <c r="B76" i="6"/>
  <c r="AF75" i="6"/>
  <c r="AE75" i="6"/>
  <c r="AD75" i="6"/>
  <c r="AC75" i="6"/>
  <c r="AB75" i="6"/>
  <c r="AA75" i="6"/>
  <c r="Z75" i="6"/>
  <c r="Y75" i="6"/>
  <c r="X75" i="6"/>
  <c r="W75" i="6"/>
  <c r="V75" i="6"/>
  <c r="U75" i="6"/>
  <c r="T75" i="6"/>
  <c r="S75" i="6"/>
  <c r="R75" i="6"/>
  <c r="Q75" i="6"/>
  <c r="P75" i="6"/>
  <c r="O75" i="6"/>
  <c r="N75" i="6"/>
  <c r="M75" i="6"/>
  <c r="L75" i="6"/>
  <c r="K75" i="6"/>
  <c r="J75" i="6"/>
  <c r="I75" i="6"/>
  <c r="H75" i="6"/>
  <c r="G75" i="6"/>
  <c r="F75" i="6"/>
  <c r="E75" i="6"/>
  <c r="D75" i="6"/>
  <c r="C75" i="6"/>
  <c r="B75" i="6"/>
  <c r="AF74" i="6"/>
  <c r="AE74" i="6"/>
  <c r="AD74" i="6"/>
  <c r="AC74" i="6"/>
  <c r="AB74" i="6"/>
  <c r="AA74" i="6"/>
  <c r="Z74" i="6"/>
  <c r="Y74" i="6"/>
  <c r="X74" i="6"/>
  <c r="W74" i="6"/>
  <c r="V74" i="6"/>
  <c r="U74" i="6"/>
  <c r="T74" i="6"/>
  <c r="S74" i="6"/>
  <c r="R74" i="6"/>
  <c r="Q74" i="6"/>
  <c r="P74" i="6"/>
  <c r="O74" i="6"/>
  <c r="N74" i="6"/>
  <c r="M74" i="6"/>
  <c r="L74" i="6"/>
  <c r="K74" i="6"/>
  <c r="J74" i="6"/>
  <c r="I74" i="6"/>
  <c r="H74" i="6"/>
  <c r="G74" i="6"/>
  <c r="F74" i="6"/>
  <c r="E74" i="6"/>
  <c r="D74" i="6"/>
  <c r="C74" i="6"/>
  <c r="B74" i="6"/>
  <c r="AF73" i="6"/>
  <c r="AE73" i="6"/>
  <c r="AD73" i="6"/>
  <c r="AC73" i="6"/>
  <c r="AB73" i="6"/>
  <c r="AA73" i="6"/>
  <c r="Z73" i="6"/>
  <c r="Y73" i="6"/>
  <c r="X73" i="6"/>
  <c r="W73" i="6"/>
  <c r="V73" i="6"/>
  <c r="U73" i="6"/>
  <c r="T73" i="6"/>
  <c r="S73" i="6"/>
  <c r="R73" i="6"/>
  <c r="Q73" i="6"/>
  <c r="P73" i="6"/>
  <c r="O73" i="6"/>
  <c r="N73" i="6"/>
  <c r="M73" i="6"/>
  <c r="L73" i="6"/>
  <c r="K73" i="6"/>
  <c r="J73" i="6"/>
  <c r="I73" i="6"/>
  <c r="H73" i="6"/>
  <c r="G73" i="6"/>
  <c r="F73" i="6"/>
  <c r="E73" i="6"/>
  <c r="D73" i="6"/>
  <c r="C73" i="6"/>
  <c r="B73" i="6"/>
  <c r="AF72" i="6"/>
  <c r="AE72" i="6"/>
  <c r="AD72" i="6"/>
  <c r="AC72" i="6"/>
  <c r="AB72" i="6"/>
  <c r="AA72" i="6"/>
  <c r="Z72" i="6"/>
  <c r="Y72" i="6"/>
  <c r="X72" i="6"/>
  <c r="W72" i="6"/>
  <c r="V72" i="6"/>
  <c r="U72" i="6"/>
  <c r="T72" i="6"/>
  <c r="S72" i="6"/>
  <c r="R72" i="6"/>
  <c r="Q72" i="6"/>
  <c r="P72" i="6"/>
  <c r="O72" i="6"/>
  <c r="N72" i="6"/>
  <c r="M72" i="6"/>
  <c r="L72" i="6"/>
  <c r="K72" i="6"/>
  <c r="J72" i="6"/>
  <c r="I72" i="6"/>
  <c r="H72" i="6"/>
  <c r="G72" i="6"/>
  <c r="F72" i="6"/>
  <c r="E72" i="6"/>
  <c r="D72" i="6"/>
  <c r="C72" i="6"/>
  <c r="B72" i="6"/>
  <c r="AF71" i="6"/>
  <c r="AE71" i="6"/>
  <c r="AD71" i="6"/>
  <c r="AC71" i="6"/>
  <c r="AB71" i="6"/>
  <c r="AA71" i="6"/>
  <c r="Z71" i="6"/>
  <c r="Y71" i="6"/>
  <c r="X71" i="6"/>
  <c r="W71" i="6"/>
  <c r="V71" i="6"/>
  <c r="U71" i="6"/>
  <c r="T71" i="6"/>
  <c r="S71" i="6"/>
  <c r="R71" i="6"/>
  <c r="Q71" i="6"/>
  <c r="P71" i="6"/>
  <c r="O71" i="6"/>
  <c r="N71" i="6"/>
  <c r="M71" i="6"/>
  <c r="L71" i="6"/>
  <c r="K71" i="6"/>
  <c r="J71" i="6"/>
  <c r="I71" i="6"/>
  <c r="H71" i="6"/>
  <c r="G71" i="6"/>
  <c r="F71" i="6"/>
  <c r="E71" i="6"/>
  <c r="D71" i="6"/>
  <c r="C71" i="6"/>
  <c r="B71" i="6"/>
  <c r="AF70" i="6"/>
  <c r="AE70" i="6"/>
  <c r="AD70" i="6"/>
  <c r="AC70" i="6"/>
  <c r="AB70" i="6"/>
  <c r="AA70" i="6"/>
  <c r="Z70" i="6"/>
  <c r="Y70" i="6"/>
  <c r="X70" i="6"/>
  <c r="W70" i="6"/>
  <c r="V70" i="6"/>
  <c r="U70" i="6"/>
  <c r="T70" i="6"/>
  <c r="S70" i="6"/>
  <c r="R70" i="6"/>
  <c r="Q70" i="6"/>
  <c r="P70" i="6"/>
  <c r="O70" i="6"/>
  <c r="N70" i="6"/>
  <c r="M70" i="6"/>
  <c r="L70" i="6"/>
  <c r="K70" i="6"/>
  <c r="J70" i="6"/>
  <c r="I70" i="6"/>
  <c r="H70" i="6"/>
  <c r="G70" i="6"/>
  <c r="F70" i="6"/>
  <c r="E70" i="6"/>
  <c r="D70" i="6"/>
  <c r="C70" i="6"/>
  <c r="B70" i="6"/>
  <c r="AF69" i="6"/>
  <c r="AE69" i="6"/>
  <c r="AD69" i="6"/>
  <c r="AC69" i="6"/>
  <c r="AB69" i="6"/>
  <c r="AA69" i="6"/>
  <c r="Z69" i="6"/>
  <c r="Y69" i="6"/>
  <c r="X69" i="6"/>
  <c r="W69" i="6"/>
  <c r="V69" i="6"/>
  <c r="U69" i="6"/>
  <c r="T69" i="6"/>
  <c r="S69" i="6"/>
  <c r="R69" i="6"/>
  <c r="Q69" i="6"/>
  <c r="P69" i="6"/>
  <c r="O69" i="6"/>
  <c r="N69" i="6"/>
  <c r="M69" i="6"/>
  <c r="L69" i="6"/>
  <c r="K69" i="6"/>
  <c r="J69" i="6"/>
  <c r="I69" i="6"/>
  <c r="H69" i="6"/>
  <c r="G69" i="6"/>
  <c r="F69" i="6"/>
  <c r="E69" i="6"/>
  <c r="D69" i="6"/>
  <c r="C69" i="6"/>
  <c r="B69" i="6"/>
  <c r="AF68" i="6"/>
  <c r="AE68" i="6"/>
  <c r="AD68" i="6"/>
  <c r="AC68" i="6"/>
  <c r="AB68" i="6"/>
  <c r="AA68" i="6"/>
  <c r="Z68" i="6"/>
  <c r="Y68" i="6"/>
  <c r="X68" i="6"/>
  <c r="W68" i="6"/>
  <c r="V68" i="6"/>
  <c r="U68" i="6"/>
  <c r="T68" i="6"/>
  <c r="S68" i="6"/>
  <c r="R68" i="6"/>
  <c r="Q68" i="6"/>
  <c r="P68" i="6"/>
  <c r="O68" i="6"/>
  <c r="N68" i="6"/>
  <c r="M68" i="6"/>
  <c r="L68" i="6"/>
  <c r="K68" i="6"/>
  <c r="J68" i="6"/>
  <c r="I68" i="6"/>
  <c r="H68" i="6"/>
  <c r="G68" i="6"/>
  <c r="F68" i="6"/>
  <c r="E68" i="6"/>
  <c r="D68" i="6"/>
  <c r="C68" i="6"/>
  <c r="B68" i="6"/>
  <c r="AF67" i="6"/>
  <c r="AE67" i="6"/>
  <c r="AD67" i="6"/>
  <c r="AC67" i="6"/>
  <c r="AB67" i="6"/>
  <c r="AA67" i="6"/>
  <c r="Z67" i="6"/>
  <c r="Y67" i="6"/>
  <c r="X67" i="6"/>
  <c r="W67" i="6"/>
  <c r="V67" i="6"/>
  <c r="U67" i="6"/>
  <c r="T67" i="6"/>
  <c r="S67" i="6"/>
  <c r="R67" i="6"/>
  <c r="Q67" i="6"/>
  <c r="P67" i="6"/>
  <c r="O67" i="6"/>
  <c r="N67" i="6"/>
  <c r="M67" i="6"/>
  <c r="L67" i="6"/>
  <c r="K67" i="6"/>
  <c r="J67" i="6"/>
  <c r="I67" i="6"/>
  <c r="H67" i="6"/>
  <c r="G67" i="6"/>
  <c r="F67" i="6"/>
  <c r="E67" i="6"/>
  <c r="D67" i="6"/>
  <c r="C67" i="6"/>
  <c r="B67" i="6"/>
  <c r="AF66" i="6"/>
  <c r="AE66" i="6"/>
  <c r="AD66" i="6"/>
  <c r="AC66" i="6"/>
  <c r="AB66" i="6"/>
  <c r="AA66" i="6"/>
  <c r="Z66" i="6"/>
  <c r="Y66" i="6"/>
  <c r="X66" i="6"/>
  <c r="W66" i="6"/>
  <c r="V66" i="6"/>
  <c r="U66" i="6"/>
  <c r="T66" i="6"/>
  <c r="S66" i="6"/>
  <c r="R66" i="6"/>
  <c r="Q66" i="6"/>
  <c r="P66" i="6"/>
  <c r="O66" i="6"/>
  <c r="N66" i="6"/>
  <c r="M66" i="6"/>
  <c r="L66" i="6"/>
  <c r="K66" i="6"/>
  <c r="J66" i="6"/>
  <c r="I66" i="6"/>
  <c r="H66" i="6"/>
  <c r="G66" i="6"/>
  <c r="F66" i="6"/>
  <c r="E66" i="6"/>
  <c r="D66" i="6"/>
  <c r="C66" i="6"/>
  <c r="B66" i="6"/>
  <c r="AF65" i="6"/>
  <c r="AE65" i="6"/>
  <c r="AD65" i="6"/>
  <c r="AC65" i="6"/>
  <c r="AB65" i="6"/>
  <c r="AA65" i="6"/>
  <c r="Z65" i="6"/>
  <c r="Y65" i="6"/>
  <c r="X65" i="6"/>
  <c r="W65" i="6"/>
  <c r="V65" i="6"/>
  <c r="U65" i="6"/>
  <c r="T65" i="6"/>
  <c r="S65" i="6"/>
  <c r="R65" i="6"/>
  <c r="Q65" i="6"/>
  <c r="P65" i="6"/>
  <c r="O65" i="6"/>
  <c r="N65" i="6"/>
  <c r="M65" i="6"/>
  <c r="L65" i="6"/>
  <c r="K65" i="6"/>
  <c r="J65" i="6"/>
  <c r="I65" i="6"/>
  <c r="H65" i="6"/>
  <c r="G65" i="6"/>
  <c r="F65" i="6"/>
  <c r="E65" i="6"/>
  <c r="D65" i="6"/>
  <c r="C65" i="6"/>
  <c r="B65" i="6"/>
  <c r="AF64" i="6"/>
  <c r="AE64" i="6"/>
  <c r="AD64" i="6"/>
  <c r="AC64" i="6"/>
  <c r="AB64" i="6"/>
  <c r="AA64" i="6"/>
  <c r="Z64" i="6"/>
  <c r="Y64" i="6"/>
  <c r="X64" i="6"/>
  <c r="W64" i="6"/>
  <c r="V64" i="6"/>
  <c r="U64" i="6"/>
  <c r="T64" i="6"/>
  <c r="S64" i="6"/>
  <c r="R64" i="6"/>
  <c r="Q64" i="6"/>
  <c r="P64" i="6"/>
  <c r="O64" i="6"/>
  <c r="N64" i="6"/>
  <c r="M64" i="6"/>
  <c r="L64" i="6"/>
  <c r="K64" i="6"/>
  <c r="J64" i="6"/>
  <c r="I64" i="6"/>
  <c r="H64" i="6"/>
  <c r="G64" i="6"/>
  <c r="F64" i="6"/>
  <c r="E64" i="6"/>
  <c r="D64" i="6"/>
  <c r="C64" i="6"/>
  <c r="B64" i="6"/>
  <c r="AF63" i="6"/>
  <c r="AE63" i="6"/>
  <c r="AD63" i="6"/>
  <c r="AC63" i="6"/>
  <c r="AB63" i="6"/>
  <c r="AA63" i="6"/>
  <c r="Z63" i="6"/>
  <c r="Y63" i="6"/>
  <c r="X63" i="6"/>
  <c r="W63" i="6"/>
  <c r="V63" i="6"/>
  <c r="U63" i="6"/>
  <c r="T63" i="6"/>
  <c r="S63" i="6"/>
  <c r="R63" i="6"/>
  <c r="Q63" i="6"/>
  <c r="P63" i="6"/>
  <c r="O63" i="6"/>
  <c r="N63" i="6"/>
  <c r="M63" i="6"/>
  <c r="L63" i="6"/>
  <c r="K63" i="6"/>
  <c r="J63" i="6"/>
  <c r="I63" i="6"/>
  <c r="H63" i="6"/>
  <c r="G63" i="6"/>
  <c r="F63" i="6"/>
  <c r="E63" i="6"/>
  <c r="D63" i="6"/>
  <c r="C63" i="6"/>
  <c r="B63" i="6"/>
  <c r="AF62" i="6"/>
  <c r="AE62" i="6"/>
  <c r="AD62" i="6"/>
  <c r="AC62" i="6"/>
  <c r="AB62" i="6"/>
  <c r="AA62" i="6"/>
  <c r="Z62" i="6"/>
  <c r="Y62" i="6"/>
  <c r="X62" i="6"/>
  <c r="W62" i="6"/>
  <c r="V62" i="6"/>
  <c r="U62" i="6"/>
  <c r="T62" i="6"/>
  <c r="S62" i="6"/>
  <c r="R62" i="6"/>
  <c r="Q62" i="6"/>
  <c r="P62" i="6"/>
  <c r="O62" i="6"/>
  <c r="N62" i="6"/>
  <c r="M62" i="6"/>
  <c r="L62" i="6"/>
  <c r="K62" i="6"/>
  <c r="J62" i="6"/>
  <c r="I62" i="6"/>
  <c r="H62" i="6"/>
  <c r="G62" i="6"/>
  <c r="F62" i="6"/>
  <c r="E62" i="6"/>
  <c r="D62" i="6"/>
  <c r="C62" i="6"/>
  <c r="B62" i="6"/>
  <c r="AF61" i="6"/>
  <c r="AE61" i="6"/>
  <c r="AD61" i="6"/>
  <c r="AC61" i="6"/>
  <c r="AB61" i="6"/>
  <c r="AA61" i="6"/>
  <c r="Z61" i="6"/>
  <c r="Y61" i="6"/>
  <c r="X61" i="6"/>
  <c r="W61" i="6"/>
  <c r="V61" i="6"/>
  <c r="U61" i="6"/>
  <c r="T61" i="6"/>
  <c r="S61" i="6"/>
  <c r="R61" i="6"/>
  <c r="Q61" i="6"/>
  <c r="P61" i="6"/>
  <c r="O61" i="6"/>
  <c r="N61" i="6"/>
  <c r="M61" i="6"/>
  <c r="L61" i="6"/>
  <c r="K61" i="6"/>
  <c r="J61" i="6"/>
  <c r="I61" i="6"/>
  <c r="H61" i="6"/>
  <c r="G61" i="6"/>
  <c r="F61" i="6"/>
  <c r="E61" i="6"/>
  <c r="D61" i="6"/>
  <c r="C61" i="6"/>
  <c r="B61" i="6"/>
  <c r="AF60" i="6"/>
  <c r="AE60" i="6"/>
  <c r="AD60" i="6"/>
  <c r="AC60" i="6"/>
  <c r="AB60" i="6"/>
  <c r="AA60" i="6"/>
  <c r="Z60" i="6"/>
  <c r="Y60" i="6"/>
  <c r="X60" i="6"/>
  <c r="W60" i="6"/>
  <c r="V60" i="6"/>
  <c r="U60" i="6"/>
  <c r="T60" i="6"/>
  <c r="S60" i="6"/>
  <c r="R60" i="6"/>
  <c r="Q60" i="6"/>
  <c r="P60" i="6"/>
  <c r="O60" i="6"/>
  <c r="N60" i="6"/>
  <c r="M60" i="6"/>
  <c r="L60" i="6"/>
  <c r="K60" i="6"/>
  <c r="J60" i="6"/>
  <c r="I60" i="6"/>
  <c r="H60" i="6"/>
  <c r="G60" i="6"/>
  <c r="F60" i="6"/>
  <c r="E60" i="6"/>
  <c r="D60" i="6"/>
  <c r="C60" i="6"/>
  <c r="B60" i="6"/>
  <c r="AF59" i="6"/>
  <c r="AE59" i="6"/>
  <c r="AD59" i="6"/>
  <c r="AC59" i="6"/>
  <c r="AB59" i="6"/>
  <c r="AA59" i="6"/>
  <c r="Z59" i="6"/>
  <c r="Y59" i="6"/>
  <c r="X59" i="6"/>
  <c r="W59" i="6"/>
  <c r="V59" i="6"/>
  <c r="U59" i="6"/>
  <c r="T59" i="6"/>
  <c r="S59" i="6"/>
  <c r="R59" i="6"/>
  <c r="Q59" i="6"/>
  <c r="P59" i="6"/>
  <c r="O59" i="6"/>
  <c r="N59" i="6"/>
  <c r="M59" i="6"/>
  <c r="L59" i="6"/>
  <c r="K59" i="6"/>
  <c r="J59" i="6"/>
  <c r="I59" i="6"/>
  <c r="H59" i="6"/>
  <c r="G59" i="6"/>
  <c r="F59" i="6"/>
  <c r="E59" i="6"/>
  <c r="D59" i="6"/>
  <c r="C59" i="6"/>
  <c r="B59" i="6"/>
  <c r="AF58" i="6"/>
  <c r="AE58" i="6"/>
  <c r="AD58" i="6"/>
  <c r="AC58" i="6"/>
  <c r="AB58" i="6"/>
  <c r="AA58" i="6"/>
  <c r="Z58" i="6"/>
  <c r="Y58" i="6"/>
  <c r="X58" i="6"/>
  <c r="W58" i="6"/>
  <c r="V58" i="6"/>
  <c r="U58" i="6"/>
  <c r="T58" i="6"/>
  <c r="S58" i="6"/>
  <c r="R58" i="6"/>
  <c r="Q58" i="6"/>
  <c r="P58" i="6"/>
  <c r="O58" i="6"/>
  <c r="N58" i="6"/>
  <c r="M58" i="6"/>
  <c r="L58" i="6"/>
  <c r="K58" i="6"/>
  <c r="J58" i="6"/>
  <c r="I58" i="6"/>
  <c r="H58" i="6"/>
  <c r="G58" i="6"/>
  <c r="F58" i="6"/>
  <c r="E58" i="6"/>
  <c r="D58" i="6"/>
  <c r="C58" i="6"/>
  <c r="B58" i="6"/>
  <c r="AF57" i="6"/>
  <c r="AE57" i="6"/>
  <c r="AD57" i="6"/>
  <c r="AC57" i="6"/>
  <c r="AB57" i="6"/>
  <c r="AA57" i="6"/>
  <c r="Z57" i="6"/>
  <c r="Y57" i="6"/>
  <c r="X57" i="6"/>
  <c r="W57" i="6"/>
  <c r="V57" i="6"/>
  <c r="U57" i="6"/>
  <c r="T57" i="6"/>
  <c r="S57" i="6"/>
  <c r="R57" i="6"/>
  <c r="Q57" i="6"/>
  <c r="P57" i="6"/>
  <c r="O57" i="6"/>
  <c r="N57" i="6"/>
  <c r="M57" i="6"/>
  <c r="L57" i="6"/>
  <c r="K57" i="6"/>
  <c r="J57" i="6"/>
  <c r="I57" i="6"/>
  <c r="H57" i="6"/>
  <c r="G57" i="6"/>
  <c r="F57" i="6"/>
  <c r="E57" i="6"/>
  <c r="D57" i="6"/>
  <c r="C57" i="6"/>
  <c r="B57" i="6"/>
  <c r="AF56" i="6"/>
  <c r="AE56" i="6"/>
  <c r="AD56" i="6"/>
  <c r="AC56" i="6"/>
  <c r="AB56" i="6"/>
  <c r="AA56" i="6"/>
  <c r="Z56" i="6"/>
  <c r="Y56" i="6"/>
  <c r="X56" i="6"/>
  <c r="W56" i="6"/>
  <c r="V56" i="6"/>
  <c r="U56" i="6"/>
  <c r="T56" i="6"/>
  <c r="S56" i="6"/>
  <c r="R56" i="6"/>
  <c r="Q56" i="6"/>
  <c r="P56" i="6"/>
  <c r="O56" i="6"/>
  <c r="N56" i="6"/>
  <c r="M56" i="6"/>
  <c r="L56" i="6"/>
  <c r="K56" i="6"/>
  <c r="J56" i="6"/>
  <c r="I56" i="6"/>
  <c r="H56" i="6"/>
  <c r="G56" i="6"/>
  <c r="F56" i="6"/>
  <c r="E56" i="6"/>
  <c r="D56" i="6"/>
  <c r="C56" i="6"/>
  <c r="B56" i="6"/>
  <c r="B54" i="6"/>
  <c r="AC76" i="5"/>
  <c r="AB76" i="5"/>
  <c r="AA76" i="5"/>
  <c r="Z76" i="5"/>
  <c r="Y76" i="5"/>
  <c r="X76" i="5"/>
  <c r="W76" i="5"/>
  <c r="V76" i="5"/>
  <c r="U76" i="5"/>
  <c r="T76" i="5"/>
  <c r="S76" i="5"/>
  <c r="R76" i="5"/>
  <c r="Q76" i="5"/>
  <c r="P76" i="5"/>
  <c r="O76" i="5"/>
  <c r="N76" i="5"/>
  <c r="M76" i="5"/>
  <c r="L76" i="5"/>
  <c r="K76" i="5"/>
  <c r="J76" i="5"/>
  <c r="I76" i="5"/>
  <c r="H76" i="5"/>
  <c r="G76" i="5"/>
  <c r="F76" i="5"/>
  <c r="E76" i="5"/>
  <c r="D76" i="5"/>
  <c r="C76" i="5"/>
  <c r="B76" i="5"/>
  <c r="AC75" i="5"/>
  <c r="AB75" i="5"/>
  <c r="AA75" i="5"/>
  <c r="Z75" i="5"/>
  <c r="Y75" i="5"/>
  <c r="X75" i="5"/>
  <c r="W75" i="5"/>
  <c r="V75" i="5"/>
  <c r="U75" i="5"/>
  <c r="T75" i="5"/>
  <c r="S75" i="5"/>
  <c r="R75" i="5"/>
  <c r="Q75" i="5"/>
  <c r="P75" i="5"/>
  <c r="O75" i="5"/>
  <c r="N75" i="5"/>
  <c r="M75" i="5"/>
  <c r="L75" i="5"/>
  <c r="K75" i="5"/>
  <c r="J75" i="5"/>
  <c r="I75" i="5"/>
  <c r="H75" i="5"/>
  <c r="G75" i="5"/>
  <c r="F75" i="5"/>
  <c r="E75" i="5"/>
  <c r="D75" i="5"/>
  <c r="C75" i="5"/>
  <c r="B75" i="5"/>
  <c r="AC74" i="5"/>
  <c r="AB74" i="5"/>
  <c r="AA74" i="5"/>
  <c r="Z74" i="5"/>
  <c r="Y74" i="5"/>
  <c r="X74" i="5"/>
  <c r="W74" i="5"/>
  <c r="V74" i="5"/>
  <c r="U74" i="5"/>
  <c r="T74" i="5"/>
  <c r="S74" i="5"/>
  <c r="R74" i="5"/>
  <c r="Q74" i="5"/>
  <c r="P74" i="5"/>
  <c r="O74" i="5"/>
  <c r="N74" i="5"/>
  <c r="M74" i="5"/>
  <c r="L74" i="5"/>
  <c r="K74" i="5"/>
  <c r="J74" i="5"/>
  <c r="I74" i="5"/>
  <c r="H74" i="5"/>
  <c r="G74" i="5"/>
  <c r="F74" i="5"/>
  <c r="E74" i="5"/>
  <c r="D74" i="5"/>
  <c r="C74" i="5"/>
  <c r="B74" i="5"/>
  <c r="AC73" i="5"/>
  <c r="AB73" i="5"/>
  <c r="AA73" i="5"/>
  <c r="Z73" i="5"/>
  <c r="Y73" i="5"/>
  <c r="X73" i="5"/>
  <c r="W73" i="5"/>
  <c r="V73" i="5"/>
  <c r="U73" i="5"/>
  <c r="T73" i="5"/>
  <c r="S73" i="5"/>
  <c r="R73" i="5"/>
  <c r="Q73" i="5"/>
  <c r="P73" i="5"/>
  <c r="O73" i="5"/>
  <c r="N73" i="5"/>
  <c r="M73" i="5"/>
  <c r="L73" i="5"/>
  <c r="K73" i="5"/>
  <c r="J73" i="5"/>
  <c r="I73" i="5"/>
  <c r="H73" i="5"/>
  <c r="G73" i="5"/>
  <c r="F73" i="5"/>
  <c r="E73" i="5"/>
  <c r="D73" i="5"/>
  <c r="C73" i="5"/>
  <c r="B73" i="5"/>
  <c r="AC72" i="5"/>
  <c r="AB72" i="5"/>
  <c r="AA72" i="5"/>
  <c r="Z72" i="5"/>
  <c r="Y72" i="5"/>
  <c r="X72" i="5"/>
  <c r="W72" i="5"/>
  <c r="V72" i="5"/>
  <c r="U72" i="5"/>
  <c r="T72" i="5"/>
  <c r="S72" i="5"/>
  <c r="R72" i="5"/>
  <c r="Q72" i="5"/>
  <c r="P72" i="5"/>
  <c r="O72" i="5"/>
  <c r="N72" i="5"/>
  <c r="M72" i="5"/>
  <c r="L72" i="5"/>
  <c r="K72" i="5"/>
  <c r="J72" i="5"/>
  <c r="I72" i="5"/>
  <c r="H72" i="5"/>
  <c r="G72" i="5"/>
  <c r="F72" i="5"/>
  <c r="E72" i="5"/>
  <c r="D72" i="5"/>
  <c r="C72" i="5"/>
  <c r="B72" i="5"/>
  <c r="AC71" i="5"/>
  <c r="AB71" i="5"/>
  <c r="AA71" i="5"/>
  <c r="Z71" i="5"/>
  <c r="Y71" i="5"/>
  <c r="X71" i="5"/>
  <c r="W71" i="5"/>
  <c r="V71" i="5"/>
  <c r="U71" i="5"/>
  <c r="T71" i="5"/>
  <c r="S71" i="5"/>
  <c r="R71" i="5"/>
  <c r="Q71" i="5"/>
  <c r="P71" i="5"/>
  <c r="O71" i="5"/>
  <c r="N71" i="5"/>
  <c r="M71" i="5"/>
  <c r="L71" i="5"/>
  <c r="K71" i="5"/>
  <c r="J71" i="5"/>
  <c r="I71" i="5"/>
  <c r="H71" i="5"/>
  <c r="G71" i="5"/>
  <c r="F71" i="5"/>
  <c r="E71" i="5"/>
  <c r="D71" i="5"/>
  <c r="C71" i="5"/>
  <c r="B71" i="5"/>
  <c r="AC70" i="5"/>
  <c r="AB70" i="5"/>
  <c r="AA70" i="5"/>
  <c r="Z70" i="5"/>
  <c r="Y70" i="5"/>
  <c r="X70" i="5"/>
  <c r="W70" i="5"/>
  <c r="V70" i="5"/>
  <c r="U70" i="5"/>
  <c r="T70" i="5"/>
  <c r="S70" i="5"/>
  <c r="R70" i="5"/>
  <c r="Q70" i="5"/>
  <c r="P70" i="5"/>
  <c r="O70" i="5"/>
  <c r="N70" i="5"/>
  <c r="M70" i="5"/>
  <c r="L70" i="5"/>
  <c r="K70" i="5"/>
  <c r="J70" i="5"/>
  <c r="I70" i="5"/>
  <c r="H70" i="5"/>
  <c r="G70" i="5"/>
  <c r="F70" i="5"/>
  <c r="E70" i="5"/>
  <c r="D70" i="5"/>
  <c r="C70" i="5"/>
  <c r="B70" i="5"/>
  <c r="AC69" i="5"/>
  <c r="AB69" i="5"/>
  <c r="AA69" i="5"/>
  <c r="Z69" i="5"/>
  <c r="Y69" i="5"/>
  <c r="X69" i="5"/>
  <c r="W69" i="5"/>
  <c r="V69" i="5"/>
  <c r="U69" i="5"/>
  <c r="T69" i="5"/>
  <c r="S69" i="5"/>
  <c r="R69" i="5"/>
  <c r="Q69" i="5"/>
  <c r="P69" i="5"/>
  <c r="O69" i="5"/>
  <c r="N69" i="5"/>
  <c r="M69" i="5"/>
  <c r="L69" i="5"/>
  <c r="K69" i="5"/>
  <c r="J69" i="5"/>
  <c r="I69" i="5"/>
  <c r="H69" i="5"/>
  <c r="G69" i="5"/>
  <c r="F69" i="5"/>
  <c r="E69" i="5"/>
  <c r="D69" i="5"/>
  <c r="C69" i="5"/>
  <c r="B69" i="5"/>
  <c r="AC68" i="5"/>
  <c r="AB68" i="5"/>
  <c r="AA68" i="5"/>
  <c r="Z68" i="5"/>
  <c r="Y68" i="5"/>
  <c r="X68" i="5"/>
  <c r="W68" i="5"/>
  <c r="V68" i="5"/>
  <c r="U68" i="5"/>
  <c r="T68" i="5"/>
  <c r="S68" i="5"/>
  <c r="R68" i="5"/>
  <c r="Q68" i="5"/>
  <c r="P68" i="5"/>
  <c r="O68" i="5"/>
  <c r="N68" i="5"/>
  <c r="M68" i="5"/>
  <c r="L68" i="5"/>
  <c r="K68" i="5"/>
  <c r="J68" i="5"/>
  <c r="I68" i="5"/>
  <c r="H68" i="5"/>
  <c r="G68" i="5"/>
  <c r="F68" i="5"/>
  <c r="E68" i="5"/>
  <c r="D68" i="5"/>
  <c r="C68" i="5"/>
  <c r="B68" i="5"/>
  <c r="AC67" i="5"/>
  <c r="AB67" i="5"/>
  <c r="AA67" i="5"/>
  <c r="Z67" i="5"/>
  <c r="Y67" i="5"/>
  <c r="X67" i="5"/>
  <c r="W67" i="5"/>
  <c r="V67" i="5"/>
  <c r="U67" i="5"/>
  <c r="T67" i="5"/>
  <c r="S67" i="5"/>
  <c r="R67" i="5"/>
  <c r="Q67" i="5"/>
  <c r="P67" i="5"/>
  <c r="O67" i="5"/>
  <c r="N67" i="5"/>
  <c r="M67" i="5"/>
  <c r="L67" i="5"/>
  <c r="K67" i="5"/>
  <c r="J67" i="5"/>
  <c r="I67" i="5"/>
  <c r="H67" i="5"/>
  <c r="G67" i="5"/>
  <c r="F67" i="5"/>
  <c r="E67" i="5"/>
  <c r="D67" i="5"/>
  <c r="C67" i="5"/>
  <c r="B67" i="5"/>
  <c r="AC66" i="5"/>
  <c r="AB66" i="5"/>
  <c r="AA66" i="5"/>
  <c r="Z66" i="5"/>
  <c r="Y66" i="5"/>
  <c r="X66" i="5"/>
  <c r="W66" i="5"/>
  <c r="V66" i="5"/>
  <c r="U66" i="5"/>
  <c r="T66" i="5"/>
  <c r="S66" i="5"/>
  <c r="R66" i="5"/>
  <c r="Q66" i="5"/>
  <c r="P66" i="5"/>
  <c r="O66" i="5"/>
  <c r="N66" i="5"/>
  <c r="M66" i="5"/>
  <c r="L66" i="5"/>
  <c r="K66" i="5"/>
  <c r="J66" i="5"/>
  <c r="I66" i="5"/>
  <c r="H66" i="5"/>
  <c r="G66" i="5"/>
  <c r="F66" i="5"/>
  <c r="E66" i="5"/>
  <c r="D66" i="5"/>
  <c r="C66" i="5"/>
  <c r="B66" i="5"/>
  <c r="AC65" i="5"/>
  <c r="AB65" i="5"/>
  <c r="AA65" i="5"/>
  <c r="Z65" i="5"/>
  <c r="Y65" i="5"/>
  <c r="X65" i="5"/>
  <c r="W65" i="5"/>
  <c r="V65" i="5"/>
  <c r="U65" i="5"/>
  <c r="T65" i="5"/>
  <c r="S65" i="5"/>
  <c r="R65" i="5"/>
  <c r="Q65" i="5"/>
  <c r="P65" i="5"/>
  <c r="O65" i="5"/>
  <c r="N65" i="5"/>
  <c r="M65" i="5"/>
  <c r="L65" i="5"/>
  <c r="K65" i="5"/>
  <c r="J65" i="5"/>
  <c r="I65" i="5"/>
  <c r="H65" i="5"/>
  <c r="G65" i="5"/>
  <c r="F65" i="5"/>
  <c r="E65" i="5"/>
  <c r="D65" i="5"/>
  <c r="C65" i="5"/>
  <c r="B65" i="5"/>
  <c r="AC64" i="5"/>
  <c r="AB64" i="5"/>
  <c r="AA64" i="5"/>
  <c r="Z64" i="5"/>
  <c r="Y64" i="5"/>
  <c r="X64" i="5"/>
  <c r="W64" i="5"/>
  <c r="V64" i="5"/>
  <c r="U64" i="5"/>
  <c r="T64" i="5"/>
  <c r="S64" i="5"/>
  <c r="R64" i="5"/>
  <c r="Q64" i="5"/>
  <c r="P64" i="5"/>
  <c r="O64" i="5"/>
  <c r="N64" i="5"/>
  <c r="M64" i="5"/>
  <c r="L64" i="5"/>
  <c r="K64" i="5"/>
  <c r="J64" i="5"/>
  <c r="I64" i="5"/>
  <c r="H64" i="5"/>
  <c r="G64" i="5"/>
  <c r="F64" i="5"/>
  <c r="E64" i="5"/>
  <c r="D64" i="5"/>
  <c r="C64" i="5"/>
  <c r="B64" i="5"/>
  <c r="AC63" i="5"/>
  <c r="AB63" i="5"/>
  <c r="AA63" i="5"/>
  <c r="Z63" i="5"/>
  <c r="Y63" i="5"/>
  <c r="X63" i="5"/>
  <c r="W63" i="5"/>
  <c r="V63" i="5"/>
  <c r="U63" i="5"/>
  <c r="T63" i="5"/>
  <c r="S63" i="5"/>
  <c r="R63" i="5"/>
  <c r="Q63" i="5"/>
  <c r="P63" i="5"/>
  <c r="O63" i="5"/>
  <c r="N63" i="5"/>
  <c r="M63" i="5"/>
  <c r="L63" i="5"/>
  <c r="K63" i="5"/>
  <c r="J63" i="5"/>
  <c r="I63" i="5"/>
  <c r="H63" i="5"/>
  <c r="G63" i="5"/>
  <c r="F63" i="5"/>
  <c r="E63" i="5"/>
  <c r="D63" i="5"/>
  <c r="C63" i="5"/>
  <c r="B63" i="5"/>
  <c r="AC62" i="5"/>
  <c r="AB62" i="5"/>
  <c r="AA62" i="5"/>
  <c r="Z62" i="5"/>
  <c r="Y62" i="5"/>
  <c r="X62" i="5"/>
  <c r="W62" i="5"/>
  <c r="V62" i="5"/>
  <c r="U62" i="5"/>
  <c r="T62" i="5"/>
  <c r="S62" i="5"/>
  <c r="R62" i="5"/>
  <c r="Q62" i="5"/>
  <c r="P62" i="5"/>
  <c r="O62" i="5"/>
  <c r="N62" i="5"/>
  <c r="M62" i="5"/>
  <c r="L62" i="5"/>
  <c r="K62" i="5"/>
  <c r="J62" i="5"/>
  <c r="I62" i="5"/>
  <c r="H62" i="5"/>
  <c r="G62" i="5"/>
  <c r="F62" i="5"/>
  <c r="E62" i="5"/>
  <c r="D62" i="5"/>
  <c r="C62" i="5"/>
  <c r="B62" i="5"/>
  <c r="AC61" i="5"/>
  <c r="AB61" i="5"/>
  <c r="AA61" i="5"/>
  <c r="Z61" i="5"/>
  <c r="Y61" i="5"/>
  <c r="X61" i="5"/>
  <c r="W61" i="5"/>
  <c r="V61" i="5"/>
  <c r="U61" i="5"/>
  <c r="T61" i="5"/>
  <c r="S61" i="5"/>
  <c r="R61" i="5"/>
  <c r="Q61" i="5"/>
  <c r="P61" i="5"/>
  <c r="O61" i="5"/>
  <c r="N61" i="5"/>
  <c r="M61" i="5"/>
  <c r="L61" i="5"/>
  <c r="K61" i="5"/>
  <c r="J61" i="5"/>
  <c r="I61" i="5"/>
  <c r="H61" i="5"/>
  <c r="G61" i="5"/>
  <c r="F61" i="5"/>
  <c r="E61" i="5"/>
  <c r="D61" i="5"/>
  <c r="C61" i="5"/>
  <c r="B61" i="5"/>
  <c r="AC60" i="5"/>
  <c r="AB60" i="5"/>
  <c r="AA60" i="5"/>
  <c r="Z60" i="5"/>
  <c r="Y60" i="5"/>
  <c r="X60" i="5"/>
  <c r="W60" i="5"/>
  <c r="V60" i="5"/>
  <c r="U60" i="5"/>
  <c r="T60" i="5"/>
  <c r="S60" i="5"/>
  <c r="R60" i="5"/>
  <c r="Q60" i="5"/>
  <c r="P60" i="5"/>
  <c r="O60" i="5"/>
  <c r="N60" i="5"/>
  <c r="M60" i="5"/>
  <c r="L60" i="5"/>
  <c r="K60" i="5"/>
  <c r="J60" i="5"/>
  <c r="I60" i="5"/>
  <c r="H60" i="5"/>
  <c r="G60" i="5"/>
  <c r="F60" i="5"/>
  <c r="E60" i="5"/>
  <c r="D60" i="5"/>
  <c r="C60" i="5"/>
  <c r="B60" i="5"/>
  <c r="AC59" i="5"/>
  <c r="AB59" i="5"/>
  <c r="AA59" i="5"/>
  <c r="Z59" i="5"/>
  <c r="Y59" i="5"/>
  <c r="X59" i="5"/>
  <c r="W59" i="5"/>
  <c r="V59" i="5"/>
  <c r="U59" i="5"/>
  <c r="T59" i="5"/>
  <c r="S59" i="5"/>
  <c r="R59" i="5"/>
  <c r="Q59" i="5"/>
  <c r="P59" i="5"/>
  <c r="O59" i="5"/>
  <c r="N59" i="5"/>
  <c r="M59" i="5"/>
  <c r="L59" i="5"/>
  <c r="K59" i="5"/>
  <c r="J59" i="5"/>
  <c r="I59" i="5"/>
  <c r="H59" i="5"/>
  <c r="G59" i="5"/>
  <c r="F59" i="5"/>
  <c r="E59" i="5"/>
  <c r="D59" i="5"/>
  <c r="C59" i="5"/>
  <c r="B59" i="5"/>
  <c r="AC58" i="5"/>
  <c r="AB58" i="5"/>
  <c r="AA58" i="5"/>
  <c r="Z58" i="5"/>
  <c r="Y58" i="5"/>
  <c r="X58" i="5"/>
  <c r="W58" i="5"/>
  <c r="V58" i="5"/>
  <c r="U58" i="5"/>
  <c r="T58" i="5"/>
  <c r="S58" i="5"/>
  <c r="R58" i="5"/>
  <c r="Q58" i="5"/>
  <c r="P58" i="5"/>
  <c r="O58" i="5"/>
  <c r="N58" i="5"/>
  <c r="M58" i="5"/>
  <c r="L58" i="5"/>
  <c r="K58" i="5"/>
  <c r="J58" i="5"/>
  <c r="I58" i="5"/>
  <c r="H58" i="5"/>
  <c r="G58" i="5"/>
  <c r="F58" i="5"/>
  <c r="E58" i="5"/>
  <c r="D58" i="5"/>
  <c r="C58" i="5"/>
  <c r="B58" i="5"/>
  <c r="AC57" i="5"/>
  <c r="AB57" i="5"/>
  <c r="AA57" i="5"/>
  <c r="Z57" i="5"/>
  <c r="Y57" i="5"/>
  <c r="X57" i="5"/>
  <c r="W57" i="5"/>
  <c r="V57" i="5"/>
  <c r="U57" i="5"/>
  <c r="T57" i="5"/>
  <c r="S57" i="5"/>
  <c r="R57" i="5"/>
  <c r="Q57" i="5"/>
  <c r="P57" i="5"/>
  <c r="O57" i="5"/>
  <c r="N57" i="5"/>
  <c r="M57" i="5"/>
  <c r="L57" i="5"/>
  <c r="K57" i="5"/>
  <c r="J57" i="5"/>
  <c r="I57" i="5"/>
  <c r="H57" i="5"/>
  <c r="G57" i="5"/>
  <c r="F57" i="5"/>
  <c r="E57" i="5"/>
  <c r="D57" i="5"/>
  <c r="C57" i="5"/>
  <c r="B57" i="5"/>
  <c r="AC56" i="5"/>
  <c r="AB56" i="5"/>
  <c r="AA56" i="5"/>
  <c r="Z56" i="5"/>
  <c r="Y56" i="5"/>
  <c r="X56" i="5"/>
  <c r="W56" i="5"/>
  <c r="V56" i="5"/>
  <c r="U56" i="5"/>
  <c r="T56" i="5"/>
  <c r="S56" i="5"/>
  <c r="R56" i="5"/>
  <c r="Q56" i="5"/>
  <c r="P56" i="5"/>
  <c r="O56" i="5"/>
  <c r="N56" i="5"/>
  <c r="M56" i="5"/>
  <c r="L56" i="5"/>
  <c r="K56" i="5"/>
  <c r="J56" i="5"/>
  <c r="I56" i="5"/>
  <c r="H56" i="5"/>
  <c r="G56" i="5"/>
  <c r="F56" i="5"/>
  <c r="E56" i="5"/>
  <c r="D56" i="5"/>
  <c r="C56" i="5"/>
  <c r="B56" i="5"/>
  <c r="B54" i="5"/>
  <c r="D53" i="3"/>
  <c r="D52" i="3"/>
  <c r="D51" i="3"/>
  <c r="D49" i="3"/>
  <c r="D47" i="3"/>
  <c r="D45" i="3"/>
  <c r="D44" i="3"/>
  <c r="D43" i="3"/>
  <c r="D42" i="3"/>
  <c r="D41" i="3"/>
  <c r="D40" i="3"/>
  <c r="D39" i="3"/>
  <c r="D38" i="3"/>
  <c r="T28" i="4"/>
  <c r="AK23" i="4"/>
  <c r="AJ23" i="4"/>
  <c r="AI23" i="4"/>
  <c r="AH23" i="4"/>
  <c r="AG23" i="4"/>
  <c r="AF23" i="4"/>
  <c r="AE23" i="4"/>
  <c r="AD23" i="4"/>
  <c r="AC23" i="4"/>
  <c r="AA23" i="4"/>
  <c r="Z23" i="4"/>
  <c r="Y23" i="4"/>
  <c r="V23" i="4"/>
  <c r="X23" i="4" s="1"/>
  <c r="J23" i="4"/>
  <c r="AM22" i="4"/>
  <c r="AK22" i="4"/>
  <c r="AJ22" i="4"/>
  <c r="AI22" i="4"/>
  <c r="AH22" i="4"/>
  <c r="AG22" i="4"/>
  <c r="AF22" i="4"/>
  <c r="AL22" i="4" s="1"/>
  <c r="AE22" i="4"/>
  <c r="AD22" i="4"/>
  <c r="AC22" i="4"/>
  <c r="AA22" i="4"/>
  <c r="Z22" i="4"/>
  <c r="Y22" i="4"/>
  <c r="V22" i="4"/>
  <c r="AB22" i="4" s="1"/>
  <c r="J22" i="4"/>
  <c r="AL21" i="4"/>
  <c r="AK21" i="4"/>
  <c r="AJ21" i="4"/>
  <c r="AI21" i="4"/>
  <c r="AH21" i="4"/>
  <c r="AG21" i="4"/>
  <c r="AF21" i="4"/>
  <c r="AE21" i="4"/>
  <c r="AD21" i="4"/>
  <c r="AC21" i="4"/>
  <c r="AA21" i="4"/>
  <c r="Z21" i="4"/>
  <c r="Y21" i="4"/>
  <c r="V21" i="4"/>
  <c r="X21" i="4" s="1"/>
  <c r="J21" i="4"/>
  <c r="AK20" i="4"/>
  <c r="AJ20" i="4"/>
  <c r="AI20" i="4"/>
  <c r="AM20" i="4" s="1"/>
  <c r="AH20" i="4"/>
  <c r="AG20" i="4"/>
  <c r="AF20" i="4"/>
  <c r="AL20" i="4" s="1"/>
  <c r="AE20" i="4"/>
  <c r="AD20" i="4"/>
  <c r="AC20" i="4"/>
  <c r="AA20" i="4"/>
  <c r="Z20" i="4"/>
  <c r="Y20" i="4"/>
  <c r="V20" i="4"/>
  <c r="W20" i="4" s="1"/>
  <c r="J20" i="4"/>
  <c r="AK19" i="4"/>
  <c r="AJ19" i="4"/>
  <c r="AI19" i="4"/>
  <c r="AM19" i="4" s="1"/>
  <c r="AH19" i="4"/>
  <c r="AL19" i="4" s="1"/>
  <c r="AG19" i="4"/>
  <c r="AF19" i="4"/>
  <c r="AE19" i="4"/>
  <c r="AD19" i="4"/>
  <c r="AC19" i="4"/>
  <c r="AA19" i="4"/>
  <c r="Z19" i="4"/>
  <c r="Y19" i="4"/>
  <c r="V19" i="4"/>
  <c r="AB19" i="4" s="1"/>
  <c r="J19" i="4"/>
  <c r="AL18" i="4"/>
  <c r="AK18" i="4"/>
  <c r="AJ18" i="4"/>
  <c r="AI18" i="4"/>
  <c r="AM18" i="4" s="1"/>
  <c r="AH18" i="4"/>
  <c r="AG18" i="4"/>
  <c r="AF18" i="4"/>
  <c r="AE18" i="4"/>
  <c r="AD18" i="4"/>
  <c r="AC18" i="4"/>
  <c r="AA18" i="4"/>
  <c r="Z18" i="4"/>
  <c r="Y18" i="4"/>
  <c r="AK17" i="4"/>
  <c r="AJ17" i="4"/>
  <c r="AI17" i="4"/>
  <c r="AM17" i="4" s="1"/>
  <c r="AH17" i="4"/>
  <c r="AG17" i="4"/>
  <c r="AF17" i="4"/>
  <c r="AL17" i="4" s="1"/>
  <c r="AE17" i="4"/>
  <c r="AD17" i="4"/>
  <c r="AC17" i="4"/>
  <c r="AA17" i="4"/>
  <c r="Z17" i="4"/>
  <c r="Y17" i="4"/>
  <c r="V17" i="4"/>
  <c r="AB17" i="4" s="1"/>
  <c r="AL16" i="4"/>
  <c r="AK16" i="4"/>
  <c r="AM16" i="4" s="1"/>
  <c r="AJ16" i="4"/>
  <c r="AI16" i="4"/>
  <c r="AH16" i="4"/>
  <c r="AG16" i="4"/>
  <c r="AF16" i="4"/>
  <c r="AE16" i="4"/>
  <c r="AD16" i="4"/>
  <c r="AC16" i="4"/>
  <c r="AA16" i="4"/>
  <c r="Z16" i="4"/>
  <c r="Y16" i="4"/>
  <c r="AK15" i="4"/>
  <c r="AJ15" i="4"/>
  <c r="AI15" i="4"/>
  <c r="AM15" i="4" s="1"/>
  <c r="AH15" i="4"/>
  <c r="AL15" i="4" s="1"/>
  <c r="AG15" i="4"/>
  <c r="AF15" i="4"/>
  <c r="AE15" i="4"/>
  <c r="AD15" i="4"/>
  <c r="AC15" i="4"/>
  <c r="AA15" i="4"/>
  <c r="Z15" i="4"/>
  <c r="Y15" i="4"/>
  <c r="AK14" i="4"/>
  <c r="AJ14" i="4"/>
  <c r="AI14" i="4"/>
  <c r="AH14" i="4"/>
  <c r="AG14" i="4"/>
  <c r="AF14" i="4"/>
  <c r="AL14" i="4" s="1"/>
  <c r="AE14" i="4"/>
  <c r="AD14" i="4"/>
  <c r="AC14" i="4"/>
  <c r="AA14" i="4"/>
  <c r="Z14" i="4"/>
  <c r="Y14" i="4"/>
  <c r="T26" i="4" s="1"/>
  <c r="C11" i="4"/>
  <c r="V14" i="4"/>
  <c r="V16" i="4"/>
  <c r="V15" i="4"/>
  <c r="V18" i="4"/>
  <c r="S21" i="4" l="1"/>
  <c r="T21" i="4" s="1"/>
  <c r="AM14" i="4"/>
  <c r="J14" i="4" s="1"/>
  <c r="S17" i="4"/>
  <c r="T17" i="4" s="1"/>
  <c r="AM23" i="4"/>
  <c r="AL23" i="4"/>
  <c r="AM21" i="4"/>
  <c r="S23" i="4"/>
  <c r="T23" i="4" s="1"/>
  <c r="S19" i="4"/>
  <c r="T19" i="4" s="1"/>
  <c r="X20" i="4"/>
  <c r="S22" i="4"/>
  <c r="T22" i="4" s="1"/>
  <c r="W17" i="4"/>
  <c r="W22" i="4"/>
  <c r="AB20" i="4"/>
  <c r="AB21" i="4"/>
  <c r="X17" i="4"/>
  <c r="X22" i="4"/>
  <c r="S20" i="4"/>
  <c r="T20" i="4" s="1"/>
  <c r="AB23" i="4"/>
  <c r="AB18" i="4"/>
  <c r="W18" i="4"/>
  <c r="X18" i="4"/>
  <c r="X15" i="4"/>
  <c r="W15" i="4"/>
  <c r="AB15" i="4"/>
  <c r="AB16" i="4"/>
  <c r="X16" i="4"/>
  <c r="W16" i="4"/>
  <c r="W14" i="4"/>
  <c r="X14" i="4"/>
  <c r="AB14" i="4"/>
  <c r="X19" i="4"/>
  <c r="W21" i="4"/>
  <c r="W23" i="4"/>
  <c r="W19" i="4"/>
  <c r="S18" i="4" l="1"/>
  <c r="T18" i="4" s="1"/>
  <c r="S16" i="4"/>
  <c r="T16" i="4" s="1"/>
  <c r="S14" i="4"/>
  <c r="T14" i="4" s="1"/>
  <c r="S15" i="4"/>
  <c r="T15" i="4" s="1"/>
  <c r="T25" i="4" l="1"/>
  <c r="T27" i="4"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<sst xmlns="http://schemas.openxmlformats.org/spreadsheetml/2006/main" count="1571" uniqueCount="665">
  <si>
    <t>DEVIS - FOURNITURE SEULE - MENUISERIES ALUMINIUM</t>
  </si>
  <si>
    <t>INFORMATIONS CHANTIER</t>
  </si>
  <si>
    <t xml:space="preserve">PERFORMANCES </t>
  </si>
  <si>
    <t>DEMANDEUR</t>
  </si>
  <si>
    <t>Nom du chantier :</t>
  </si>
  <si>
    <t xml:space="preserve">Performance Thermique Uw : </t>
  </si>
  <si>
    <t>Demande émise par :</t>
  </si>
  <si>
    <t>Bruno ROBEIL</t>
  </si>
  <si>
    <t>Adresse :</t>
  </si>
  <si>
    <t xml:space="preserve">Facteur solaire Sw : </t>
  </si>
  <si>
    <t>Société :</t>
  </si>
  <si>
    <t>A.R.C ALUMINIUM</t>
  </si>
  <si>
    <t>Référence affaire :</t>
  </si>
  <si>
    <t xml:space="preserve">Affaiblissement acoustique : </t>
  </si>
  <si>
    <t>Téléphone :</t>
  </si>
  <si>
    <t>+33 (0)4 76 55 09 64</t>
  </si>
  <si>
    <t>Date de la demande :</t>
  </si>
  <si>
    <t xml:space="preserve">AEV : </t>
  </si>
  <si>
    <t>E-mail :</t>
  </si>
  <si>
    <t>contact@arc-alu.fr</t>
  </si>
  <si>
    <t>N°</t>
  </si>
  <si>
    <t>Localisation</t>
  </si>
  <si>
    <t>Type de menuiserie</t>
  </si>
  <si>
    <t>Famille couleur</t>
  </si>
  <si>
    <t>Vitrage</t>
  </si>
  <si>
    <t>Type de dormant</t>
  </si>
  <si>
    <t>Largeur
(mm)</t>
  </si>
  <si>
    <t>Hauteur
(mm)</t>
  </si>
  <si>
    <t>Qté</t>
  </si>
  <si>
    <t>Commentaires position</t>
  </si>
  <si>
    <t>Observations</t>
  </si>
  <si>
    <t>Grille de ventilation</t>
  </si>
  <si>
    <t>Option T/M 1</t>
  </si>
  <si>
    <t>Option T/M 2</t>
  </si>
  <si>
    <t>Option T/M 3</t>
  </si>
  <si>
    <t>Habillage extérieur</t>
  </si>
  <si>
    <t>Bavette</t>
  </si>
  <si>
    <t>Option porte
(uniquement si Porte Lourde)</t>
  </si>
  <si>
    <t>Prix unitaire
net HT</t>
  </si>
  <si>
    <t>Prix total
net HT</t>
  </si>
  <si>
    <t>Tarif baie</t>
  </si>
  <si>
    <t>PV 4pts</t>
  </si>
  <si>
    <t>PV coul.</t>
  </si>
  <si>
    <t>Forfait</t>
  </si>
  <si>
    <t>PV vitr.</t>
  </si>
  <si>
    <t>PV €/ml</t>
  </si>
  <si>
    <t>PV % baie</t>
  </si>
  <si>
    <t>PV option</t>
  </si>
  <si>
    <t>PV T/M</t>
  </si>
  <si>
    <t>Err T/M</t>
  </si>
  <si>
    <t>T1</t>
  </si>
  <si>
    <t>T2</t>
  </si>
  <si>
    <t>T3</t>
  </si>
  <si>
    <t>M1</t>
  </si>
  <si>
    <t>M2</t>
  </si>
  <si>
    <t>M3</t>
  </si>
  <si>
    <t>Ligne T</t>
  </si>
  <si>
    <t>Ligne M</t>
  </si>
  <si>
    <t>Coulissant 2 vantaux 2 rails</t>
  </si>
  <si>
    <t>Famille 1 Monocolore</t>
  </si>
  <si>
    <t>4 /20/ 4 (Fe Argon WE) Clair</t>
  </si>
  <si>
    <t>Standard (sans doublage)</t>
  </si>
  <si>
    <t>Aucune</t>
  </si>
  <si>
    <t>Châssis fixe vitré</t>
  </si>
  <si>
    <t>SP10 (44.6) /16/ 4 (Fe Argon WE) Clair</t>
  </si>
  <si>
    <t>Dormant réno 25 mm</t>
  </si>
  <si>
    <t>Galandage 4 vantaux 2 rails</t>
  </si>
  <si>
    <t>Porte Lourde 1 vantail</t>
  </si>
  <si>
    <t>• Les prix indiqués sont des prix NETS HT (remise client déjà appliquée).</t>
  </si>
  <si>
    <t>• Les dimensions sont arrondies au pas de 100 mm le plus proche pour le calcul tarif.</t>
  </si>
  <si>
    <t>• Le forfait couleur est appliqué une seule fois par commande (99 € ou 275 € selon la famille la plus élevée).</t>
  </si>
  <si>
    <t>• La plus-value 4 points de fermeture (+ 4 %) s'applique automatiquement à partir de la hauteur seuil (2320 mm).</t>
  </si>
  <si>
    <t>• La plus-value dormant €/ml est calculée sur le linéaire automatique : 2 × (largeur + hauteur).</t>
  </si>
  <si>
    <t>• Le taux de remise est paramétré dans l'onglet « Paramètres ».</t>
  </si>
  <si>
    <t>RAPPEL DES FAMILLES DE COULEUR</t>
  </si>
  <si>
    <t>Finitions : S = Satinée | FST = Fine Structure / Sablée | B = Brillante | A = Anodisée | FB = Faux bois</t>
  </si>
  <si>
    <t>Famille 1 Monocolore (sans plus-value) :</t>
  </si>
  <si>
    <t>1015S - 7016S - 7016FST - 7022S - 7035S - 9005S - 9005FST - 9006S - 9016S - 1247FST - 7039FST - 2100FST - 9010B</t>
  </si>
  <si>
    <t>Famille 1 Bicolore (sans plus-value) :</t>
  </si>
  <si>
    <t>1015S - 7016S - 7016FST - 7022S - 7035S - 7039S - 7039FST - 9005S - 9005FST - 9006S - 1247FST - 2100FST</t>
  </si>
  <si>
    <t>Famille 1 « PLUS » Monocolore (forfait 99 €) :</t>
  </si>
  <si>
    <t>1247S - 3004S - 3004FST - 5003S - 5003FST - 5010S - 5010FST - 5014S - 5014FST - 6005S - 6005FST - 6021S - 6021FST - 6029S - 6029FST - 9010S - 9010FST - 8019S - 7022FST - 7035FST - 9006FST - 9007FST - 9016FST - 2900FST</t>
  </si>
  <si>
    <t>Famille 2 Monocolore (+ 10 % + forfait 99 €) :</t>
  </si>
  <si>
    <t>3005S - 7006S - 7015S - 7015FST - 7021S - 7024S - 7030S - 7031S - 7031FST - 7037S - 7039S - 7040S - 7043S - 7047S - 8014S - 9007S - 1015FST - 8019FST - 7002B - ASA</t>
  </si>
  <si>
    <t>Famille 3 Monocolore (+ 25 % + forfait 99 €) :</t>
  </si>
  <si>
    <t>3001S - 3009S - 3018S - 4007S - 5000S - 5004S - 5021S - 2650FST - 2100FST - 2700FST - 2500FST - NaturaA</t>
  </si>
  <si>
    <t>Famille 4 Monocolore (Faux bois) (+ 30 % + forfait 99 €) :</t>
  </si>
  <si>
    <t>Chêne doréFB - NogalFB - Chêne IrlandaisFB</t>
  </si>
  <si>
    <t>Famille 5 Bicolore (+ 20 % + forfait 275 €) :</t>
  </si>
  <si>
    <t>3004S - 3004FST - 5003S - 5003FST - 5010S - 5010FST - 5014S - 5014FST - 6005S - 6005FST - 6021S - 6021FST - 6029S - 6029FST - 8019S - 8019FST - 9010S - 9010FST - 3005S - 7006S - 7015S - 7015FST - 7021S - 7021B - 7024S - 7030S - 7031S - 7031FST - 7037S - 7039S - 7040S - 7043S - 7047S - 8014S - 9007S - 9007FST - 3001S - 3009S - 3018S - 4007S - 5000S - 5004S - 5021S - 8017FST - 1247FST - 7022FST - 7035FST - 9006FST - 9016FST - 1015FST - 8011FST - 2900FST - 2650FST - 2100FST - 2700FST - 2500FST - 7002B - 9005B - NaturaA</t>
  </si>
  <si>
    <t>Famille 6 Bicolore (+ 25 % + forfait 275 €) :</t>
  </si>
  <si>
    <t>NogalFB - Chêne IrlandaisFB - Chêne doréFB - AnodiséA</t>
  </si>
  <si>
    <t>Pour la liste détaillée des RAL et finitions disponibles par famille, voir l'onglet « Teintes &amp; Finitions ».</t>
  </si>
  <si>
    <t>NOTICE D'UTILISATION</t>
  </si>
  <si>
    <t>Configurateur de devis – A.R.C ALUMINIUM</t>
  </si>
  <si>
    <t>⚠  IMPORTANT – À LIRE EN PREMIER</t>
  </si>
  <si>
    <t>Ce configurateur est mis à disposition pour les CHÂSSIS STANDARD uniquement.
Il ne couvre pas l'intégralité du savoir-faire d'A.R.C ALUMINIUM. Pour tout châssis spécifique (dimensions hors abaques, profils particuliers, finitions sur-mesure, systèmes non listés, performances renforcées, etc.), merci d'adresser directement votre demande au bureau d'études A.R.C ALUMINIUM :
        📧  contact@arc-alu.fr
        📞  +33 (0)4 76 55 09 64
        📍  156 rue Émile Romanet – 38340 VOREPPE
💡  Les plans des menuiseries peuvent être demandés au bureau d'études sur simple demande.
📦  Les tarifs affichés sont calibrés pour des quantités unitaires ou de faibles séries. Pour les commandes en grande quantité ou séries répétitives, A.R.C ALUMINIUM est en mesure de proposer des conditions tarifaires négociées — n'hésitez pas à nous consulter en amont.</t>
  </si>
  <si>
    <t>LES ONGLETS DU CLASSEUR</t>
  </si>
  <si>
    <t>« Notice d'utilisation »</t>
  </si>
  <si>
    <t>Ce document.</t>
  </si>
  <si>
    <t>« Paramètres »</t>
  </si>
  <si>
    <t>Permet d'ajuster le taux de remise client appliqué automatiquement à tous les devis. Cellule jaune modifiable (B2).</t>
  </si>
  <si>
    <t>« Sommaire »</t>
  </si>
  <si>
    <t>Récapitulatif des grilles de prix et des familles de couleurs disponibles. Pour consultation uniquement.</t>
  </si>
  <si>
    <t>« Configurateur »</t>
  </si>
  <si>
    <t>Devis rapide pour 1 seule menuiserie. Saisir Type / Largeur / Hauteur / Couleur / Vitrage / Dormant / Quantité dans les cellules JAUNES. Le prix net HT s'affiche en bas.</t>
  </si>
  <si>
    <t>« Devis »</t>
  </si>
  <si>
    <t>Devis multi-lignes complet (jusqu'à 10 menuiseries). C'est l'outil principal pour générer un devis structuré.</t>
  </si>
  <si>
    <t>COMMENT REMPLIR UN DEVIS (onglet « Devis »)</t>
  </si>
  <si>
    <t>1 – Informations chantier</t>
  </si>
  <si>
    <t>Remplir le bloc en haut : Nom du chantier, Adresse, Référence affaire. La date se met automatiquement.</t>
  </si>
  <si>
    <t>2 – Performances (optionnel)</t>
  </si>
  <si>
    <t>Indiquer les performances souhaitées : Uw (thermique), Sw (facteur solaire), Affaiblissement acoustique, classement AEV. Sert d'orientation au BE.</t>
  </si>
  <si>
    <t>3 – Demandeur</t>
  </si>
  <si>
    <t>Vérifier que l'émetteur, la société et les coordonnées sont à jour.</t>
  </si>
  <si>
    <t>4 – Saisie ligne par ligne</t>
  </si>
  <si>
    <t>Pour chaque ligne du tableau, sélectionner dans les listes déroulantes : Type de menuiserie, Famille couleur, Vitrage, Type de dormant. Saisir Largeur, Hauteur, Quantité. Renseigner si besoin les Options Traverses/Meneaux et l'Option porte. Les Commentaires position se génèrent automatiquement.</t>
  </si>
  <si>
    <t>5 – Vérification</t>
  </si>
  <si>
    <t>Le prix unitaire et le prix total se calculent en temps réel. Le total HT global apparaît en bas du tableau.</t>
  </si>
  <si>
    <t>6 – Validation &amp; commande</t>
  </si>
  <si>
    <t>Lorsqu'un devis saisi sur ce configurateur est validé pour passage en commande, merci de nous transmettre une copie de ce fichier Excel en pièce jointe à votre commande. Cela facilite le traitement et la traçabilité de l'affaire.</t>
  </si>
  <si>
    <t>SIGNAUX VISUELS À REPÉRER</t>
  </si>
  <si>
    <t>Cellule LARGEUR ou HAUTEUR sur fond ROUGE</t>
  </si>
  <si>
    <t>La dimension saisie est hors abaque pour ce type de menuiserie. Le prix unitaire ne s'affiche pas et le devis ne peut pas être validé pour cette ligne. Voir les abaques ci-dessous ou contacter le bureau d'études.</t>
  </si>
  <si>
    <t>« ⚠ Hors abaque (L X–Y / H X–Y mm) » dans Commentaires position</t>
  </si>
  <si>
    <t>Détail textuel du dépassement avec les valeurs autorisées rappelées.</t>
  </si>
  <si>
    <t>« ⚠ Option valable uniquement pour Porte Lourde »</t>
  </si>
  <si>
    <t>L'option porte sélectionnée (ventouse, anti-panique, etc.) n'est compatible qu'avec les Portes Lourdes. Changer le type ou enlever l'option.</t>
  </si>
  <si>
    <t>« ⚠ Option T/M incompatible avec la gamme »</t>
  </si>
  <si>
    <t>Une option Traverse/Meneau a été sélectionnée mais n'est pas applicable à ce type de menuiserie.</t>
  </si>
  <si>
    <t>Cellule PRIX vide</t>
  </si>
  <si>
    <t>Soit la ligne n'est pas complète, soit les dimensions sont hors abaque. Vérifier la saisie.</t>
  </si>
  <si>
    <t>ABAQUES DE DIMENSIONS (par type de menuiserie)</t>
  </si>
  <si>
    <t>Limites Largeur × Hauteur (mm)</t>
  </si>
  <si>
    <t>800 – 3500  /  750 – 2700</t>
  </si>
  <si>
    <t>Coulissant 3 vantaux 2 rails</t>
  </si>
  <si>
    <t>2000 – 5000  /  750 – 2700</t>
  </si>
  <si>
    <t>Coulissant 4 vantaux 2 rails</t>
  </si>
  <si>
    <t>2500 – 6050  /  750 – 2700</t>
  </si>
  <si>
    <t>Coulissant 3 vantaux 3 rails</t>
  </si>
  <si>
    <t>Coulissant 6 vantaux 3 rails</t>
  </si>
  <si>
    <t>4000 – 6400  /  750 – 2700</t>
  </si>
  <si>
    <t>Galandage 1 vantail 1 rail</t>
  </si>
  <si>
    <t>500 – 2000  /  750 – 2350</t>
  </si>
  <si>
    <t>Galandage 2 vantaux 1 rail</t>
  </si>
  <si>
    <t>900 – 3200  /  750 – 2350</t>
  </si>
  <si>
    <t>Galandage 2 vantaux 2 rails</t>
  </si>
  <si>
    <t>1000 – 3300  /  750 – 2350</t>
  </si>
  <si>
    <t>1800 – 4100  /  750 – 2350</t>
  </si>
  <si>
    <t>300 – 3000  /  450 – 2550</t>
  </si>
  <si>
    <t>800 – 1300  /  1950 – 2850</t>
  </si>
  <si>
    <t>Porte Lourde 2 vantaux</t>
  </si>
  <si>
    <t>1200 – 2500  /  1950 – 2850</t>
  </si>
  <si>
    <t>Fenêtre OF 1 vantail</t>
  </si>
  <si>
    <t>400 – 1300  /  550 – 2500</t>
  </si>
  <si>
    <t>Fenêtre OF 2 vantaux</t>
  </si>
  <si>
    <t>700 – 2400  /  550 – 2500</t>
  </si>
  <si>
    <t>Fenêtre OB 1 vantail</t>
  </si>
  <si>
    <t>Fenêtre OB 2 vantaux</t>
  </si>
  <si>
    <t>Hors de ces plages → demande au bureau d'études A.R.C ALUMINIUM.</t>
  </si>
  <si>
    <t>PROPRIÉTÉ ET CONFIDENTIALITÉ</t>
  </si>
  <si>
    <t>Le présent configurateur ainsi que l'ensemble de son contenu — grilles tarifaires, formules de calcul, abaques, méthodologie, structure et données associées — sont la propriété exclusive d'A.R.C ALUMINIUM.
Ce document est strictement confidentiel et destiné à un usage exclusivement professionnel, dans le cadre d'une relation commerciale établie avec A.R.C ALUMINIUM.
Toute reproduction, diffusion à des tiers, communication ou exploitation, totale ou partielle, à des fins autres que la consultation tarifaire pour les besoins propres du destinataire, est strictement interdite sans autorisation écrite préalable d'A.R.C ALUMINIUM.</t>
  </si>
  <si>
    <t>CONTACT BUREAU D'ÉTUDES</t>
  </si>
  <si>
    <t>156 rue Émile Romanet  –  38340 VOREPPE</t>
  </si>
  <si>
    <t>Tél : +33 (0)4 76 55 09 64</t>
  </si>
  <si>
    <t>E-mail : contact@arc-alu.fr</t>
  </si>
  <si>
    <t>Web : www.arcaluminium.com</t>
  </si>
  <si>
    <t>Document généré – Version juin 2026</t>
  </si>
  <si>
    <t>PARAMÈTRES</t>
  </si>
  <si>
    <t>Taux de remise client :</t>
  </si>
  <si>
    <t>← Modifier ici</t>
  </si>
  <si>
    <t>MODE D'EMPLOI</t>
  </si>
  <si>
    <t>1. Saisir le taux de remise dans la cellule jaune ci-dessus (cellule B2).</t>
  </si>
  <si>
    <t xml:space="preserve">   Exemple : 25 % de remise → taper 25 % ou 0,25</t>
  </si>
  <si>
    <t>2. Tous les onglets de prix se mettent à jour automatiquement :</t>
  </si>
  <si>
    <t xml:space="preserve">   • Sur chaque grille Coulissant / Galandage, une section</t>
  </si>
  <si>
    <t xml:space="preserve">     « PRIX NET CLIENT » apparaît sous le tableau tarif.</t>
  </si>
  <si>
    <t xml:space="preserve">   • Sur l'onglet « Doubles Vitrages », la colonne « Plus-Value nette »</t>
  </si>
  <si>
    <t xml:space="preserve">     affiche la plus-value après remise.</t>
  </si>
  <si>
    <t xml:space="preserve">   • Sur l'onglet « Options dormant », une colonne « Plus value nette »</t>
  </si>
  <si>
    <t xml:space="preserve">     est également ajoutée.</t>
  </si>
  <si>
    <t>3. La grille tarif d'origine (en €) reste toujours visible pour référence.</t>
  </si>
  <si>
    <t>4. Pour reprendre le tarif de base sans remise : taper 0 % dans la cellule.</t>
  </si>
  <si>
    <t>A.R.C ALUMINIUM — GRILLES DE PRIX (Coulissants &amp; Galandages)</t>
  </si>
  <si>
    <t>👉 « Paramètres » : taux de remise — « Configurateur » : devis rapide 1 menuiserie — « Devis » : devis multi-lignes complet</t>
  </si>
  <si>
    <t>Configuration</t>
  </si>
  <si>
    <t>Onglet</t>
  </si>
  <si>
    <t>Largeurs (mm)</t>
  </si>
  <si>
    <t>Hauteurs (mm)</t>
  </si>
  <si>
    <t>COULISSANTS</t>
  </si>
  <si>
    <t>Coulissant 2 vantaux &amp; 2 rails</t>
  </si>
  <si>
    <t>800 – 3500</t>
  </si>
  <si>
    <t>750 – 2700</t>
  </si>
  <si>
    <t>Coulissant 3 vantaux &amp; 2 rails</t>
  </si>
  <si>
    <t>2000 – 5000</t>
  </si>
  <si>
    <t>Coulissant 4 vantaux &amp; 2 rails</t>
  </si>
  <si>
    <t>2500 – 6050</t>
  </si>
  <si>
    <t>Coulissant 3 vantaux &amp; 3 rails</t>
  </si>
  <si>
    <t>Coulissant 6 vantaux &amp; 3 rails</t>
  </si>
  <si>
    <t>4000 – 6400</t>
  </si>
  <si>
    <t>GALANDAGES</t>
  </si>
  <si>
    <t>Galandage 1 vantail &amp; 1 rail</t>
  </si>
  <si>
    <t>500 – 2000</t>
  </si>
  <si>
    <t>750 – 2350</t>
  </si>
  <si>
    <t>Galandage 2 vantaux &amp; 1 rail</t>
  </si>
  <si>
    <t>900 – 3200</t>
  </si>
  <si>
    <t>Galandage 2 vantaux &amp; 2 rails</t>
  </si>
  <si>
    <t>1000 – 3300</t>
  </si>
  <si>
    <t>Galandage 4 vantaux &amp; 2 rails</t>
  </si>
  <si>
    <t>1800 – 4100</t>
  </si>
  <si>
    <t>CHÂSSIS FIXES VITRÉS</t>
  </si>
  <si>
    <t>Châssis fixe vitré (avec dormant visible)</t>
  </si>
  <si>
    <t>300 – 3000</t>
  </si>
  <si>
    <t>450 – 2550</t>
  </si>
  <si>
    <t>PORTES LOURDES ACCESS</t>
  </si>
  <si>
    <t>Porte Lourde 1 vantail (ouvrant visible)</t>
  </si>
  <si>
    <t>800 – 1300</t>
  </si>
  <si>
    <t>1950 – 2850</t>
  </si>
  <si>
    <t>Porte Lourde 2 vantaux (ouvrant visible)</t>
  </si>
  <si>
    <t>1200 – 2500</t>
  </si>
  <si>
    <t>FENÊTRES / PORTES-FENÊTRES</t>
  </si>
  <si>
    <t>Fenêtre/Porte-fenêtre OF 1 vantail</t>
  </si>
  <si>
    <t>400 – 1300</t>
  </si>
  <si>
    <t>550 – 2500</t>
  </si>
  <si>
    <t>Fenêtre/Porte-fenêtre OF 2 vantaux</t>
  </si>
  <si>
    <t>700 – 2400</t>
  </si>
  <si>
    <t>Fenêtre/Porte-fenêtre OB 1 vantail</t>
  </si>
  <si>
    <t>Fenêtre/Porte-fenêtre OB 2 vantaux</t>
  </si>
  <si>
    <t>OPTIONS &amp; VITRAGES</t>
  </si>
  <si>
    <t>Catalogue Doubles Vitrages</t>
  </si>
  <si>
    <t>Doubles Vitrages</t>
  </si>
  <si>
    <t>6 catégories</t>
  </si>
  <si>
    <t>Plus-value €</t>
  </si>
  <si>
    <t>Options sur dormant</t>
  </si>
  <si>
    <t>Teintes &amp; Finitions (RAL)</t>
  </si>
  <si>
    <t>Teintes &amp; Finitions</t>
  </si>
  <si>
    <t>8 familles</t>
  </si>
  <si>
    <t>+ % menuiserie + forfait</t>
  </si>
  <si>
    <t>PLUS-VALUES TRAVERSES &amp; MENEAUX (prix moyens nets HT, remise appliquée)</t>
  </si>
  <si>
    <t>Gamme</t>
  </si>
  <si>
    <t>Profilé</t>
  </si>
  <si>
    <t>Unité</t>
  </si>
  <si>
    <t>Prix moyen net HT</t>
  </si>
  <si>
    <t>Traverse 70 mm</t>
  </si>
  <si>
    <t>€/ml</t>
  </si>
  <si>
    <t>Traverse 100 mm</t>
  </si>
  <si>
    <t>Meneau 70 mm</t>
  </si>
  <si>
    <t>Meneau 100 mm</t>
  </si>
  <si>
    <t>Traverse 142 mm</t>
  </si>
  <si>
    <t>Prix moyens calculés sur l'ensemble des dimensions disponibles. Pour un prix exact selon votre dimension, voir les grilles tarif détaillées.</t>
  </si>
  <si>
    <t>Lecture des onglets :</t>
  </si>
  <si>
    <t>• 1ère partie : prix € HT (double vitrage standard) - non remisé</t>
  </si>
  <si>
    <t>• 2ème partie : prix €/m² HT (double vitrage standard) - non remisé</t>
  </si>
  <si>
    <t>• Dernière ligne : Traverse 70 mm</t>
  </si>
  <si>
    <t>Lignes = hauteurs (mm)  |  Colonnes = largeurs (mm)</t>
  </si>
  <si>
    <t>⚠ Important : valeurs transcrites à partir des images fournies.</t>
  </si>
  <si>
    <t>Vérifier les prix avant tout devis client (la transcription peut</t>
  </si>
  <si>
    <t>contenir des erreurs ponctuelles sur des cellules isolées).</t>
  </si>
  <si>
    <t>COULISSANT 2 VANTAUX 2 RAILS CL32</t>
  </si>
  <si>
    <t>PRIX EN € HT (Double vitrage standard) - non remisé</t>
  </si>
  <si>
    <t>Hauteur (mm) ↓ / Largeur (mm) →</t>
  </si>
  <si>
    <t>PRIX EN €/m² HT (Double vitrage standard) - non remisé</t>
  </si>
  <si>
    <t>PRIX NET CLIENT (après remise)</t>
  </si>
  <si>
    <t>Remise appliquée :</t>
  </si>
  <si>
    <t>COULISSANT 3 VANTAUX 2 RAILS CL32</t>
  </si>
  <si>
    <t>COULISSANT 4 VANTAUX 2 RAILS CL32</t>
  </si>
  <si>
    <t>COULISSANT 3 VANTAUX 3 RAILS CL32</t>
  </si>
  <si>
    <t>COULISSANT 6 VANTAUX 3 RAILS CL32</t>
  </si>
  <si>
    <t>GALANDAGE 1 VANTAIL 1 RAIL</t>
  </si>
  <si>
    <t>GALANDAGE 2 VANTAUX 1 RAIL</t>
  </si>
  <si>
    <t>GALANDAGE 2 VANTAUX 2 RAILS</t>
  </si>
  <si>
    <t>GALANDAGE 4 VANTAUX 2 RAILS</t>
  </si>
  <si>
    <t>CHÂSSIS FIXE VITRÉ AVEC DORMANT VISIBLE</t>
  </si>
  <si>
    <t>MENEAU</t>
  </si>
  <si>
    <t>Meneau 70</t>
  </si>
  <si>
    <t>Meneau 100</t>
  </si>
  <si>
    <t>PORTE LOURDE — OUVRANT VISIBLE — 1 VANTAIL</t>
  </si>
  <si>
    <t>ÉQUIPEMENTS STANDARDS INCLUS</t>
  </si>
  <si>
    <t>Serrure 3 points  /  Paire de béquilles  /  Cylindre standard 45×45  /  Rosaces.</t>
  </si>
  <si>
    <t>Pour tout autre équipement (poignée tirage, contrôle d'accès, ferme-porte, etc.), merci de nous consulter.</t>
  </si>
  <si>
    <t>PORTE LOURDE — OUVRANT VISIBLE — 2 VANTAUX</t>
  </si>
  <si>
    <t>DOUBLE VITRAGE</t>
  </si>
  <si>
    <t>Double Vitrage Faiblement Émissif</t>
  </si>
  <si>
    <t>Après remise</t>
  </si>
  <si>
    <t>Verre Ext.</t>
  </si>
  <si>
    <t>Écart. Air (mm)</t>
  </si>
  <si>
    <t>Verre Int.</t>
  </si>
  <si>
    <t>Code Vitrage</t>
  </si>
  <si>
    <t>Coef. Ug (W/m².K)</t>
  </si>
  <si>
    <t>Facteur Solaire (%)</t>
  </si>
  <si>
    <t>Trans. Lumin. (%)</t>
  </si>
  <si>
    <t>Indice Rw (dB) (Valeur estimée)</t>
  </si>
  <si>
    <t>Épaisseur totale (mm)</t>
  </si>
  <si>
    <t>Plus Value</t>
  </si>
  <si>
    <t>Dimension maxi vitrage</t>
  </si>
  <si>
    <t>Plus-Value nette</t>
  </si>
  <si>
    <t>4</t>
  </si>
  <si>
    <t>4 Fe</t>
  </si>
  <si>
    <t>64 %</t>
  </si>
  <si>
    <t>82 %</t>
  </si>
  <si>
    <t>31(-1;-4)</t>
  </si>
  <si>
    <t>standard</t>
  </si>
  <si>
    <t>1600*2400</t>
  </si>
  <si>
    <t>6</t>
  </si>
  <si>
    <t>6 /18/ 4 (Fe Argon WE) Clair</t>
  </si>
  <si>
    <t>63 %</t>
  </si>
  <si>
    <t>81 %</t>
  </si>
  <si>
    <t>36(-1;-5)</t>
  </si>
  <si>
    <t>2400*4000</t>
  </si>
  <si>
    <t>6 Fe</t>
  </si>
  <si>
    <t>4 /16/ 6 (Fe Argon WE) Clair</t>
  </si>
  <si>
    <t>80 %</t>
  </si>
  <si>
    <t>32(-1;-3)</t>
  </si>
  <si>
    <t>8</t>
  </si>
  <si>
    <t>8 Fe</t>
  </si>
  <si>
    <t>8 /12/ 8 (Fe Argon WE) Clair</t>
  </si>
  <si>
    <t>61 %</t>
  </si>
  <si>
    <t>79 %</t>
  </si>
  <si>
    <t>35(-2;-5)</t>
  </si>
  <si>
    <t>2500*4000</t>
  </si>
  <si>
    <t>Double Vitrage Décoratif</t>
  </si>
  <si>
    <t>4 G200</t>
  </si>
  <si>
    <t>4 /16/ 4 (Fe Argon WE) G200</t>
  </si>
  <si>
    <t>4 /18/ 6 (Fe Argon WE) G200</t>
  </si>
  <si>
    <t>6 G200</t>
  </si>
  <si>
    <t>6 /16/ 6 (Fe Argon WE) G200</t>
  </si>
  <si>
    <t>4 Satinovo</t>
  </si>
  <si>
    <t>4 /20/ 4 (Fe Argon WE) Satinovo</t>
  </si>
  <si>
    <t>6 Satinovo</t>
  </si>
  <si>
    <t>6 /18/ 4 (Fe Argon WE) Satinovo</t>
  </si>
  <si>
    <t>6 /16/ 6 (Fe Argon WE) Satinovo</t>
  </si>
  <si>
    <t>4 Delta Blanc M.</t>
  </si>
  <si>
    <t>4 /20/ 4 (Fe Argon WE) Delta Blanc Mat</t>
  </si>
  <si>
    <t>4 /18/ 6 (Fe Argon WE) Delta Blanc Mat</t>
  </si>
  <si>
    <t>4 Delta Clair</t>
  </si>
  <si>
    <t>4 /20/ 4 (Fe Argon WE) Delta Clair</t>
  </si>
  <si>
    <t>4 /18/ 6 (Fe Argon WE) Delta Clair</t>
  </si>
  <si>
    <t>Double Vitrage Contrôle Solaire</t>
  </si>
  <si>
    <t>6 Stopsol Clair</t>
  </si>
  <si>
    <t>4 /16/ 6 (Fe Argon WE) Stopsol Clair</t>
  </si>
  <si>
    <t>33 %</t>
  </si>
  <si>
    <t>35 %</t>
  </si>
  <si>
    <t>36(-1;-5)*</t>
  </si>
  <si>
    <t>6 /16/ 6 (Fe Argon WE) Stopsol Clair</t>
  </si>
  <si>
    <t>6 Stopsol Supersilver</t>
  </si>
  <si>
    <t>4 /18/ 6 (Fe Argon WE) Stopsol Supersilver</t>
  </si>
  <si>
    <t>47 %</t>
  </si>
  <si>
    <t>57 %</t>
  </si>
  <si>
    <t>6 /16/ 6 (Fe Argon WE) Stopsol Supersilver</t>
  </si>
  <si>
    <t>6 Stopsol Bronze</t>
  </si>
  <si>
    <t>4 /18/ 6 (Fe Argon WE) Stopsol Bronze</t>
  </si>
  <si>
    <t>6 /16/ 6 (Fe Argon WE) Stopsol Bronze</t>
  </si>
  <si>
    <t>Planistar Sun 4</t>
  </si>
  <si>
    <t>Planistar Sun 4 - 20 - 4 argon WEN</t>
  </si>
  <si>
    <t>39 %</t>
  </si>
  <si>
    <t>70 %</t>
  </si>
  <si>
    <t>30(-1;-3)</t>
  </si>
  <si>
    <t>44.2 Fe</t>
  </si>
  <si>
    <t>Ipasol 70/39 4-14-44/2 argon WEN ( Ug=1,1 Facteur solaire g=39 % transmission TL= 69 %)</t>
  </si>
  <si>
    <t>69 %</t>
  </si>
  <si>
    <t>37(-2;-6)</t>
  </si>
  <si>
    <t>Planistar Sun 6</t>
  </si>
  <si>
    <t>Ipasol 70/39 44/2-12-6 argon WEN ( Ug=1,2 Facteur solaire g=39 % transmission TL= 70 %)</t>
  </si>
  <si>
    <t>2200*3800</t>
  </si>
  <si>
    <t>Double Vitrage Auto nettoyant</t>
  </si>
  <si>
    <t>4 Active bioclean</t>
  </si>
  <si>
    <t>4 Active bioclean /20/ 4 Fe (Argon WE)</t>
  </si>
  <si>
    <t>6 Active Bioclean</t>
  </si>
  <si>
    <t>6 Active Bioclean /18/ 4 Fe (Argon WE)</t>
  </si>
  <si>
    <t>Double Vitrage Feuilleté Securit</t>
  </si>
  <si>
    <t>44.2 Sécurit</t>
  </si>
  <si>
    <t>Sécurit 44.2 /18/ 4 (Fe Argon WE) Clair</t>
  </si>
  <si>
    <t>37(-2;-4)</t>
  </si>
  <si>
    <t>Sécurit 44.2 /16/ 6 (Fe Argon WE) Clair</t>
  </si>
  <si>
    <t>54 %</t>
  </si>
  <si>
    <t>77 %</t>
  </si>
  <si>
    <t>36(-1;-3)</t>
  </si>
  <si>
    <t>Sécurit 44.2 /14/ 44.2 (Fe Argon WE) Clair</t>
  </si>
  <si>
    <t>55 %</t>
  </si>
  <si>
    <t>39(-1;-5)</t>
  </si>
  <si>
    <t>44.2 Sécurit G200</t>
  </si>
  <si>
    <t>Sécurit 44.2 /18/ 4 (Fe Argon WE) G200</t>
  </si>
  <si>
    <t>Sécurit 44.2 /16/ 6 (Fe Argon WE) G200</t>
  </si>
  <si>
    <t>Sécurit 44.2 /14/ 44.2 (Fe Argon WE) G200</t>
  </si>
  <si>
    <t>44.2 Satinovo</t>
  </si>
  <si>
    <t>Sécurit 44.2 /18/ 4 (Fe Argon WE) Satinovo</t>
  </si>
  <si>
    <t>Sécurit 44.2 /16/ 6 (Fe Argon WE) Satinovo</t>
  </si>
  <si>
    <t>44.2 Opale</t>
  </si>
  <si>
    <t>Sécurit 44.2 /14/ 44.2 (Fe Argon WE) Opale</t>
  </si>
  <si>
    <t>44.2 Sécurit FE</t>
  </si>
  <si>
    <t>4 Delta mat</t>
  </si>
  <si>
    <t>Sécurit 44.2 /18/ 4 (Fe Argon WE) Delta Mat</t>
  </si>
  <si>
    <t>4 Delta Brillant</t>
  </si>
  <si>
    <t>Sécurit 44.2 /18/ 4 (Fe Argon WE) Delta Brillant</t>
  </si>
  <si>
    <t>44.2 Sécurit Stopsol</t>
  </si>
  <si>
    <t>Sécurit 44.2 /18/ 4 (Fe Argon WE) Stopsol Clair</t>
  </si>
  <si>
    <t>Sécurit 44.2 /16/ 6 (Fe Argon WE) Stopsol Clair</t>
  </si>
  <si>
    <t>44.2 Sécurit Stopsol Supersilver</t>
  </si>
  <si>
    <t>Sécurit 44.2 /16/ 6 (Fe Argon WE) Stopsol Supersilver</t>
  </si>
  <si>
    <t>44.2 Sécurit Stopsol Bronze</t>
  </si>
  <si>
    <t>Sécurit 44.2 /16/ 6 (Fe Argon WE) Stopsol Bronze</t>
  </si>
  <si>
    <t>44.6 Sécurit</t>
  </si>
  <si>
    <t>SP10 (44.6) /14/ 6 (Fe Argon WE) Clair</t>
  </si>
  <si>
    <t>44.6 Sécurit FE</t>
  </si>
  <si>
    <t>SP10 (44.6) /16/ 4 (Fe Argon WE) G200</t>
  </si>
  <si>
    <t>SP10 (44.6) /14/ 6 (Fe Argon WE) G200</t>
  </si>
  <si>
    <t>SP10 (44.6) /16/ 4 (Fe Argon WE) Satinovo</t>
  </si>
  <si>
    <t>SP10 (44.6) /14/ 6 (Fe Argon WE) Satinovo</t>
  </si>
  <si>
    <t>SP10 (44.6) /14/ 6 (Fe Argon WE) Stopsol Clair</t>
  </si>
  <si>
    <t>32 %</t>
  </si>
  <si>
    <t>34 %</t>
  </si>
  <si>
    <t>37(-1;-3)</t>
  </si>
  <si>
    <t>SP10 (44.6) /14/ 6 (Fe Argon WE) Stopsol Supersilver</t>
  </si>
  <si>
    <t>46 %</t>
  </si>
  <si>
    <t>56 %</t>
  </si>
  <si>
    <t>SP10 (44.6) /14/ 6 (Fe Argon WE) Stopsol Bronze</t>
  </si>
  <si>
    <t>20 %</t>
  </si>
  <si>
    <t>19 %</t>
  </si>
  <si>
    <t>SP10 (44.6) /12/ 44.2 (Fe Argon WE) Clair</t>
  </si>
  <si>
    <t>51 %</t>
  </si>
  <si>
    <t>74 %</t>
  </si>
  <si>
    <t>37(-1;-5)</t>
  </si>
  <si>
    <t>Double Vitrage feuilleté Phonique</t>
  </si>
  <si>
    <t>10</t>
  </si>
  <si>
    <t>Phonique 10 /14/ 4 (Fe Argon WE) Clair</t>
  </si>
  <si>
    <t>78 %</t>
  </si>
  <si>
    <t>38(-2;-4)</t>
  </si>
  <si>
    <t>Phonique 10 /12/ 6 (Fe Argon WE) Clair</t>
  </si>
  <si>
    <t>76 %</t>
  </si>
  <si>
    <t>38(-1;-4)</t>
  </si>
  <si>
    <t>10 G200</t>
  </si>
  <si>
    <t>Phonique 10 /14/ 4 (Fe Argon WE) G200</t>
  </si>
  <si>
    <t>Phonique 10 /12/ 6 (Fe Argon WE) G200</t>
  </si>
  <si>
    <t>10 Satinovo</t>
  </si>
  <si>
    <t>Phonique 10 /14/ 4 (Fe Argon WE) Satinovo</t>
  </si>
  <si>
    <t>Phonique 10 /12/ 6 (Fe Argon WE) Satinovo</t>
  </si>
  <si>
    <t>44.2 silence</t>
  </si>
  <si>
    <t>Phonique 44.2 silence /16/ 4 (Fe Argon WE) Clair</t>
  </si>
  <si>
    <t>39(-2;-6)</t>
  </si>
  <si>
    <t>Phonique 44.2 silence /14/ 6 (Fe Argon WE) Clair</t>
  </si>
  <si>
    <t>40(-2;-5)</t>
  </si>
  <si>
    <t>OPTIONS SUR DORMANT</t>
  </si>
  <si>
    <t>Doublage sans Volet roulant</t>
  </si>
  <si>
    <t>Doublage</t>
  </si>
  <si>
    <t>Plus value</t>
  </si>
  <si>
    <t>Plus value nette</t>
  </si>
  <si>
    <t>120 mm</t>
  </si>
  <si>
    <t>sans PV</t>
  </si>
  <si>
    <t>140 mm</t>
  </si>
  <si>
    <t>160 mm</t>
  </si>
  <si>
    <t>Doublage avec Volet roulant</t>
  </si>
  <si>
    <t>Dormant 3 rails</t>
  </si>
  <si>
    <t>180 mm</t>
  </si>
  <si>
    <t>Option Encastrement seuil</t>
  </si>
  <si>
    <t>ml = mètre linéaire</t>
  </si>
  <si>
    <t>"+ 3 %" = supplément en pourcentage du prix de la baie (la remise s'applique déjà sur la baie)</t>
  </si>
  <si>
    <t>TEINTES &amp; FINITIONS</t>
  </si>
  <si>
    <t>FAMILLE 1 Monocolore</t>
  </si>
  <si>
    <t>Sans plus value</t>
  </si>
  <si>
    <t>Plus-value menuiserie :</t>
  </si>
  <si>
    <t>—</t>
  </si>
  <si>
    <t>Forfait commande :</t>
  </si>
  <si>
    <t>RAL</t>
  </si>
  <si>
    <t>Finitions disponibles</t>
  </si>
  <si>
    <t>1015</t>
  </si>
  <si>
    <t>Satinée</t>
  </si>
  <si>
    <t>7016</t>
  </si>
  <si>
    <t>Satinée / Fine structure</t>
  </si>
  <si>
    <t>7022</t>
  </si>
  <si>
    <t>7035</t>
  </si>
  <si>
    <t>9005</t>
  </si>
  <si>
    <t>9006</t>
  </si>
  <si>
    <t>9016</t>
  </si>
  <si>
    <t>1247</t>
  </si>
  <si>
    <t>Fine structure</t>
  </si>
  <si>
    <t>7039</t>
  </si>
  <si>
    <t>2100</t>
  </si>
  <si>
    <t>Sablée</t>
  </si>
  <si>
    <t>9010</t>
  </si>
  <si>
    <t>Brillante</t>
  </si>
  <si>
    <t>FAMILLE 1 Bicolore</t>
  </si>
  <si>
    <t>Sans plus value — Intérieur fixe : RAL 9016 Satiné. Bicoloration au choix : Teinte famille 1 int / Teinte famille 1 ext.</t>
  </si>
  <si>
    <t>FAMILLE 1 « PLUS » Monocolore</t>
  </si>
  <si>
    <t>Forfait 99 € HT par commande</t>
  </si>
  <si>
    <t>3004</t>
  </si>
  <si>
    <t>5003</t>
  </si>
  <si>
    <t>5010</t>
  </si>
  <si>
    <t>5014</t>
  </si>
  <si>
    <t>6005</t>
  </si>
  <si>
    <t>6021</t>
  </si>
  <si>
    <t>6029</t>
  </si>
  <si>
    <t>8019</t>
  </si>
  <si>
    <t>9007</t>
  </si>
  <si>
    <t>2900</t>
  </si>
  <si>
    <t>FAMILLE 2 Monocolore</t>
  </si>
  <si>
    <t>+ 10 % par menuiserie + Forfait 99 € HT par commande</t>
  </si>
  <si>
    <t>3005</t>
  </si>
  <si>
    <t>7006</t>
  </si>
  <si>
    <t>7015</t>
  </si>
  <si>
    <t>7021</t>
  </si>
  <si>
    <t>7024</t>
  </si>
  <si>
    <t>7030</t>
  </si>
  <si>
    <t>7031</t>
  </si>
  <si>
    <t>7037</t>
  </si>
  <si>
    <t>7040</t>
  </si>
  <si>
    <t>7043</t>
  </si>
  <si>
    <t>7047</t>
  </si>
  <si>
    <t>8014</t>
  </si>
  <si>
    <t>7002</t>
  </si>
  <si>
    <t>AS</t>
  </si>
  <si>
    <t>Anodisée</t>
  </si>
  <si>
    <t>FAMILLE 3 Monocolore</t>
  </si>
  <si>
    <t>+ 25 % par menuiserie + Forfait 99 € HT par commande</t>
  </si>
  <si>
    <t>3001</t>
  </si>
  <si>
    <t>3009</t>
  </si>
  <si>
    <t>3018</t>
  </si>
  <si>
    <t>4007</t>
  </si>
  <si>
    <t>5000</t>
  </si>
  <si>
    <t>5004</t>
  </si>
  <si>
    <t>5021</t>
  </si>
  <si>
    <t>2650</t>
  </si>
  <si>
    <t>2700</t>
  </si>
  <si>
    <t>2500</t>
  </si>
  <si>
    <t>Natura</t>
  </si>
  <si>
    <t>FAMILLE 4 Monocolore (Faux bois)</t>
  </si>
  <si>
    <t>+ 30 % par menuiserie + Forfait 99 € HT par commande</t>
  </si>
  <si>
    <t>Chêne doré</t>
  </si>
  <si>
    <t>Faux bois</t>
  </si>
  <si>
    <t>Nogal</t>
  </si>
  <si>
    <t>Chêne Irlandais</t>
  </si>
  <si>
    <t>FAMILLE 5 Bicolore</t>
  </si>
  <si>
    <t>+ 20 % par menuiserie + Forfait 275 € HT par commande — Intérieur fixe : RAL 9016 Satiné</t>
  </si>
  <si>
    <t>Satinée / Brillante</t>
  </si>
  <si>
    <t>8017</t>
  </si>
  <si>
    <t>8011</t>
  </si>
  <si>
    <t>FAMILLE 6 Bicolore</t>
  </si>
  <si>
    <t>+ 25 % par menuiserie + Forfait 275 € HT par commande — Intérieur fixe : RAL 9016 Satiné</t>
  </si>
  <si>
    <t>Anodisé</t>
  </si>
  <si>
    <t>Autres teintes &amp; bicoloration : nuancier RAL Bieber complet, uniquement sur demande.</t>
  </si>
  <si>
    <t>Configurations</t>
  </si>
  <si>
    <t>Label</t>
  </si>
  <si>
    <t>Onglet €</t>
  </si>
  <si>
    <t>Larg. min</t>
  </si>
  <si>
    <t>Larg. maxi</t>
  </si>
  <si>
    <t>Haut. min</t>
  </si>
  <si>
    <t>Haut. maxi</t>
  </si>
  <si>
    <t>H 1pt</t>
  </si>
  <si>
    <t>H 2pt</t>
  </si>
  <si>
    <t>H 3pt</t>
  </si>
  <si>
    <t>H 4pt</t>
  </si>
  <si>
    <t>PV 4pts %</t>
  </si>
  <si>
    <t>EUR_first_row</t>
  </si>
  <si>
    <t>EUR_first_col</t>
  </si>
  <si>
    <t>n_widths</t>
  </si>
  <si>
    <t>n_heights</t>
  </si>
  <si>
    <t>width_first</t>
  </si>
  <si>
    <t>width_step</t>
  </si>
  <si>
    <t>height_first</t>
  </si>
  <si>
    <t>height_step</t>
  </si>
  <si>
    <t>Familles couleur</t>
  </si>
  <si>
    <t>Famille</t>
  </si>
  <si>
    <t>Plus-value %</t>
  </si>
  <si>
    <t>Forfait €</t>
  </si>
  <si>
    <t>Famille 1 Bicolore</t>
  </si>
  <si>
    <t>Famille 1 PLUS Monocolore</t>
  </si>
  <si>
    <t>Famille 2 Monocolore</t>
  </si>
  <si>
    <t>Famille 3 Monocolore</t>
  </si>
  <si>
    <t>Famille 4 Faux bois</t>
  </si>
  <si>
    <t>Famille 5 Bicolore</t>
  </si>
  <si>
    <t>Famille 6 Bicolore</t>
  </si>
  <si>
    <t>Dormants</t>
  </si>
  <si>
    <t>Type</t>
  </si>
  <si>
    <t>% baie</t>
  </si>
  <si>
    <t>Dormant réno 45 mm</t>
  </si>
  <si>
    <t>Dormant réno 65 mm</t>
  </si>
  <si>
    <t>Dormant réno 80 mm</t>
  </si>
  <si>
    <t>Doublage 120 mm sans VR (sans plus value)</t>
  </si>
  <si>
    <t>Doublage 120 mm avec VR (sans plus value)</t>
  </si>
  <si>
    <t>Doublage 140 mm sans VR</t>
  </si>
  <si>
    <t>Doublage 140 mm avec VR</t>
  </si>
  <si>
    <t>Doublage 160 mm sans VR</t>
  </si>
  <si>
    <t>Doublage 160 mm avec VR</t>
  </si>
  <si>
    <t>Vitrages</t>
  </si>
  <si>
    <t>Code vitrage</t>
  </si>
  <si>
    <t>Catégorie</t>
  </si>
  <si>
    <t>Faiblement Émissif</t>
  </si>
  <si>
    <t>Options portes lourdes</t>
  </si>
  <si>
    <t>Prix public €</t>
  </si>
  <si>
    <t>Multiplicateur vantail (0 = non / 1 = oui)</t>
  </si>
  <si>
    <t>Aucune option</t>
  </si>
  <si>
    <t>Bandeau Ventouse Electromagnétique (Noir/Blanc)</t>
  </si>
  <si>
    <t>Bandeau Ventouse + Bâton de maréchal/hauteur &gt;316mm</t>
  </si>
  <si>
    <t>Poignée S Filante</t>
  </si>
  <si>
    <t>Barre Antipanique 1 point sur vantail principal</t>
  </si>
  <si>
    <t>Barre Antipanique 3 points sur vantail principal</t>
  </si>
  <si>
    <t>Barre Antipanique 1 point + module à clé extérieur</t>
  </si>
  <si>
    <t>Barre Antipanique 3 points + module à clé extérieur</t>
  </si>
  <si>
    <t>Barres Antipaniques 1 point + 2 points sur secondaire</t>
  </si>
  <si>
    <t>Barres Antipaniques 3 points + 2 points sur secondaire</t>
  </si>
  <si>
    <t>Barres Antipaniques 1 point + clé extérieur + 2 points secondaire</t>
  </si>
  <si>
    <t>Barres Antipaniques 3 points + clé extérieur + 2 points secondaire</t>
  </si>
  <si>
    <t>Gâche journalière et/ou Gâche électrique</t>
  </si>
  <si>
    <t>Ferme porte à Glissière</t>
  </si>
  <si>
    <t>Crémone Pompier</t>
  </si>
  <si>
    <t>Verrou à bascule haut et bas (sans plus-value)</t>
  </si>
  <si>
    <t>Joint anti pince doigt (par vantail)</t>
  </si>
  <si>
    <t>Plus-values traverses/meneaux (par gamme)</t>
  </si>
  <si>
    <t>Clé Gamme|Profilé</t>
  </si>
  <si>
    <t>Prix €/ml HT brut</t>
  </si>
  <si>
    <t>Châssis fixe vitré|Traverse 70 mm</t>
  </si>
  <si>
    <t>Châssis fixe vitré|Traverse 100 mm</t>
  </si>
  <si>
    <t>Châssis fixe vitré|Meneau 70 mm</t>
  </si>
  <si>
    <t>Châssis fixe vitré|Meneau 100 mm</t>
  </si>
  <si>
    <t>Fenêtre OF 1 vantail|Traverse 70 mm</t>
  </si>
  <si>
    <t>Fenêtre OF 2 vantaux|Traverse 70 mm</t>
  </si>
  <si>
    <t>Fenêtre OB 1 vantail|Traverse 70 mm</t>
  </si>
  <si>
    <t>Fenêtre OB 2 vantaux|Traverse 70 mm</t>
  </si>
  <si>
    <t>Porte Lourde 1 vantail|Traverse 70 mm</t>
  </si>
  <si>
    <t>Porte Lourde 1 vantail|Traverse 100 mm</t>
  </si>
  <si>
    <t>Porte Lourde 1 vantail|Meneau 70 mm</t>
  </si>
  <si>
    <t>Porte Lourde 2 vantaux|Traverse 70 mm</t>
  </si>
  <si>
    <t>Porte Lourde 2 vantaux|Traverse 142 mm</t>
  </si>
  <si>
    <t>Porte Lourde 2 vantaux|Meneau 70 mm</t>
  </si>
  <si>
    <t>Porte Lourde 2 vantaux|Meneau 100 mm</t>
  </si>
  <si>
    <t>Liste profilés (validation Option T/M)</t>
  </si>
  <si>
    <t>Type de menuiserie -&gt; Système ALUK</t>
  </si>
  <si>
    <t>Système</t>
  </si>
  <si>
    <t>Aluk Group 67CL32</t>
  </si>
  <si>
    <t>Aluk Group 67FR/67PL</t>
  </si>
  <si>
    <t>Type de menuiserie -&gt; Poignée &amp; Fermeture</t>
  </si>
  <si>
    <t>Poignée</t>
  </si>
  <si>
    <t>Fermeture</t>
  </si>
  <si>
    <t>SARENA 20° sur vantail principal / Cuvette sur vantail secondaire</t>
  </si>
  <si>
    <t>Serrure multipoints Slidelock</t>
  </si>
  <si>
    <t>Paire de béquille HERA / Rosaces Horus / Cylindre standard 45x45</t>
  </si>
  <si>
    <t>Serrure 3 points KFV</t>
  </si>
  <si>
    <t>HOPPE ALENA</t>
  </si>
  <si>
    <t>SIEGENIA - Perçage symétrique</t>
  </si>
  <si>
    <t>Type de menuiserie -&gt; Abaques de dimensions (mm)</t>
  </si>
  <si>
    <t>L_min</t>
  </si>
  <si>
    <t>L_max</t>
  </si>
  <si>
    <t>H_min</t>
  </si>
  <si>
    <t>H_max</t>
  </si>
  <si>
    <t>Prix €/ml</t>
  </si>
  <si>
    <t>Aucun</t>
  </si>
  <si>
    <t>Cornière 20×15</t>
  </si>
  <si>
    <t>Cornière 30×15</t>
  </si>
  <si>
    <t>Cornière 30×20</t>
  </si>
  <si>
    <t>Cornière 40×20</t>
  </si>
  <si>
    <t>Cornière 50×20</t>
  </si>
  <si>
    <t>Cornière 60×20</t>
  </si>
  <si>
    <t>Cornière 60×30</t>
  </si>
  <si>
    <t>Cornière 60×40</t>
  </si>
  <si>
    <t>Cornière 80×20</t>
  </si>
  <si>
    <t>Cornière 80×60</t>
  </si>
  <si>
    <t>Cornière 100×30</t>
  </si>
  <si>
    <t>Bavette 74 mm (N99987)</t>
  </si>
  <si>
    <t>Bavette 114 mm (N99988)</t>
  </si>
  <si>
    <t>Bavette 154 mm (N99989)</t>
  </si>
  <si>
    <t>Bavette Réno 72x92 - N99934</t>
  </si>
  <si>
    <t>FENÊTRE / PORTE-FENÊTRE — OUVRANT CACHÉ — 1 VANTAIL</t>
  </si>
  <si>
    <t>FENÊTRE / PORTE-FENÊTRE — OUVRANT CACHÉ — 2 VANTAUX</t>
  </si>
  <si>
    <t>FENÊTRE / PORTE-FENÊTRE — OUVRANT BRUT — 1 VANTAIL</t>
  </si>
  <si>
    <t>FENÊTRE / PORTE-FENÊTRE — OUVRANT BRUT — 2 VANTAUX</t>
  </si>
  <si>
    <t>OUI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</si>
</sst>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quot; €&quot;"/>
    <numFmt numFmtId="169" formatCode="#,##0&quot; €&quot;"/>
    <numFmt numFmtId="170" formatCode="#,##0;;&quot;&quot;"/>
    <numFmt numFmtId="171" formatCode="#,##0&quot; €&quot;;;&quot;&quot;"/>
    <numFmt numFmtId="172" formatCode="0&quot; €/ml&quot;"/>
    <numFmt numFmtId="173" formatCode="&quot;+ &quot;0%"/>
    <numFmt numFmtId="174" formatCode="#,##0&quot; € HT&quot;"/>
    <numFmt numFmtId="175" formatCode="\+0%;\-0%;\-"/>
    <numFmt numFmtId="176" formatCode="#,##0&quot; €/ml&quot;"/>
    <numFmt numFmtId="177" formatCode="m/d/yyyy"/>
  </numFmts>
  <fonts count="42" x14ac:knownFonts="1">
    <font>
      <sz val="11"/>
      <color theme="1"/>
      <name val="Calibri"/>
      <family val="2"/>
      <charset val="1"/>
    </font>
    <font>
      <b/>
      <sz val="16"/>
      <color rgb="FFFFFFFF"/>
      <name val="Arial"/>
      <charset val="1"/>
    </font>
    <font>
      <b/>
      <sz val="12"/>
      <name val="Arial"/>
      <charset val="1"/>
    </font>
    <font>
      <b/>
      <sz val="14"/>
      <color rgb="FF0000FF"/>
      <name val="Arial"/>
      <charset val="1"/>
    </font>
    <font>
      <i/>
      <sz val="10"/>
      <color rgb="FF555555"/>
      <name val="Arial"/>
      <charset val="1"/>
    </font>
    <font>
      <b/>
      <sz val="11"/>
      <color rgb="FFFFFFFF"/>
      <name val="Arial"/>
      <charset val="1"/>
    </font>
    <font>
      <sz val="11"/>
      <name val="Arial"/>
      <charset val="1"/>
    </font>
    <font>
      <b/>
      <sz val="12"/>
      <color rgb="FFC00000"/>
      <name val="Arial"/>
      <charset val="1"/>
    </font>
    <font>
      <b/>
      <sz val="11"/>
      <name val="Arial"/>
      <charset val="1"/>
    </font>
    <font>
      <sz val="10"/>
      <name val="Arial"/>
      <charset val="1"/>
    </font>
    <font>
      <b/>
      <sz val="10"/>
      <color rgb="FF3D3D3D"/>
      <name val="Arial"/>
      <charset val="1"/>
    </font>
    <font>
      <i/>
      <sz val="9"/>
      <color rgb="FF575759"/>
      <name val="Arial"/>
      <charset val="1"/>
    </font>
    <font>
      <b/>
      <sz val="11"/>
      <color rgb="FFC00000"/>
      <name val="Arial"/>
      <charset val="1"/>
    </font>
    <font>
      <b/>
      <sz val="14"/>
      <color rgb="FFFFFFFF"/>
      <name val="Arial"/>
      <charset val="1"/>
    </font>
    <font>
      <b/>
      <sz val="20"/>
      <color theme="1"/>
      <name val="Calibri"/>
      <family val="2"/>
      <charset val="1"/>
    </font>
    <font>
      <b/>
      <sz val="11"/>
      <color rgb="FFFFFFFF"/>
      <name val="Calibri"/>
      <charset val="1"/>
    </font>
    <font>
      <b/>
      <sz val="10"/>
      <color rgb="FF1A1A1A"/>
      <name val="Calibri"/>
      <charset val="1"/>
    </font>
    <font>
      <sz val="10"/>
      <color rgb="FF1A1A1A"/>
      <name val="Calibri"/>
      <charset val="1"/>
    </font>
    <font>
      <b/>
      <sz val="10"/>
      <color rgb="FFFFFFFF"/>
      <name val="Calibri"/>
      <charset val="1"/>
    </font>
    <font>
      <b/>
      <sz val="10"/>
      <color rgb="FFFFFFFF"/>
      <name val="Calibri"/>
      <family val="2"/>
      <charset val="1"/>
    </font>
    <font>
      <i/>
      <sz val="8"/>
      <color rgb="FF575759"/>
      <name val="Calibri"/>
      <charset val="1"/>
    </font>
    <font>
      <b/>
      <i/>
      <sz val="9"/>
      <color rgb="FF808080"/>
      <name val="Calibri"/>
      <charset val="1"/>
    </font>
    <font>
      <sz val="10"/>
      <color rgb="FF1A1A1A"/>
      <name val="Calibri"/>
      <family val="2"/>
      <charset val="1"/>
    </font>
    <font>
      <i/>
      <sz val="9"/>
      <color rgb="FF808080"/>
      <name val="Calibri"/>
      <charset val="1"/>
    </font>
    <font>
      <b/>
      <sz val="12"/>
      <color rgb="FF1A1A1A"/>
      <name val="Calibri"/>
      <charset val="1"/>
    </font>
    <font>
      <b/>
      <sz val="14"/>
      <color rgb="FF1A1A1A"/>
      <name val="Calibri"/>
      <charset val="1"/>
    </font>
    <font>
      <i/>
      <sz val="10"/>
      <color rgb="FF0000FF"/>
      <name val="Calibri"/>
      <charset val="1"/>
    </font>
    <font>
      <i/>
      <sz val="9"/>
      <color rgb="FF575759"/>
      <name val="Calibri"/>
      <charset val="1"/>
    </font>
    <font>
      <b/>
      <sz val="12"/>
      <color rgb="FF1A1A1A"/>
      <name val="Calibri"/>
      <family val="2"/>
      <charset val="1"/>
    </font>
    <font>
      <sz val="12"/>
      <color rgb="FF1A1A1A"/>
      <name val="Calibri"/>
      <family val="2"/>
      <charset val="1"/>
    </font>
    <font>
      <b/>
      <sz val="10"/>
      <name val="Arial"/>
      <charset val="1"/>
    </font>
    <font>
      <b/>
      <i/>
      <sz val="10"/>
      <name val="Arial"/>
      <charset val="1"/>
    </font>
    <font>
      <b/>
      <sz val="10"/>
      <color rgb="FF0000FF"/>
      <name val="Arial"/>
      <charset val="1"/>
    </font>
    <font>
      <b/>
      <sz val="11"/>
      <color rgb="FF1A1A1A"/>
      <name val="Arial"/>
      <charset val="1"/>
    </font>
    <font>
      <sz val="10"/>
      <color rgb="FF1A1A1A"/>
      <name val="Arial"/>
      <charset val="1"/>
    </font>
    <font>
      <sz val="11"/>
      <color theme="1"/>
      <name val="Calibri"/>
      <charset val="1"/>
    </font>
    <font>
      <b/>
      <sz val="18"/>
      <color rgb="FFFFFFFF"/>
      <name val="Calibri"/>
    </font>
    <font>
      <i/>
      <sz val="10"/>
      <color rgb="FF707070"/>
      <name val="Calibri"/>
    </font>
    <font>
      <b/>
      <sz val="13"/>
      <color rgb="FF3D3D3D"/>
      <name val="Calibri"/>
    </font>
    <font>
      <b/>
      <sz val="11"/>
      <color rgb="FF9C0006"/>
      <name val="Calibri"/>
    </font>
    <font>
      <b/>
      <sz val="11"/>
      <color rgb="FF3D3D3D"/>
      <name val="Calibri"/>
    </font>
    <font>
      <sz val="10"/>
      <color rgb="FF3D3D3D"/>
      <name val="Calibri"/>
    </font>
  </fonts>
  <fills count="11">
    <fill>
      <patternFill patternType="none"/>
    </fill>
    <fill>
      <patternFill patternType="gray125"/>
    </fill>
    <fill>
      <patternFill patternType="solid">
        <fgColor rgb="FF3D3D3D"/>
        <bgColor rgb="FF555555"/>
      </patternFill>
    </fill>
    <fill>
      <patternFill patternType="solid">
        <fgColor rgb="FFFFF4C2"/>
        <bgColor rgb="FFFFFF99"/>
      </patternFill>
    </fill>
    <fill>
      <patternFill patternType="solid">
        <fgColor rgb="FFF2F2F2"/>
        <bgColor rgb="FFF0F0F0"/>
      </patternFill>
    </fill>
    <fill>
      <patternFill patternType="solid">
        <fgColor rgb="FFECBE2B"/>
        <bgColor rgb="FFFF9900"/>
      </patternFill>
    </fill>
    <fill>
      <patternFill patternType="solid">
        <fgColor rgb="FFF0F0F0"/>
        <bgColor rgb="FFEEEEEE"/>
      </patternFill>
    </fill>
    <fill>
      <patternFill patternType="solid">
        <fgColor rgb="FFEEEEEE"/>
        <bgColor rgb="FFF0F0F0"/>
      </patternFill>
    </fill>
    <fill>
      <patternFill patternType="solid">
        <fgColor rgb="FF3D3D3D"/>
        <bgColor rgb="FF3D3D3D"/>
      </patternFill>
    </fill>
    <fill>
      <patternFill patternType="solid">
        <fgColor rgb="FFECBE2B"/>
        <bgColor rgb="FFECBE2B"/>
      </patternFill>
    </fill>
    <fill>
      <patternFill patternType="solid">
        <fgColor rgb="FFF2F2F2"/>
        <bgColor rgb="FFF2F2F2"/>
      </patternFill>
    </fill>
  </fills>
  <borders count="16">
    <border>
      <left/>
      <right/>
      <top/>
      <bottom/>
      <diagonal/>
    </border>
    <border>
      <left style="medium">
        <color rgb="FF0000FF"/>
      </left>
      <right style="medium">
        <color rgb="FF0000FF"/>
      </right>
      <top style="medium">
        <color rgb="FF0000FF"/>
      </top>
      <bottom style="medium">
        <color rgb="FF0000FF"/>
      </bottom>
      <diagonal/>
    </border>
    <border>
      <left style="thin">
        <color rgb="FF888888"/>
      </left>
      <right style="thin">
        <color rgb="FF888888"/>
      </right>
      <top style="thin">
        <color rgb="FF888888"/>
      </top>
      <bottom style="thin">
        <color rgb="FF888888"/>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rgb="FFBFBFBF"/>
      </right>
      <top/>
      <bottom style="thin">
        <color rgb="FFBFBFBF"/>
      </bottom>
      <diagonal/>
    </border>
    <border>
      <left/>
      <right style="medium">
        <color rgb="FF3D3D3D"/>
      </right>
      <top/>
      <bottom style="medium">
        <color rgb="FF3D3D3D"/>
      </bottom>
      <diagonal/>
    </border>
    <border>
      <left style="medium">
        <color rgb="FF3D3D3D"/>
      </left>
      <right style="medium">
        <color rgb="FF3D3D3D"/>
      </right>
      <top style="medium">
        <color rgb="FF3D3D3D"/>
      </top>
      <bottom style="medium">
        <color rgb="FF3D3D3D"/>
      </bottom>
      <diagonal/>
    </border>
    <border>
      <left style="thin">
        <color theme="0" tint="-0.249977111117893"/>
      </left>
      <right/>
      <top/>
      <bottom/>
      <diagonal/>
    </border>
    <border>
      <left style="medium">
        <color rgb="FFECBE2B"/>
      </left>
      <right/>
      <top style="medium">
        <color rgb="FFECBE2B"/>
      </top>
      <bottom style="medium">
        <color rgb="FFECBE2B"/>
      </bottom>
      <diagonal/>
    </border>
    <border>
      <left/>
      <right style="thin">
        <color rgb="FF888888"/>
      </right>
      <top style="thin">
        <color rgb="FF888888"/>
      </top>
      <bottom style="thin">
        <color rgb="FF888888"/>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top/>
      <bottom style="thin">
        <color rgb="FFBFBFBF"/>
      </bottom>
      <diagonal/>
    </border>
    <border>
      <left/>
      <right/>
      <top/>
      <bottom style="medium">
        <color rgb="FF3D3D3D"/>
      </bottom>
      <diagonal/>
    </border>
    <border>
      <left/>
      <right/>
      <top style="medium">
        <color rgb="FFECBE2B"/>
      </top>
      <bottom style="medium">
        <color rgb="FFECBE2B"/>
      </bottom>
      <diagonal/>
    </border>
    <border>
      <left/>
      <right/>
      <top style="thin">
        <color rgb="FF888888"/>
      </top>
      <bottom style="thin">
        <color rgb="FF888888"/>
      </bottom>
      <diagonal/>
    </border>
  </borders>
  <cellStyleXfs count="1">
    <xf numFmtId="0" fontId="0" fillId="0" borderId="0"/>
  </cellStyleXfs>
  <cellXfs count="144">
    <xf numFmtId="0" fontId="0" fillId="0" borderId="0" xfId="0"/>
    <xf numFmtId="0" fontId="2" fillId="0" borderId="0" xfId="0" applyFont="1" applyAlignment="1">
      <alignment horizontal="right" vertical="center"/>
    </xf>
    <xf numFmtId="164" fontId="3" fillId="3" borderId="1" xfId="0" applyNumberFormat="1" applyFont="1" applyFill="1" applyBorder="1" applyAlignment="1" applyProtection="1">
      <alignment horizontal="center" vertical="center"/>
      <protection locked="0"/>
    </xf>
    <xf numFmtId="0" fontId="4" fillId="0" borderId="0" xfId="0" applyFont="1" applyAlignment="1">
      <alignment horizontal="left" vertical="center" wrapText="1"/>
    </xf>
    <xf numFmtId="0" fontId="5" fillId="2" borderId="0" xfId="0" applyFont="1" applyFill="1" applyAlignment="1">
      <alignment horizontal="center" vertical="center"/>
    </xf>
    <xf numFmtId="0" fontId="6" fillId="0" borderId="0" xfId="0" applyFont="1" applyAlignment="1">
      <alignment horizontal="left" vertical="center" wrapText="1"/>
    </xf>
    <xf numFmtId="0" fontId="8" fillId="0" borderId="0" xfId="0" applyFont="1"/>
    <xf numFmtId="0" fontId="5" fillId="2" borderId="0" xfId="0" applyFont="1" applyFill="1" applyAlignment="1">
      <alignment horizontal="left" vertical="center" wrapText="1"/>
    </xf>
    <xf numFmtId="0" fontId="9" fillId="0" borderId="0" xfId="0" applyFont="1"/>
    <xf numFmtId="0" fontId="8" fillId="0" borderId="0" xfId="0" applyFont="1" applyAlignment="1">
      <alignment horizontal="left" vertical="center" wrapText="1"/>
    </xf>
    <xf numFmtId="165" fontId="10" fillId="0" borderId="0" xfId="0" applyNumberFormat="1" applyFont="1" applyAlignment="1">
      <alignment horizontal="right" vertical="center" indent="1"/>
    </xf>
    <xf numFmtId="0" fontId="6" fillId="4" borderId="0" xfId="0" applyFont="1" applyFill="1" applyAlignment="1">
      <alignment horizontal="left" vertical="center" wrapText="1"/>
    </xf>
    <xf numFmtId="165" fontId="10" fillId="4" borderId="0" xfId="0" applyNumberFormat="1" applyFont="1" applyFill="1" applyAlignment="1">
      <alignment horizontal="right" vertical="center" indent="1"/>
    </xf>
    <xf numFmtId="0" fontId="11" fillId="0" borderId="0" xfId="0" applyFont="1" applyAlignment="1">
      <alignment horizontal="left" vertical="center" wrapText="1" indent="1"/>
    </xf>
    <xf numFmtId="0" fontId="6" fillId="0" borderId="0" xfId="0" applyFont="1"/>
    <xf numFmtId="0" fontId="12" fillId="0" borderId="0" xfId="0" applyFont="1"/>
    <xf numFmtId="0" fontId="0" fillId="5" borderId="0" xfId="0" applyFill="1"/>
    <xf numFmtId="0" fontId="17" fillId="0" borderId="3" xfId="0" applyFont="1" applyBorder="1" applyAlignment="1" applyProtection="1">
      <alignment horizontal="left" vertical="center" wrapText="1" indent="1"/>
      <protection locked="0"/>
    </xf>
    <xf numFmtId="0" fontId="18" fillId="2" borderId="3"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center" vertical="center" wrapText="1"/>
    </xf>
    <xf numFmtId="0" fontId="17" fillId="0" borderId="3" xfId="0" applyFont="1" applyBorder="1" applyAlignment="1">
      <alignment horizontal="center" vertical="center" wrapText="1"/>
    </xf>
    <xf numFmtId="3" fontId="17" fillId="0" borderId="3" xfId="0" applyNumberFormat="1" applyFont="1" applyBorder="1" applyAlignment="1" applyProtection="1">
      <alignment horizontal="center" vertical="center" wrapText="1"/>
      <protection locked="0"/>
    </xf>
    <xf numFmtId="49" fontId="17" fillId="0" borderId="3" xfId="0" applyNumberFormat="1" applyFont="1" applyBorder="1" applyAlignment="1">
      <alignment horizontal="left" vertical="top" wrapText="1" indent="1"/>
    </xf>
    <xf numFmtId="0" fontId="22" fillId="0" borderId="3" xfId="0" applyFont="1" applyBorder="1" applyAlignment="1" applyProtection="1">
      <alignment horizontal="left" vertical="top" wrapText="1" indent="1"/>
      <protection locked="0"/>
    </xf>
    <xf numFmtId="165" fontId="17" fillId="0" borderId="3" xfId="0" applyNumberFormat="1" applyFont="1" applyBorder="1" applyAlignment="1">
      <alignment horizontal="left" vertical="center"/>
    </xf>
    <xf numFmtId="165" fontId="16" fillId="0" borderId="3" xfId="0" applyNumberFormat="1" applyFont="1" applyBorder="1" applyAlignment="1">
      <alignment horizontal="right" vertical="center" indent="1"/>
    </xf>
    <xf numFmtId="1" fontId="0" fillId="0" borderId="0" xfId="0" applyNumberFormat="1"/>
    <xf numFmtId="1" fontId="23" fillId="0" borderId="0" xfId="0" applyNumberFormat="1" applyFont="1" applyAlignment="1">
      <alignment horizontal="right" vertical="center"/>
    </xf>
    <xf numFmtId="0" fontId="17" fillId="4" borderId="3" xfId="0" applyFont="1" applyFill="1" applyBorder="1" applyAlignment="1">
      <alignment horizontal="center" vertical="center" wrapText="1"/>
    </xf>
    <xf numFmtId="0" fontId="17" fillId="4" borderId="3" xfId="0" applyFont="1" applyFill="1" applyBorder="1" applyAlignment="1" applyProtection="1">
      <alignment horizontal="left" vertical="center" wrapText="1" indent="1"/>
      <protection locked="0"/>
    </xf>
    <xf numFmtId="3" fontId="17" fillId="4" borderId="3" xfId="0" applyNumberFormat="1" applyFont="1" applyFill="1" applyBorder="1" applyAlignment="1" applyProtection="1">
      <alignment horizontal="center" vertical="center" wrapText="1"/>
      <protection locked="0"/>
    </xf>
    <xf numFmtId="0" fontId="17" fillId="4" borderId="3" xfId="0" applyFont="1" applyFill="1" applyBorder="1" applyAlignment="1">
      <alignment horizontal="left" vertical="center" wrapText="1" indent="1"/>
    </xf>
    <xf numFmtId="0" fontId="17" fillId="4" borderId="3" xfId="0" applyFont="1" applyFill="1" applyBorder="1" applyAlignment="1" applyProtection="1">
      <alignment horizontal="left" vertical="top" wrapText="1" indent="1"/>
      <protection locked="0"/>
    </xf>
    <xf numFmtId="165" fontId="17" fillId="4" borderId="3" xfId="0" applyNumberFormat="1" applyFont="1" applyFill="1" applyBorder="1" applyAlignment="1">
      <alignment horizontal="left" vertical="center"/>
    </xf>
    <xf numFmtId="165" fontId="16" fillId="4" borderId="3" xfId="0" applyNumberFormat="1" applyFont="1" applyFill="1" applyBorder="1" applyAlignment="1">
      <alignment horizontal="right" vertical="center" indent="1"/>
    </xf>
    <xf numFmtId="0" fontId="17" fillId="0" borderId="3" xfId="0" applyFont="1" applyBorder="1" applyAlignment="1" applyProtection="1">
      <alignment horizontal="left" vertical="top" wrapText="1" indent="1"/>
      <protection locked="0"/>
    </xf>
    <xf numFmtId="0" fontId="22" fillId="4" borderId="3" xfId="0" applyFont="1" applyFill="1" applyBorder="1" applyAlignment="1" applyProtection="1">
      <alignment horizontal="left" vertical="center" wrapText="1" indent="1"/>
      <protection locked="0"/>
    </xf>
    <xf numFmtId="165" fontId="24" fillId="0" borderId="3" xfId="0" applyNumberFormat="1" applyFont="1" applyBorder="1" applyAlignment="1">
      <alignment horizontal="right" vertical="center" indent="1"/>
    </xf>
    <xf numFmtId="165" fontId="25" fillId="5" borderId="6" xfId="0" applyNumberFormat="1" applyFont="1" applyFill="1" applyBorder="1" applyAlignment="1">
      <alignment horizontal="right" vertical="center" indent="1"/>
    </xf>
    <xf numFmtId="164" fontId="26" fillId="0" borderId="0" xfId="0" applyNumberFormat="1" applyFont="1" applyAlignment="1">
      <alignment horizontal="right" vertical="center" indent="1"/>
    </xf>
    <xf numFmtId="0" fontId="0" fillId="0" borderId="7" xfId="0" applyBorder="1"/>
    <xf numFmtId="0" fontId="30" fillId="4" borderId="2" xfId="0" applyFont="1" applyFill="1" applyBorder="1" applyAlignment="1">
      <alignment horizontal="center" vertical="center"/>
    </xf>
    <xf numFmtId="3" fontId="9" fillId="0" borderId="2" xfId="0" applyNumberFormat="1" applyFont="1" applyBorder="1" applyAlignment="1">
      <alignment horizontal="center" vertical="center"/>
    </xf>
    <xf numFmtId="2" fontId="9" fillId="0" borderId="2" xfId="0" applyNumberFormat="1" applyFont="1" applyBorder="1" applyAlignment="1">
      <alignment horizontal="center" vertical="center"/>
    </xf>
    <xf numFmtId="0" fontId="31" fillId="6" borderId="2" xfId="0" applyFont="1" applyFill="1" applyBorder="1" applyAlignment="1">
      <alignment horizontal="center" vertical="center"/>
    </xf>
    <xf numFmtId="3" fontId="31" fillId="6" borderId="2" xfId="0" applyNumberFormat="1" applyFont="1" applyFill="1" applyBorder="1" applyAlignment="1">
      <alignment horizontal="center" vertical="center"/>
    </xf>
    <xf numFmtId="0" fontId="30" fillId="4" borderId="2" xfId="0" applyFont="1" applyFill="1" applyBorder="1" applyAlignment="1">
      <alignment horizontal="right" vertical="center"/>
    </xf>
    <xf numFmtId="164" fontId="32" fillId="4" borderId="2" xfId="0" applyNumberFormat="1" applyFont="1" applyFill="1" applyBorder="1" applyAlignment="1">
      <alignment horizontal="center" vertical="center"/>
    </xf>
    <xf numFmtId="3" fontId="30" fillId="0" borderId="2" xfId="0" applyNumberFormat="1" applyFont="1" applyBorder="1" applyAlignment="1">
      <alignment horizontal="center" vertical="center"/>
    </xf>
    <xf numFmtId="3" fontId="9" fillId="7" borderId="2" xfId="0" applyNumberFormat="1" applyFont="1" applyFill="1" applyBorder="1" applyAlignment="1">
      <alignment horizontal="center" vertical="center"/>
    </xf>
    <xf numFmtId="2" fontId="9" fillId="7" borderId="2" xfId="0" applyNumberFormat="1" applyFont="1" applyFill="1" applyBorder="1" applyAlignment="1">
      <alignment horizontal="center" vertical="center"/>
    </xf>
    <xf numFmtId="170" fontId="9" fillId="0" borderId="2" xfId="0" applyNumberFormat="1" applyFont="1" applyBorder="1" applyAlignment="1">
      <alignment horizontal="center" vertical="center"/>
    </xf>
    <xf numFmtId="170" fontId="9" fillId="7" borderId="2" xfId="0" applyNumberFormat="1" applyFont="1" applyFill="1" applyBorder="1" applyAlignment="1">
      <alignment horizontal="center" vertical="center"/>
    </xf>
    <xf numFmtId="0" fontId="5" fillId="2" borderId="0" xfId="0" applyFont="1" applyFill="1" applyAlignment="1">
      <alignment horizontal="center" vertical="center" wrapText="1"/>
    </xf>
    <xf numFmtId="0" fontId="30" fillId="4" borderId="2" xfId="0" applyFont="1" applyFill="1" applyBorder="1" applyAlignment="1">
      <alignment horizontal="center" vertical="center" wrapText="1"/>
    </xf>
    <xf numFmtId="0" fontId="9" fillId="0" borderId="2" xfId="0" applyFont="1" applyBorder="1" applyAlignment="1">
      <alignment horizontal="center" vertical="center" wrapText="1"/>
    </xf>
    <xf numFmtId="0" fontId="9" fillId="0" borderId="2" xfId="0" applyFont="1" applyBorder="1" applyAlignment="1">
      <alignment horizontal="left" vertical="center" wrapText="1"/>
    </xf>
    <xf numFmtId="0" fontId="30" fillId="0" borderId="2" xfId="0" applyFont="1" applyBorder="1" applyAlignment="1">
      <alignment horizontal="center" vertical="center" wrapText="1"/>
    </xf>
    <xf numFmtId="171" fontId="10" fillId="0" borderId="2" xfId="0" applyNumberFormat="1" applyFont="1" applyBorder="1" applyAlignment="1">
      <alignment horizontal="center" vertical="center" wrapText="1"/>
    </xf>
    <xf numFmtId="169" fontId="30" fillId="0" borderId="2" xfId="0" applyNumberFormat="1" applyFont="1" applyBorder="1" applyAlignment="1">
      <alignment horizontal="center" vertical="center" wrapText="1"/>
    </xf>
    <xf numFmtId="0" fontId="9" fillId="0" borderId="2" xfId="0" applyFont="1" applyBorder="1" applyAlignment="1">
      <alignment horizontal="center" vertical="center"/>
    </xf>
    <xf numFmtId="0" fontId="30" fillId="0" borderId="2" xfId="0" applyFont="1" applyBorder="1" applyAlignment="1">
      <alignment horizontal="center" vertical="center"/>
    </xf>
    <xf numFmtId="0" fontId="10" fillId="0" borderId="2" xfId="0" applyFont="1" applyBorder="1" applyAlignment="1">
      <alignment horizontal="center" vertical="center"/>
    </xf>
    <xf numFmtId="172" fontId="30" fillId="0" borderId="2" xfId="0" applyNumberFormat="1" applyFont="1" applyBorder="1" applyAlignment="1">
      <alignment horizontal="center" vertical="center"/>
    </xf>
    <xf numFmtId="172" fontId="10" fillId="0" borderId="2" xfId="0" applyNumberFormat="1" applyFont="1" applyBorder="1" applyAlignment="1">
      <alignment horizontal="center" vertical="center"/>
    </xf>
    <xf numFmtId="173" fontId="30" fillId="0" borderId="2" xfId="0" applyNumberFormat="1" applyFont="1" applyBorder="1" applyAlignment="1">
      <alignment horizontal="center" vertical="center"/>
    </xf>
    <xf numFmtId="173" fontId="10" fillId="0" borderId="2" xfId="0" applyNumberFormat="1" applyFont="1" applyBorder="1" applyAlignment="1">
      <alignment horizontal="center" vertical="center"/>
    </xf>
    <xf numFmtId="174" fontId="30" fillId="4" borderId="2" xfId="0" applyNumberFormat="1" applyFont="1" applyFill="1" applyBorder="1" applyAlignment="1">
      <alignment horizontal="center" vertical="center" wrapText="1"/>
    </xf>
    <xf numFmtId="175" fontId="30" fillId="4" borderId="2" xfId="0" applyNumberFormat="1" applyFont="1" applyFill="1" applyBorder="1" applyAlignment="1">
      <alignment horizontal="center" vertical="center" wrapText="1"/>
    </xf>
    <xf numFmtId="0" fontId="30" fillId="0" borderId="0" xfId="0" applyFont="1"/>
    <xf numFmtId="0" fontId="30" fillId="4" borderId="0" xfId="0" applyFont="1" applyFill="1"/>
    <xf numFmtId="9" fontId="0" fillId="0" borderId="0" xfId="0" applyNumberFormat="1"/>
    <xf numFmtId="0" fontId="35" fillId="0" borderId="0" xfId="0" applyFont="1"/>
    <xf numFmtId="9" fontId="35" fillId="0" borderId="0" xfId="0" applyNumberFormat="1" applyFont="1"/>
    <xf numFmtId="169" fontId="0" fillId="0" borderId="0" xfId="0" applyNumberFormat="1"/>
    <xf numFmtId="176" fontId="0" fillId="0" borderId="0" xfId="0" applyNumberFormat="1"/>
    <xf numFmtId="0" fontId="30" fillId="0" borderId="0" xfId="0" applyFont="1" applyAlignment="1">
      <alignment horizontal="left" vertical="center" indent="1"/>
    </xf>
    <xf numFmtId="0" fontId="30" fillId="0" borderId="0" xfId="0" applyFont="1" applyAlignment="1">
      <alignment horizontal="right" vertical="center"/>
    </xf>
    <xf numFmtId="0" fontId="9" fillId="0" borderId="0" xfId="0" applyFont="1" applyAlignment="1">
      <alignment horizontal="left" vertical="center" indent="1"/>
    </xf>
    <xf numFmtId="169" fontId="9" fillId="0" borderId="0" xfId="0" applyNumberFormat="1" applyFont="1" applyAlignment="1">
      <alignment horizontal="right" vertical="center"/>
    </xf>
    <xf numFmtId="1" fontId="9" fillId="0" borderId="0" xfId="0" applyNumberFormat="1" applyFont="1" applyAlignment="1">
      <alignment horizontal="center" vertical="center"/>
    </xf>
    <xf numFmtId="0" fontId="40" fillId="0" borderId="0" xfId="0" applyFont="1" applyAlignment="1">
      <alignment horizontal="left" vertical="top" wrapText="1"/>
    </xf>
    <xf numFmtId="0" fontId="41" fillId="0" borderId="0" xfId="0" applyFont="1" applyAlignment="1">
      <alignment horizontal="left" vertical="top" wrapText="1"/>
    </xf>
    <xf numFmtId="0" fontId="40" fillId="10" borderId="0" xfId="0" applyFont="1" applyFill="1" applyAlignment="1">
      <alignment horizontal="left" vertical="center" wrapText="1"/>
    </xf>
    <xf numFmtId="0" fontId="41" fillId="0" borderId="0" xfId="0" applyFont="1" applyAlignment="1">
      <alignment horizontal="left" vertical="center"/>
    </xf>
    <xf numFmtId="0" fontId="41" fillId="0" borderId="0" xfId="0" applyFont="1" applyAlignment="1">
      <alignment horizontal="center" vertical="center"/>
    </xf>
    <xf numFmtId="0" fontId="37" fillId="0" borderId="0" xfId="0" applyFont="1" applyAlignment="1">
      <alignment horizontal="center" vertical="center"/>
    </xf>
    <xf numFmtId="0" fontId="28" fillId="0" borderId="3" xfId="0" applyFont="1" applyBorder="1" applyAlignment="1">
      <alignment horizontal="left" vertical="top" wrapText="1" indent="1"/>
    </xf>
    <xf numFmtId="0" fontId="0" fillId="0" borderId="11" xfId="0" applyBorder="1"/>
    <xf numFmtId="0" fontId="0" fillId="0" borderId="10" xfId="0" applyBorder="1"/>
    <xf numFmtId="0" fontId="14" fillId="0" borderId="0" xfId="0" applyFont="1" applyAlignment="1">
      <alignment horizontal="center" vertical="center"/>
    </xf>
    <xf numFmtId="0" fontId="0" fillId="0" borderId="0" xfId="0"/>
    <xf numFmtId="0" fontId="16" fillId="0" borderId="3" xfId="0" applyFont="1" applyBorder="1" applyAlignment="1">
      <alignment horizontal="right" vertical="center"/>
    </xf>
    <xf numFmtId="0" fontId="17" fillId="0" borderId="3" xfId="0" applyFont="1" applyBorder="1" applyAlignment="1" applyProtection="1">
      <alignment horizontal="left" vertical="center" wrapText="1" indent="1"/>
      <protection locked="0"/>
    </xf>
    <xf numFmtId="0" fontId="0" fillId="0" borderId="11" xfId="0" applyBorder="1" applyProtection="1">
      <protection locked="0"/>
    </xf>
    <xf numFmtId="0" fontId="0" fillId="0" borderId="10" xfId="0" applyBorder="1" applyProtection="1">
      <protection locked="0"/>
    </xf>
    <xf numFmtId="0" fontId="28" fillId="4" borderId="3" xfId="0" applyFont="1" applyFill="1" applyBorder="1" applyAlignment="1">
      <alignment horizontal="left" vertical="top" wrapText="1" indent="1"/>
    </xf>
    <xf numFmtId="0" fontId="27" fillId="0" borderId="0" xfId="0" applyFont="1" applyAlignment="1">
      <alignment horizontal="left" vertical="center" indent="1"/>
    </xf>
    <xf numFmtId="0" fontId="16" fillId="0" borderId="3" xfId="0" applyFont="1" applyBorder="1" applyAlignment="1">
      <alignment horizontal="right" vertical="center" indent="1"/>
    </xf>
    <xf numFmtId="0" fontId="29" fillId="0" borderId="3" xfId="0" applyFont="1" applyBorder="1" applyAlignment="1">
      <alignment horizontal="left" vertical="top" wrapText="1" indent="1"/>
    </xf>
    <xf numFmtId="0" fontId="0" fillId="0" borderId="3" xfId="0" applyBorder="1" applyAlignment="1" applyProtection="1">
      <alignment horizontal="center"/>
      <protection locked="0"/>
    </xf>
    <xf numFmtId="0" fontId="29" fillId="4" borderId="3" xfId="0" applyFont="1" applyFill="1" applyBorder="1" applyAlignment="1">
      <alignment horizontal="left" vertical="top" wrapText="1" indent="1"/>
    </xf>
    <xf numFmtId="0" fontId="17" fillId="0" borderId="3" xfId="0" applyFont="1" applyBorder="1" applyAlignment="1" applyProtection="1">
      <alignment horizontal="center" vertical="center" wrapText="1"/>
      <protection locked="0"/>
    </xf>
    <xf numFmtId="0" fontId="15" fillId="2" borderId="0" xfId="0" applyFont="1" applyFill="1" applyAlignment="1">
      <alignment horizontal="center" vertical="center"/>
    </xf>
    <xf numFmtId="0" fontId="0" fillId="0" borderId="0" xfId="0" applyAlignment="1">
      <alignment horizontal="center"/>
    </xf>
    <xf numFmtId="0" fontId="0" fillId="0" borderId="4" xfId="0" applyBorder="1"/>
    <xf numFmtId="0" fontId="0" fillId="0" borderId="12" xfId="0" applyBorder="1"/>
    <xf numFmtId="0" fontId="15" fillId="2" borderId="0" xfId="0" applyFont="1" applyFill="1" applyAlignment="1">
      <alignment horizontal="left" vertical="center" indent="1"/>
    </xf>
    <xf numFmtId="0" fontId="0" fillId="0" borderId="5" xfId="0" applyBorder="1"/>
    <xf numFmtId="0" fontId="0" fillId="0" borderId="13" xfId="0" applyBorder="1"/>
    <xf numFmtId="177" fontId="17" fillId="0" borderId="3" xfId="0" applyNumberFormat="1" applyFont="1" applyBorder="1" applyAlignment="1" applyProtection="1">
      <alignment horizontal="left" vertical="center" wrapText="1" indent="1"/>
      <protection locked="0"/>
    </xf>
    <xf numFmtId="0" fontId="38" fillId="9" borderId="0" xfId="0" applyFont="1" applyFill="1" applyAlignment="1">
      <alignment horizontal="center" vertical="center" wrapText="1"/>
    </xf>
    <xf numFmtId="0" fontId="39" fillId="0" borderId="0" xfId="0" applyFont="1" applyAlignment="1">
      <alignment horizontal="left" vertical="top" wrapText="1"/>
    </xf>
    <xf numFmtId="0" fontId="36" fillId="8" borderId="0" xfId="0" applyFont="1" applyFill="1" applyAlignment="1">
      <alignment horizontal="center" vertical="center" wrapText="1"/>
    </xf>
    <xf numFmtId="0" fontId="41" fillId="0" borderId="0" xfId="0" applyFont="1" applyAlignment="1">
      <alignment horizontal="left" vertical="top" wrapText="1"/>
    </xf>
    <xf numFmtId="0" fontId="37" fillId="0" borderId="0" xfId="0" applyFont="1" applyAlignment="1">
      <alignment horizontal="center" vertical="center" wrapText="1"/>
    </xf>
    <xf numFmtId="0" fontId="41" fillId="0" borderId="0" xfId="0" applyFont="1" applyAlignment="1">
      <alignment horizontal="center" vertical="center"/>
    </xf>
    <xf numFmtId="0" fontId="37" fillId="0" borderId="0" xfId="0" applyFont="1" applyAlignment="1">
      <alignment horizontal="left" vertical="center"/>
    </xf>
    <xf numFmtId="0" fontId="6" fillId="0" borderId="0" xfId="0" applyFont="1" applyAlignment="1">
      <alignment horizontal="left" vertical="center" wrapText="1"/>
    </xf>
    <xf numFmtId="0" fontId="5" fillId="2" borderId="0" xfId="0" applyFont="1" applyFill="1" applyAlignment="1">
      <alignment horizontal="center" vertical="center"/>
    </xf>
    <xf numFmtId="0" fontId="1" fillId="2" borderId="0" xfId="0" applyFont="1" applyFill="1" applyAlignment="1">
      <alignment horizontal="center" vertical="center"/>
    </xf>
    <xf numFmtId="0" fontId="5" fillId="2" borderId="0" xfId="0" applyFont="1" applyFill="1" applyAlignment="1">
      <alignment horizontal="left" vertical="center" wrapText="1"/>
    </xf>
    <xf numFmtId="0" fontId="5" fillId="2" borderId="0" xfId="0" applyFont="1" applyFill="1" applyAlignment="1">
      <alignment horizontal="left" vertical="center" indent="1"/>
    </xf>
    <xf numFmtId="0" fontId="7" fillId="3" borderId="0" xfId="0" applyFont="1" applyFill="1" applyAlignment="1">
      <alignment horizontal="center" vertical="center"/>
    </xf>
    <xf numFmtId="0" fontId="13" fillId="2" borderId="0" xfId="0" applyFont="1" applyFill="1" applyAlignment="1">
      <alignment horizontal="center" vertical="center"/>
    </xf>
    <xf numFmtId="0" fontId="33" fillId="5" borderId="8" xfId="0" applyFont="1" applyFill="1" applyBorder="1" applyAlignment="1">
      <alignment horizontal="center" vertical="center"/>
    </xf>
    <xf numFmtId="0" fontId="0" fillId="0" borderId="14" xfId="0" applyBorder="1"/>
    <xf numFmtId="0" fontId="34" fillId="3" borderId="8" xfId="0" applyFont="1" applyFill="1" applyBorder="1" applyAlignment="1">
      <alignment horizontal="left" vertical="center" wrapText="1" indent="1"/>
    </xf>
    <xf numFmtId="0" fontId="5" fillId="2" borderId="0" xfId="0" applyFont="1" applyFill="1" applyAlignment="1">
      <alignment horizontal="center" vertical="center" wrapText="1"/>
    </xf>
    <xf numFmtId="0" fontId="13" fillId="2" borderId="0" xfId="0" applyFont="1" applyFill="1" applyAlignment="1">
      <alignment horizontal="center" vertical="center" wrapText="1"/>
    </xf>
    <xf numFmtId="0" fontId="4" fillId="0" borderId="0" xfId="0" applyFont="1"/>
    <xf numFmtId="0" fontId="9" fillId="0" borderId="2" xfId="0" applyFont="1" applyBorder="1" applyAlignment="1">
      <alignment horizontal="left" vertical="center" wrapText="1"/>
    </xf>
    <xf numFmtId="0" fontId="0" fillId="0" borderId="15" xfId="0" applyBorder="1"/>
    <xf numFmtId="0" fontId="0" fillId="0" borderId="9" xfId="0" applyBorder="1"/>
    <xf numFmtId="0" fontId="30" fillId="4" borderId="2" xfId="0" applyFont="1" applyFill="1" applyBorder="1" applyAlignment="1">
      <alignment horizontal="center" vertical="center" wrapText="1"/>
    </xf>
    <xf numFmtId="0" fontId="4" fillId="0" borderId="0" xfId="0" applyFont="1" applyAlignment="1">
      <alignment horizontal="left" vertical="center" wrapText="1"/>
    </xf>
    <xf numFmtId="0" fontId="17" fillId="0" borderId="3" xfId="0" applyFont="1" applyBorder="1" applyAlignment="1" applyProtection="1">
      <alignment vertical="center" wrapText="1"/>
      <protection locked="0"/>
    </xf>
    <xf numFmtId="49" fontId="17" fillId="0" borderId="3" xfId="0" applyNumberFormat="1" applyFont="1" applyBorder="1" applyAlignment="1">
      <alignment horizontal="left" vertical="top" wrapText="1"/>
    </xf>
    <xf numFmtId="0" fontId="22" fillId="0" borderId="3" xfId="0" applyFont="1" applyBorder="1" applyAlignment="1" applyProtection="1">
      <alignment horizontal="center" vertical="top" wrapText="1"/>
      <protection locked="0"/>
    </xf>
    <xf numFmtId="0" fontId="22" fillId="0" borderId="3" xfId="0" applyFont="1" applyBorder="1" applyAlignment="1" applyProtection="1">
      <alignment horizontal="center" vertical="center" wrapText="1"/>
      <protection locked="0"/>
    </xf>
    <xf numFmtId="0" fontId="17" fillId="4" borderId="3" xfId="0" applyFont="1" applyFill="1" applyBorder="1" applyAlignment="1" applyProtection="1">
      <alignment horizontal="center" vertical="top" wrapText="1"/>
      <protection locked="0"/>
    </xf>
    <xf numFmtId="0" fontId="17" fillId="4" borderId="3" xfId="0" applyFont="1" applyFill="1" applyBorder="1" applyAlignment="1" applyProtection="1">
      <alignment horizontal="center" vertical="center" wrapText="1"/>
      <protection locked="0"/>
    </xf>
  </cellXfs>
  <cellStyles count="1">
    <cellStyle name="Normal" xfId="0" builtinId="0"/>
  </cellStyles>
  <dxfs count="2">
    <dxf>
      <font>
        <b/>
        <color rgb="FF9C0006"/>
      </font>
      <fill>
        <patternFill>
          <bgColor rgb="FFFFC7CE"/>
        </patternFill>
      </fill>
    </dxf>
    <dxf>
      <font>
        <b/>
        <color rgb="FF9C0006"/>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4C2"/>
      <rgbColor rgb="FFF0F0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EEEEE"/>
      <rgbColor rgb="FFF2F2F2"/>
      <rgbColor rgb="FFFFFF99"/>
      <rgbColor rgb="FF99CCFF"/>
      <rgbColor rgb="FFFF99CC"/>
      <rgbColor rgb="FFCC99FF"/>
      <rgbColor rgb="FFFFC7CE"/>
      <rgbColor rgb="FF3366FF"/>
      <rgbColor rgb="FF33CCCC"/>
      <rgbColor rgb="FF99CC00"/>
      <rgbColor rgb="FFECBE2B"/>
      <rgbColor rgb="FFFF9900"/>
      <rgbColor rgb="FFFF6600"/>
      <rgbColor rgb="FF575759"/>
      <rgbColor rgb="FF888888"/>
      <rgbColor rgb="FF003366"/>
      <rgbColor rgb="FF339966"/>
      <rgbColor rgb="FF003300"/>
      <rgbColor rgb="FF1A1A1A"/>
      <rgbColor rgb="FF993300"/>
      <rgbColor rgb="FF993366"/>
      <rgbColor rgb="FF555555"/>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0/relationships/richValueRel" Target="richData/richValueRel.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CONFIGURATEUR_V2_062026__A_R_C_ALUMINIUM_PROSPECT_29.xlsx" TargetMode="External"/><Relationship Id="rId2" Type="http://schemas.openxmlformats.org/officeDocument/2006/relationships/externalLinkPath" Target="file:///C:\Users\Adrien\Downloads\CONFIGURATEUR_V2_062026__A_R_C_ALUMINIUM_PROSPECT_29.xlsx" TargetMode="External"/><Relationship Id="rId1" Type="http://schemas.openxmlformats.org/officeDocument/2006/relationships/externalLinkPath" Target="/Users/Adrien/Downloads/CONFIGURATEUR_V2_062026__A_R_C_ALUMINIUM_PROSPECT_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ice d'utilisation"/>
      <sheetName val="Paramètres"/>
      <sheetName val="Sommaire"/>
      <sheetName val="Devis"/>
      <sheetName val="Coulissant 2 vantaux 2 rails"/>
      <sheetName val="Coulissant 3 vantaux 2 rails"/>
      <sheetName val="Coulissant 4 vantaux 2 rails"/>
      <sheetName val="Coulissant 3 vantaux 3 rails"/>
      <sheetName val="Coulissant 6 vantaux 3 rails"/>
      <sheetName val="Galandage 1 vantail 1 rail"/>
      <sheetName val="Galandage 2 vantaux 1 rail"/>
      <sheetName val="Galandage 2 vantaux 2 rails"/>
      <sheetName val="Galandage 4 vantaux 2 rails"/>
      <sheetName val="Châssis fixe vitré"/>
      <sheetName val="Porte Lourde 1 vantail"/>
      <sheetName val="Porte Lourde 2 vantaux"/>
      <sheetName val="Doubles Vitrages"/>
      <sheetName val="Options dormant"/>
      <sheetName val="Teintes &amp; Finitions"/>
      <sheetName val="_Données"/>
      <sheetName val="Fenêtre OF 1 vantail"/>
      <sheetName val="Fenêtre OF 2 vantaux"/>
      <sheetName val="Fenêtre OB 1 vantail"/>
      <sheetName val="Fenêtre OB 2 vantau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58">
          <cell r="A158" t="str">
            <v>Coulissant 2 vantaux 2 rails</v>
          </cell>
          <cell r="B158" t="str">
            <v>Aluk Group 67CL32</v>
          </cell>
        </row>
        <row r="159">
          <cell r="A159" t="str">
            <v>Coulissant 3 vantaux 2 rails</v>
          </cell>
          <cell r="B159" t="str">
            <v>Aluk Group 67CL32</v>
          </cell>
        </row>
        <row r="160">
          <cell r="A160" t="str">
            <v>Coulissant 4 vantaux 2 rails</v>
          </cell>
          <cell r="B160" t="str">
            <v>Aluk Group 67CL32</v>
          </cell>
        </row>
        <row r="161">
          <cell r="A161" t="str">
            <v>Coulissant 3 vantaux 3 rails</v>
          </cell>
          <cell r="B161" t="str">
            <v>Aluk Group 67CL32</v>
          </cell>
        </row>
        <row r="162">
          <cell r="A162" t="str">
            <v>Coulissant 6 vantaux 3 rails</v>
          </cell>
          <cell r="B162" t="str">
            <v>Aluk Group 67CL32</v>
          </cell>
        </row>
        <row r="163">
          <cell r="A163" t="str">
            <v>Galandage 1 vantail 1 rail</v>
          </cell>
          <cell r="B163" t="str">
            <v>Aluk Group 67CL32</v>
          </cell>
        </row>
        <row r="164">
          <cell r="A164" t="str">
            <v>Galandage 2 vantaux 1 rail</v>
          </cell>
          <cell r="B164" t="str">
            <v>Aluk Group 67CL32</v>
          </cell>
        </row>
        <row r="165">
          <cell r="A165" t="str">
            <v>Galandage 2 vantaux 2 rails</v>
          </cell>
          <cell r="B165" t="str">
            <v>Aluk Group 67CL32</v>
          </cell>
        </row>
        <row r="166">
          <cell r="A166" t="str">
            <v>Galandage 4 vantaux 2 rails</v>
          </cell>
          <cell r="B166" t="str">
            <v>Aluk Group 67CL32</v>
          </cell>
        </row>
        <row r="167">
          <cell r="A167" t="str">
            <v>Châssis fixe vitré</v>
          </cell>
          <cell r="B167" t="str">
            <v>Aluk Group 67FR/67PL</v>
          </cell>
        </row>
        <row r="168">
          <cell r="A168" t="str">
            <v>Porte Lourde 1 vantail</v>
          </cell>
          <cell r="B168" t="str">
            <v>Aluk Group 67FR/67PL</v>
          </cell>
        </row>
        <row r="169">
          <cell r="A169" t="str">
            <v>Porte Lourde 2 vantaux</v>
          </cell>
          <cell r="B169" t="str">
            <v>Aluk Group 67FR/67PL</v>
          </cell>
        </row>
        <row r="170">
          <cell r="A170" t="str">
            <v>Fenêtre OF 1 vantail</v>
          </cell>
          <cell r="B170" t="str">
            <v>Aluk Group 67FR/67PL</v>
          </cell>
        </row>
        <row r="171">
          <cell r="A171" t="str">
            <v>Fenêtre OF 2 vantaux</v>
          </cell>
          <cell r="B171" t="str">
            <v>Aluk Group 67FR/67PL</v>
          </cell>
        </row>
        <row r="172">
          <cell r="A172" t="str">
            <v>Fenêtre OB 1 vantail</v>
          </cell>
          <cell r="B172" t="str">
            <v>Aluk Group 67FR/67PL</v>
          </cell>
        </row>
        <row r="173">
          <cell r="A173" t="str">
            <v>Fenêtre OB 2 vantaux</v>
          </cell>
          <cell r="B173" t="str">
            <v>Aluk Group 67FR/67PL</v>
          </cell>
        </row>
        <row r="177">
          <cell r="A177" t="str">
            <v>Coulissant 2 vantaux 2 rails</v>
          </cell>
          <cell r="B177" t="str">
            <v>SARENA 20° sur vantail principal / Cuvette sur vantail secondaire</v>
          </cell>
          <cell r="C177" t="str">
            <v>Serrure multipoints Slidelock</v>
          </cell>
        </row>
        <row r="178">
          <cell r="A178" t="str">
            <v>Coulissant 3 vantaux 2 rails</v>
          </cell>
          <cell r="B178" t="str">
            <v>SARENA 20° sur vantail principal / Cuvette sur vantail secondaire</v>
          </cell>
          <cell r="C178" t="str">
            <v>Serrure multipoints Slidelock</v>
          </cell>
        </row>
        <row r="179">
          <cell r="A179" t="str">
            <v>Coulissant 4 vantaux 2 rails</v>
          </cell>
          <cell r="B179" t="str">
            <v>SARENA 20° sur vantail principal / Cuvette sur vantail secondaire</v>
          </cell>
          <cell r="C179" t="str">
            <v>Serrure multipoints Slidelock</v>
          </cell>
        </row>
        <row r="180">
          <cell r="A180" t="str">
            <v>Coulissant 3 vantaux 3 rails</v>
          </cell>
          <cell r="B180" t="str">
            <v>SARENA 20° sur vantail principal / Cuvette sur vantail secondaire</v>
          </cell>
          <cell r="C180" t="str">
            <v>Serrure multipoints Slidelock</v>
          </cell>
        </row>
        <row r="181">
          <cell r="A181" t="str">
            <v>Coulissant 6 vantaux 3 rails</v>
          </cell>
          <cell r="B181" t="str">
            <v>SARENA 20° sur vantail principal / Cuvette sur vantail secondaire</v>
          </cell>
          <cell r="C181" t="str">
            <v>Serrure multipoints Slidelock</v>
          </cell>
        </row>
        <row r="182">
          <cell r="A182" t="str">
            <v>Galandage 1 vantail 1 rail</v>
          </cell>
          <cell r="B182" t="str">
            <v>SARENA 20° sur vantail principal / Cuvette sur vantail secondaire</v>
          </cell>
          <cell r="C182" t="str">
            <v>Serrure multipoints Slidelock</v>
          </cell>
        </row>
        <row r="183">
          <cell r="A183" t="str">
            <v>Galandage 2 vantaux 1 rail</v>
          </cell>
          <cell r="B183" t="str">
            <v>SARENA 20° sur vantail principal / Cuvette sur vantail secondaire</v>
          </cell>
          <cell r="C183" t="str">
            <v>Serrure multipoints Slidelock</v>
          </cell>
        </row>
        <row r="184">
          <cell r="A184" t="str">
            <v>Galandage 2 vantaux 2 rails</v>
          </cell>
          <cell r="B184" t="str">
            <v>SARENA 20° sur vantail principal / Cuvette sur vantail secondaire</v>
          </cell>
          <cell r="C184" t="str">
            <v>Serrure multipoints Slidelock</v>
          </cell>
        </row>
        <row r="185">
          <cell r="A185" t="str">
            <v>Galandage 4 vantaux 2 rails</v>
          </cell>
          <cell r="B185" t="str">
            <v>SARENA 20° sur vantail principal / Cuvette sur vantail secondaire</v>
          </cell>
          <cell r="C185" t="str">
            <v>Serrure multipoints Slidelock</v>
          </cell>
        </row>
        <row r="186">
          <cell r="A186" t="str">
            <v>Châssis fixe vitré</v>
          </cell>
        </row>
        <row r="187">
          <cell r="A187" t="str">
            <v>Porte Lourde 1 vantail</v>
          </cell>
          <cell r="B187" t="str">
            <v>Paire de béquille HERA / Rosaces Horus / Cylindre standard 45x45</v>
          </cell>
          <cell r="C187" t="str">
            <v>Serrure 3 points KFV</v>
          </cell>
        </row>
        <row r="188">
          <cell r="A188" t="str">
            <v>Porte Lourde 2 vantaux</v>
          </cell>
          <cell r="B188" t="str">
            <v>Paire de béquille HERA / Rosaces Horus / Cylindre standard 45x45</v>
          </cell>
          <cell r="C188" t="str">
            <v>Serrure 3 points KFV</v>
          </cell>
        </row>
        <row r="189">
          <cell r="A189" t="str">
            <v>Fenêtre OF 1 vantail</v>
          </cell>
          <cell r="B189" t="str">
            <v>HOPPE ALENA</v>
          </cell>
          <cell r="C189" t="str">
            <v>SIEGENIA - Perçage symétrique</v>
          </cell>
        </row>
        <row r="190">
          <cell r="A190" t="str">
            <v>Fenêtre OF 2 vantaux</v>
          </cell>
          <cell r="B190" t="str">
            <v>HOPPE ALENA</v>
          </cell>
          <cell r="C190" t="str">
            <v>SIEGENIA - Perçage symétrique</v>
          </cell>
        </row>
        <row r="191">
          <cell r="A191" t="str">
            <v>Fenêtre OB 1 vantail</v>
          </cell>
          <cell r="B191" t="str">
            <v>HOPPE ALENA</v>
          </cell>
          <cell r="C191" t="str">
            <v>SIEGENIA - Perçage symétrique</v>
          </cell>
        </row>
        <row r="192">
          <cell r="A192" t="str">
            <v>Fenêtre OB 2 vantaux</v>
          </cell>
          <cell r="B192" t="str">
            <v>HOPPE ALENA</v>
          </cell>
          <cell r="C192" t="str">
            <v>SIEGENIA - Perçage symétrique</v>
          </cell>
        </row>
        <row r="196">
          <cell r="A196" t="str">
            <v>Coulissant 2 vantaux 2 rails</v>
          </cell>
          <cell r="B196">
            <v>800</v>
          </cell>
          <cell r="C196">
            <v>3500</v>
          </cell>
          <cell r="D196">
            <v>750</v>
          </cell>
          <cell r="E196">
            <v>2700</v>
          </cell>
        </row>
        <row r="197">
          <cell r="A197" t="str">
            <v>Coulissant 3 vantaux 2 rails</v>
          </cell>
          <cell r="B197">
            <v>2000</v>
          </cell>
          <cell r="C197">
            <v>5000</v>
          </cell>
          <cell r="D197">
            <v>750</v>
          </cell>
          <cell r="E197">
            <v>2700</v>
          </cell>
        </row>
        <row r="198">
          <cell r="A198" t="str">
            <v>Coulissant 4 vantaux 2 rails</v>
          </cell>
          <cell r="B198">
            <v>2500</v>
          </cell>
          <cell r="C198">
            <v>6050</v>
          </cell>
          <cell r="D198">
            <v>750</v>
          </cell>
          <cell r="E198">
            <v>2700</v>
          </cell>
        </row>
        <row r="199">
          <cell r="A199" t="str">
            <v>Coulissant 3 vantaux 3 rails</v>
          </cell>
          <cell r="B199">
            <v>2000</v>
          </cell>
          <cell r="C199">
            <v>5000</v>
          </cell>
          <cell r="D199">
            <v>750</v>
          </cell>
          <cell r="E199">
            <v>2700</v>
          </cell>
        </row>
        <row r="200">
          <cell r="A200" t="str">
            <v>Coulissant 6 vantaux 3 rails</v>
          </cell>
          <cell r="B200">
            <v>4000</v>
          </cell>
          <cell r="C200">
            <v>6400</v>
          </cell>
          <cell r="D200">
            <v>750</v>
          </cell>
          <cell r="E200">
            <v>2700</v>
          </cell>
        </row>
        <row r="201">
          <cell r="A201" t="str">
            <v>Galandage 1 vantail 1 rail</v>
          </cell>
          <cell r="B201">
            <v>500</v>
          </cell>
          <cell r="C201">
            <v>2000</v>
          </cell>
          <cell r="D201">
            <v>750</v>
          </cell>
          <cell r="E201">
            <v>2350</v>
          </cell>
        </row>
        <row r="202">
          <cell r="A202" t="str">
            <v>Galandage 2 vantaux 1 rail</v>
          </cell>
          <cell r="B202">
            <v>900</v>
          </cell>
          <cell r="C202">
            <v>3200</v>
          </cell>
          <cell r="D202">
            <v>750</v>
          </cell>
          <cell r="E202">
            <v>2350</v>
          </cell>
        </row>
        <row r="203">
          <cell r="A203" t="str">
            <v>Galandage 2 vantaux 2 rails</v>
          </cell>
          <cell r="B203">
            <v>1000</v>
          </cell>
          <cell r="C203">
            <v>3300</v>
          </cell>
          <cell r="D203">
            <v>750</v>
          </cell>
          <cell r="E203">
            <v>2350</v>
          </cell>
        </row>
        <row r="204">
          <cell r="A204" t="str">
            <v>Galandage 4 vantaux 2 rails</v>
          </cell>
          <cell r="B204">
            <v>1800</v>
          </cell>
          <cell r="C204">
            <v>4100</v>
          </cell>
          <cell r="D204">
            <v>750</v>
          </cell>
          <cell r="E204">
            <v>2350</v>
          </cell>
        </row>
        <row r="205">
          <cell r="A205" t="str">
            <v>Châssis fixe vitré</v>
          </cell>
          <cell r="B205">
            <v>300</v>
          </cell>
          <cell r="C205">
            <v>3000</v>
          </cell>
          <cell r="D205">
            <v>450</v>
          </cell>
          <cell r="E205">
            <v>2550</v>
          </cell>
        </row>
        <row r="206">
          <cell r="A206" t="str">
            <v>Porte Lourde 1 vantail</v>
          </cell>
          <cell r="B206">
            <v>800</v>
          </cell>
          <cell r="C206">
            <v>1300</v>
          </cell>
          <cell r="D206">
            <v>1950</v>
          </cell>
          <cell r="E206">
            <v>2850</v>
          </cell>
        </row>
        <row r="207">
          <cell r="A207" t="str">
            <v>Porte Lourde 2 vantaux</v>
          </cell>
          <cell r="B207">
            <v>1200</v>
          </cell>
          <cell r="C207">
            <v>2500</v>
          </cell>
          <cell r="D207">
            <v>1950</v>
          </cell>
          <cell r="E207">
            <v>2850</v>
          </cell>
        </row>
        <row r="208">
          <cell r="A208" t="str">
            <v>Fenêtre OF 1 vantail</v>
          </cell>
          <cell r="B208">
            <v>400</v>
          </cell>
          <cell r="C208">
            <v>1300</v>
          </cell>
          <cell r="D208">
            <v>550</v>
          </cell>
          <cell r="E208">
            <v>2500</v>
          </cell>
        </row>
        <row r="209">
          <cell r="A209" t="str">
            <v>Fenêtre OF 2 vantaux</v>
          </cell>
          <cell r="B209">
            <v>700</v>
          </cell>
          <cell r="C209">
            <v>2400</v>
          </cell>
          <cell r="D209">
            <v>550</v>
          </cell>
          <cell r="E209">
            <v>2500</v>
          </cell>
        </row>
        <row r="210">
          <cell r="A210" t="str">
            <v>Fenêtre OB 1 vantail</v>
          </cell>
          <cell r="B210">
            <v>400</v>
          </cell>
          <cell r="C210">
            <v>1300</v>
          </cell>
          <cell r="D210">
            <v>550</v>
          </cell>
          <cell r="E210">
            <v>2500</v>
          </cell>
        </row>
        <row r="211">
          <cell r="A211" t="str">
            <v>Fenêtre OB 2 vantaux</v>
          </cell>
          <cell r="B211">
            <v>700</v>
          </cell>
          <cell r="C211">
            <v>2400</v>
          </cell>
          <cell r="D211">
            <v>550</v>
          </cell>
          <cell r="E211">
            <v>2500</v>
          </cell>
        </row>
      </sheetData>
      <sheetData sheetId="20"/>
      <sheetData sheetId="21"/>
      <sheetData sheetId="22"/>
      <sheetData sheetId="23"/>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C62"/>
  <sheetViews>
    <sheetView showGridLines="0" workbookViewId="0"/>
  </sheetViews>
  <sheetFormatPr baseColWidth="10" defaultColWidth="9.140625" defaultRowHeight="15" x14ac:dyDescent="0.25"/>
  <cols>
    <col min="1" max="1" width="4" customWidth="1"/>
    <col min="2" max="2" width="32" customWidth="1"/>
    <col min="3" max="3" width="75" customWidth="1"/>
    <col min="4" max="4" width="4" customWidth="1"/>
  </cols>
  <sheetData>
    <row r="2" spans="2:3" ht="38.1" customHeight="1" x14ac:dyDescent="0.25">
      <c r="B2" s="115" t="s">
        <v>93</v>
      </c>
      <c r="C2" s="93"/>
    </row>
    <row r="3" spans="2:3" ht="21.95" customHeight="1" x14ac:dyDescent="0.25">
      <c r="B3" s="117" t="s">
        <v>94</v>
      </c>
      <c r="C3" s="93"/>
    </row>
    <row r="5" spans="2:3" ht="26.1" customHeight="1" x14ac:dyDescent="0.25">
      <c r="B5" s="113" t="s">
        <v>95</v>
      </c>
      <c r="C5" s="93"/>
    </row>
    <row r="6" spans="2:3" ht="230.1" customHeight="1" x14ac:dyDescent="0.25">
      <c r="B6" s="114" t="s">
        <v>96</v>
      </c>
      <c r="C6" s="93"/>
    </row>
    <row r="8" spans="2:3" ht="26.1" customHeight="1" x14ac:dyDescent="0.25">
      <c r="B8" s="113" t="s">
        <v>97</v>
      </c>
      <c r="C8" s="93"/>
    </row>
    <row r="9" spans="2:3" ht="32.1" customHeight="1" x14ac:dyDescent="0.25">
      <c r="B9" s="83" t="s">
        <v>98</v>
      </c>
      <c r="C9" s="84" t="s">
        <v>99</v>
      </c>
    </row>
    <row r="10" spans="2:3" ht="32.1" customHeight="1" x14ac:dyDescent="0.25">
      <c r="B10" s="83" t="s">
        <v>100</v>
      </c>
      <c r="C10" s="84" t="s">
        <v>101</v>
      </c>
    </row>
    <row r="11" spans="2:3" ht="32.1" customHeight="1" x14ac:dyDescent="0.25">
      <c r="B11" s="83" t="s">
        <v>102</v>
      </c>
      <c r="C11" s="84" t="s">
        <v>103</v>
      </c>
    </row>
    <row r="12" spans="2:3" ht="32.1" customHeight="1" x14ac:dyDescent="0.25">
      <c r="B12" s="83" t="s">
        <v>104</v>
      </c>
      <c r="C12" s="84" t="s">
        <v>105</v>
      </c>
    </row>
    <row r="13" spans="2:3" ht="32.1" customHeight="1" x14ac:dyDescent="0.25">
      <c r="B13" s="83" t="s">
        <v>106</v>
      </c>
      <c r="C13" s="84" t="s">
        <v>107</v>
      </c>
    </row>
    <row r="15" spans="2:3" ht="26.1" customHeight="1" x14ac:dyDescent="0.25">
      <c r="B15" s="113" t="s">
        <v>108</v>
      </c>
      <c r="C15" s="93"/>
    </row>
    <row r="16" spans="2:3" ht="50.1" customHeight="1" x14ac:dyDescent="0.25">
      <c r="B16" s="83" t="s">
        <v>109</v>
      </c>
      <c r="C16" s="84" t="s">
        <v>110</v>
      </c>
    </row>
    <row r="17" spans="2:3" ht="50.1" customHeight="1" x14ac:dyDescent="0.25">
      <c r="B17" s="83" t="s">
        <v>111</v>
      </c>
      <c r="C17" s="84" t="s">
        <v>112</v>
      </c>
    </row>
    <row r="18" spans="2:3" ht="50.1" customHeight="1" x14ac:dyDescent="0.25">
      <c r="B18" s="83" t="s">
        <v>113</v>
      </c>
      <c r="C18" s="84" t="s">
        <v>114</v>
      </c>
    </row>
    <row r="19" spans="2:3" ht="50.1" customHeight="1" x14ac:dyDescent="0.25">
      <c r="B19" s="83" t="s">
        <v>115</v>
      </c>
      <c r="C19" s="84" t="s">
        <v>116</v>
      </c>
    </row>
    <row r="20" spans="2:3" ht="50.1" customHeight="1" x14ac:dyDescent="0.25">
      <c r="B20" s="83" t="s">
        <v>117</v>
      </c>
      <c r="C20" s="84" t="s">
        <v>118</v>
      </c>
    </row>
    <row r="21" spans="2:3" ht="50.1" customHeight="1" x14ac:dyDescent="0.25">
      <c r="B21" s="83" t="s">
        <v>119</v>
      </c>
      <c r="C21" s="84" t="s">
        <v>120</v>
      </c>
    </row>
    <row r="23" spans="2:3" ht="26.1" customHeight="1" x14ac:dyDescent="0.25">
      <c r="B23" s="113" t="s">
        <v>121</v>
      </c>
      <c r="C23" s="93"/>
    </row>
    <row r="24" spans="2:3" ht="42" customHeight="1" x14ac:dyDescent="0.25">
      <c r="B24" s="83" t="s">
        <v>122</v>
      </c>
      <c r="C24" s="84" t="s">
        <v>123</v>
      </c>
    </row>
    <row r="25" spans="2:3" ht="42" customHeight="1" x14ac:dyDescent="0.25">
      <c r="B25" s="83" t="s">
        <v>124</v>
      </c>
      <c r="C25" s="84" t="s">
        <v>125</v>
      </c>
    </row>
    <row r="26" spans="2:3" ht="42" customHeight="1" x14ac:dyDescent="0.25">
      <c r="B26" s="83" t="s">
        <v>126</v>
      </c>
      <c r="C26" s="84" t="s">
        <v>127</v>
      </c>
    </row>
    <row r="27" spans="2:3" ht="42" customHeight="1" x14ac:dyDescent="0.25">
      <c r="B27" s="83" t="s">
        <v>128</v>
      </c>
      <c r="C27" s="84" t="s">
        <v>129</v>
      </c>
    </row>
    <row r="28" spans="2:3" ht="42" customHeight="1" x14ac:dyDescent="0.25">
      <c r="B28" s="83" t="s">
        <v>130</v>
      </c>
      <c r="C28" s="84" t="s">
        <v>131</v>
      </c>
    </row>
    <row r="30" spans="2:3" ht="26.1" customHeight="1" x14ac:dyDescent="0.25">
      <c r="B30" s="113" t="s">
        <v>132</v>
      </c>
      <c r="C30" s="93"/>
    </row>
    <row r="31" spans="2:3" x14ac:dyDescent="0.25">
      <c r="B31" s="85" t="s">
        <v>22</v>
      </c>
      <c r="C31" s="85" t="s">
        <v>133</v>
      </c>
    </row>
    <row r="32" spans="2:3" ht="18" customHeight="1" x14ac:dyDescent="0.25">
      <c r="B32" s="86" t="s">
        <v>58</v>
      </c>
      <c r="C32" s="86" t="s">
        <v>134</v>
      </c>
    </row>
    <row r="33" spans="2:3" ht="18" customHeight="1" x14ac:dyDescent="0.25">
      <c r="B33" s="86" t="s">
        <v>135</v>
      </c>
      <c r="C33" s="86" t="s">
        <v>136</v>
      </c>
    </row>
    <row r="34" spans="2:3" ht="18" customHeight="1" x14ac:dyDescent="0.25">
      <c r="B34" s="86" t="s">
        <v>137</v>
      </c>
      <c r="C34" s="86" t="s">
        <v>138</v>
      </c>
    </row>
    <row r="35" spans="2:3" ht="18" customHeight="1" x14ac:dyDescent="0.25">
      <c r="B35" s="86" t="s">
        <v>139</v>
      </c>
      <c r="C35" s="86" t="s">
        <v>136</v>
      </c>
    </row>
    <row r="36" spans="2:3" ht="18" customHeight="1" x14ac:dyDescent="0.25">
      <c r="B36" s="86" t="s">
        <v>140</v>
      </c>
      <c r="C36" s="86" t="s">
        <v>141</v>
      </c>
    </row>
    <row r="37" spans="2:3" ht="18" customHeight="1" x14ac:dyDescent="0.25">
      <c r="B37" s="86" t="s">
        <v>142</v>
      </c>
      <c r="C37" s="86" t="s">
        <v>143</v>
      </c>
    </row>
    <row r="38" spans="2:3" ht="18" customHeight="1" x14ac:dyDescent="0.25">
      <c r="B38" s="86" t="s">
        <v>144</v>
      </c>
      <c r="C38" s="86" t="s">
        <v>145</v>
      </c>
    </row>
    <row r="39" spans="2:3" ht="18" customHeight="1" x14ac:dyDescent="0.25">
      <c r="B39" s="86" t="s">
        <v>146</v>
      </c>
      <c r="C39" s="86" t="s">
        <v>147</v>
      </c>
    </row>
    <row r="40" spans="2:3" ht="18" customHeight="1" x14ac:dyDescent="0.25">
      <c r="B40" s="86" t="s">
        <v>66</v>
      </c>
      <c r="C40" s="86" t="s">
        <v>148</v>
      </c>
    </row>
    <row r="41" spans="2:3" ht="18" customHeight="1" x14ac:dyDescent="0.25">
      <c r="B41" s="86" t="s">
        <v>63</v>
      </c>
      <c r="C41" s="86" t="s">
        <v>149</v>
      </c>
    </row>
    <row r="42" spans="2:3" ht="18" customHeight="1" x14ac:dyDescent="0.25">
      <c r="B42" s="86" t="s">
        <v>67</v>
      </c>
      <c r="C42" s="86" t="s">
        <v>150</v>
      </c>
    </row>
    <row r="43" spans="2:3" ht="18" customHeight="1" x14ac:dyDescent="0.25">
      <c r="B43" s="86" t="s">
        <v>151</v>
      </c>
      <c r="C43" s="86" t="s">
        <v>152</v>
      </c>
    </row>
    <row r="44" spans="2:3" ht="18" customHeight="1" x14ac:dyDescent="0.25">
      <c r="B44" s="86" t="s">
        <v>153</v>
      </c>
      <c r="C44" s="86" t="s">
        <v>154</v>
      </c>
    </row>
    <row r="45" spans="2:3" ht="18" customHeight="1" x14ac:dyDescent="0.25">
      <c r="B45" s="86" t="s">
        <v>155</v>
      </c>
      <c r="C45" s="86" t="s">
        <v>156</v>
      </c>
    </row>
    <row r="46" spans="2:3" ht="18" customHeight="1" x14ac:dyDescent="0.25">
      <c r="B46" s="86" t="s">
        <v>157</v>
      </c>
      <c r="C46" s="86" t="s">
        <v>154</v>
      </c>
    </row>
    <row r="47" spans="2:3" ht="18" customHeight="1" x14ac:dyDescent="0.25">
      <c r="B47" s="86" t="s">
        <v>158</v>
      </c>
      <c r="C47" s="86" t="s">
        <v>156</v>
      </c>
    </row>
    <row r="49" spans="2:3" ht="21.95" customHeight="1" x14ac:dyDescent="0.25">
      <c r="B49" s="119" t="s">
        <v>159</v>
      </c>
      <c r="C49" s="93"/>
    </row>
    <row r="51" spans="2:3" ht="26.1" customHeight="1" x14ac:dyDescent="0.25">
      <c r="B51" s="113" t="s">
        <v>160</v>
      </c>
      <c r="C51" s="93"/>
    </row>
    <row r="52" spans="2:3" ht="129.94999999999999" customHeight="1" x14ac:dyDescent="0.25">
      <c r="B52" s="116" t="s">
        <v>161</v>
      </c>
      <c r="C52" s="93"/>
    </row>
    <row r="53" spans="2:3" ht="18" customHeight="1" x14ac:dyDescent="0.25">
      <c r="B53" s="93"/>
      <c r="C53" s="93"/>
    </row>
    <row r="54" spans="2:3" ht="18" customHeight="1" x14ac:dyDescent="0.25">
      <c r="B54" s="93"/>
      <c r="C54" s="93"/>
    </row>
    <row r="55" spans="2:3" ht="18" customHeight="1" x14ac:dyDescent="0.25">
      <c r="B55" s="113" t="s">
        <v>162</v>
      </c>
      <c r="C55" s="93"/>
    </row>
    <row r="56" spans="2:3" ht="18" customHeight="1" x14ac:dyDescent="0.25">
      <c r="B56" s="118" t="s">
        <v>11</v>
      </c>
      <c r="C56" s="93"/>
    </row>
    <row r="57" spans="2:3" x14ac:dyDescent="0.25">
      <c r="B57" s="87" t="s">
        <v>163</v>
      </c>
    </row>
    <row r="58" spans="2:3" x14ac:dyDescent="0.25">
      <c r="B58" s="118" t="s">
        <v>164</v>
      </c>
      <c r="C58" s="93"/>
    </row>
    <row r="59" spans="2:3" x14ac:dyDescent="0.25">
      <c r="B59" s="87" t="s">
        <v>165</v>
      </c>
    </row>
    <row r="60" spans="2:3" x14ac:dyDescent="0.25">
      <c r="B60" s="87" t="s">
        <v>166</v>
      </c>
    </row>
    <row r="62" spans="2:3" x14ac:dyDescent="0.25">
      <c r="B62" s="88" t="s">
        <v>167</v>
      </c>
    </row>
  </sheetData>
  <mergeCells count="16">
    <mergeCell ref="B56:C56"/>
    <mergeCell ref="B8:C8"/>
    <mergeCell ref="B49:C49"/>
    <mergeCell ref="B53:C53"/>
    <mergeCell ref="B58:C58"/>
    <mergeCell ref="B55:C55"/>
    <mergeCell ref="B6:C6"/>
    <mergeCell ref="B30:C30"/>
    <mergeCell ref="B2:C2"/>
    <mergeCell ref="B52:C52"/>
    <mergeCell ref="B15:C15"/>
    <mergeCell ref="B54:C54"/>
    <mergeCell ref="B3:C3"/>
    <mergeCell ref="B5:C5"/>
    <mergeCell ref="B51:C51"/>
    <mergeCell ref="B23:C23"/>
  </mergeCells>
  <pageMargins left="0.5" right="0.5" top="0.5" bottom="0.5"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zoomScaleNormal="100" workbookViewId="0">
      <selection activeCell="B3" sqref="B3"/>
    </sheetView>
  </sheetViews>
  <sheetFormatPr baseColWidth="10" defaultColWidth="8.7109375" defaultRowHeight="15" x14ac:dyDescent="0.25"/>
  <cols>
    <col min="1" max="1" width="32" customWidth="1"/>
    <col min="2" max="2" width="16" customWidth="1"/>
    <col min="3" max="3" width="24" customWidth="1"/>
  </cols>
  <sheetData>
    <row r="1" spans="1:3" ht="31.5" customHeight="1" x14ac:dyDescent="0.25">
      <c r="A1" s="122" t="s">
        <v>168</v>
      </c>
      <c r="B1" s="93"/>
      <c r="C1" s="93"/>
    </row>
    <row r="2" spans="1:3" ht="27.75" customHeight="1" x14ac:dyDescent="0.25">
      <c r="A2" s="1" t="s">
        <v>169</v>
      </c>
      <c r="B2" s="2">
        <v>0.51500000000000001</v>
      </c>
      <c r="C2" s="3" t="s">
        <v>170</v>
      </c>
    </row>
    <row r="4" spans="1:3" ht="21.75" customHeight="1" x14ac:dyDescent="0.25">
      <c r="A4" s="121" t="s">
        <v>171</v>
      </c>
      <c r="B4" s="93"/>
      <c r="C4" s="93"/>
    </row>
    <row r="5" spans="1:3" ht="15" customHeight="1" x14ac:dyDescent="0.25">
      <c r="A5" s="120" t="s">
        <v>172</v>
      </c>
      <c r="B5" s="93"/>
      <c r="C5" s="93"/>
    </row>
    <row r="6" spans="1:3" ht="15" customHeight="1" x14ac:dyDescent="0.25">
      <c r="A6" s="120" t="s">
        <v>173</v>
      </c>
      <c r="B6" s="93"/>
      <c r="C6" s="93"/>
    </row>
    <row r="7" spans="1:3" ht="15" customHeight="1" x14ac:dyDescent="0.25">
      <c r="A7" s="120"/>
      <c r="B7" s="93"/>
      <c r="C7" s="93"/>
    </row>
    <row r="8" spans="1:3" ht="15" customHeight="1" x14ac:dyDescent="0.25">
      <c r="A8" s="120" t="s">
        <v>174</v>
      </c>
      <c r="B8" s="93"/>
      <c r="C8" s="93"/>
    </row>
    <row r="9" spans="1:3" ht="15" customHeight="1" x14ac:dyDescent="0.25">
      <c r="A9" s="120" t="s">
        <v>175</v>
      </c>
      <c r="B9" s="93"/>
      <c r="C9" s="93"/>
    </row>
    <row r="10" spans="1:3" ht="15" customHeight="1" x14ac:dyDescent="0.25">
      <c r="A10" s="120" t="s">
        <v>176</v>
      </c>
      <c r="B10" s="93"/>
      <c r="C10" s="93"/>
    </row>
    <row r="11" spans="1:3" ht="15" customHeight="1" x14ac:dyDescent="0.25">
      <c r="A11" s="120" t="s">
        <v>177</v>
      </c>
      <c r="B11" s="93"/>
      <c r="C11" s="93"/>
    </row>
    <row r="12" spans="1:3" ht="15" customHeight="1" x14ac:dyDescent="0.25">
      <c r="A12" s="120" t="s">
        <v>178</v>
      </c>
      <c r="B12" s="93"/>
      <c r="C12" s="93"/>
    </row>
    <row r="13" spans="1:3" ht="15" customHeight="1" x14ac:dyDescent="0.25">
      <c r="A13" s="120" t="s">
        <v>179</v>
      </c>
      <c r="B13" s="93"/>
      <c r="C13" s="93"/>
    </row>
    <row r="14" spans="1:3" ht="15" customHeight="1" x14ac:dyDescent="0.25">
      <c r="A14" s="120" t="s">
        <v>180</v>
      </c>
      <c r="B14" s="93"/>
      <c r="C14" s="93"/>
    </row>
    <row r="15" spans="1:3" ht="15" customHeight="1" x14ac:dyDescent="0.25">
      <c r="A15" s="120"/>
      <c r="B15" s="93"/>
      <c r="C15" s="93"/>
    </row>
    <row r="16" spans="1:3" ht="15" customHeight="1" x14ac:dyDescent="0.25">
      <c r="A16" s="120" t="s">
        <v>181</v>
      </c>
      <c r="B16" s="93"/>
      <c r="C16" s="93"/>
    </row>
    <row r="17" spans="1:3" ht="15" customHeight="1" x14ac:dyDescent="0.25">
      <c r="A17" s="120"/>
      <c r="B17" s="93"/>
      <c r="C17" s="93"/>
    </row>
    <row r="18" spans="1:3" ht="15" customHeight="1" x14ac:dyDescent="0.25">
      <c r="A18" s="120" t="s">
        <v>182</v>
      </c>
      <c r="B18" s="93"/>
      <c r="C18" s="93"/>
    </row>
  </sheetData>
  <sheetProtection password="C9E4" sheet="1" formatCells="0"/>
  <mergeCells count="16">
    <mergeCell ref="A18:C18"/>
    <mergeCell ref="A12:C12"/>
    <mergeCell ref="A7:C7"/>
    <mergeCell ref="A16:C16"/>
    <mergeCell ref="A15:C15"/>
    <mergeCell ref="A1:C1"/>
    <mergeCell ref="A14:C14"/>
    <mergeCell ref="A8:C8"/>
    <mergeCell ref="A6:C6"/>
    <mergeCell ref="A17:C17"/>
    <mergeCell ref="A9:C9"/>
    <mergeCell ref="A10:C10"/>
    <mergeCell ref="A4:C4"/>
    <mergeCell ref="A13:C13"/>
    <mergeCell ref="A11:C11"/>
    <mergeCell ref="A5:C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4"/>
  <sheetViews>
    <sheetView zoomScaleNormal="100" workbookViewId="0">
      <selection activeCell="C21" sqref="C21"/>
    </sheetView>
  </sheetViews>
  <sheetFormatPr baseColWidth="10" defaultColWidth="8.7109375" defaultRowHeight="15" x14ac:dyDescent="0.25"/>
  <cols>
    <col min="1" max="1" width="112.42578125" customWidth="1"/>
    <col min="2" max="2" width="27" customWidth="1"/>
    <col min="3" max="3" width="15.5703125" customWidth="1"/>
    <col min="4" max="4" width="23.42578125" customWidth="1"/>
  </cols>
  <sheetData>
    <row r="1" spans="1:4" ht="30" customHeight="1" x14ac:dyDescent="0.25">
      <c r="A1" s="122" t="s">
        <v>183</v>
      </c>
      <c r="B1" s="93"/>
      <c r="C1" s="93"/>
      <c r="D1" s="93"/>
    </row>
    <row r="2" spans="1:4" ht="24" customHeight="1" x14ac:dyDescent="0.25">
      <c r="A2" s="125" t="s">
        <v>184</v>
      </c>
      <c r="B2" s="93"/>
      <c r="C2" s="93"/>
      <c r="D2" s="93"/>
    </row>
    <row r="3" spans="1:4" ht="15" customHeight="1" x14ac:dyDescent="0.25">
      <c r="A3" s="6" t="s">
        <v>185</v>
      </c>
      <c r="B3" s="6" t="s">
        <v>186</v>
      </c>
      <c r="C3" s="6" t="s">
        <v>187</v>
      </c>
      <c r="D3" s="6" t="s">
        <v>188</v>
      </c>
    </row>
    <row r="4" spans="1:4" ht="15" customHeight="1" x14ac:dyDescent="0.25">
      <c r="A4" s="123" t="s">
        <v>189</v>
      </c>
      <c r="B4" s="93"/>
      <c r="C4" s="93"/>
      <c r="D4" s="93"/>
    </row>
    <row r="5" spans="1:4" ht="15" customHeight="1" x14ac:dyDescent="0.25">
      <c r="A5" s="5" t="s">
        <v>190</v>
      </c>
      <c r="B5" s="5" t="s">
        <v>58</v>
      </c>
      <c r="C5" s="5" t="s">
        <v>191</v>
      </c>
      <c r="D5" s="5" t="s">
        <v>192</v>
      </c>
    </row>
    <row r="6" spans="1:4" ht="15" customHeight="1" x14ac:dyDescent="0.25">
      <c r="A6" s="5" t="s">
        <v>193</v>
      </c>
      <c r="B6" s="5" t="s">
        <v>135</v>
      </c>
      <c r="C6" s="5" t="s">
        <v>194</v>
      </c>
      <c r="D6" s="5" t="s">
        <v>192</v>
      </c>
    </row>
    <row r="7" spans="1:4" ht="15" customHeight="1" x14ac:dyDescent="0.25">
      <c r="A7" s="5" t="s">
        <v>195</v>
      </c>
      <c r="B7" s="5" t="s">
        <v>137</v>
      </c>
      <c r="C7" s="5" t="s">
        <v>196</v>
      </c>
      <c r="D7" s="5" t="s">
        <v>192</v>
      </c>
    </row>
    <row r="8" spans="1:4" ht="15" customHeight="1" x14ac:dyDescent="0.25">
      <c r="A8" s="5" t="s">
        <v>197</v>
      </c>
      <c r="B8" s="5" t="s">
        <v>139</v>
      </c>
      <c r="C8" s="5" t="s">
        <v>194</v>
      </c>
      <c r="D8" s="5" t="s">
        <v>192</v>
      </c>
    </row>
    <row r="9" spans="1:4" ht="15" customHeight="1" x14ac:dyDescent="0.25">
      <c r="A9" s="5" t="s">
        <v>198</v>
      </c>
      <c r="B9" s="5" t="s">
        <v>140</v>
      </c>
      <c r="C9" s="5" t="s">
        <v>199</v>
      </c>
      <c r="D9" s="5" t="s">
        <v>192</v>
      </c>
    </row>
    <row r="11" spans="1:4" ht="15" customHeight="1" x14ac:dyDescent="0.25">
      <c r="A11" s="123" t="s">
        <v>200</v>
      </c>
      <c r="B11" s="93"/>
      <c r="C11" s="93"/>
      <c r="D11" s="93"/>
    </row>
    <row r="12" spans="1:4" ht="15" customHeight="1" x14ac:dyDescent="0.25">
      <c r="A12" s="5" t="s">
        <v>201</v>
      </c>
      <c r="B12" s="5" t="s">
        <v>142</v>
      </c>
      <c r="C12" s="5" t="s">
        <v>202</v>
      </c>
      <c r="D12" s="5" t="s">
        <v>203</v>
      </c>
    </row>
    <row r="13" spans="1:4" ht="15" customHeight="1" x14ac:dyDescent="0.25">
      <c r="A13" s="5" t="s">
        <v>204</v>
      </c>
      <c r="B13" s="5" t="s">
        <v>144</v>
      </c>
      <c r="C13" s="5" t="s">
        <v>205</v>
      </c>
      <c r="D13" s="5" t="s">
        <v>203</v>
      </c>
    </row>
    <row r="14" spans="1:4" ht="15" customHeight="1" x14ac:dyDescent="0.25">
      <c r="A14" s="5" t="s">
        <v>206</v>
      </c>
      <c r="B14" s="5" t="s">
        <v>146</v>
      </c>
      <c r="C14" s="5" t="s">
        <v>207</v>
      </c>
      <c r="D14" s="5" t="s">
        <v>203</v>
      </c>
    </row>
    <row r="15" spans="1:4" ht="15" customHeight="1" x14ac:dyDescent="0.25">
      <c r="A15" s="5" t="s">
        <v>208</v>
      </c>
      <c r="B15" s="5" t="s">
        <v>66</v>
      </c>
      <c r="C15" s="5" t="s">
        <v>209</v>
      </c>
      <c r="D15" s="5" t="s">
        <v>203</v>
      </c>
    </row>
    <row r="17" spans="1:4" ht="15" customHeight="1" x14ac:dyDescent="0.25">
      <c r="A17" s="123" t="s">
        <v>210</v>
      </c>
      <c r="B17" s="93"/>
      <c r="C17" s="93"/>
      <c r="D17" s="93"/>
    </row>
    <row r="18" spans="1:4" ht="15" customHeight="1" x14ac:dyDescent="0.25">
      <c r="A18" s="5" t="s">
        <v>211</v>
      </c>
      <c r="B18" s="5" t="s">
        <v>63</v>
      </c>
      <c r="C18" s="5" t="s">
        <v>212</v>
      </c>
      <c r="D18" s="5" t="s">
        <v>213</v>
      </c>
    </row>
    <row r="20" spans="1:4" ht="15" customHeight="1" x14ac:dyDescent="0.25">
      <c r="A20" s="123" t="s">
        <v>214</v>
      </c>
      <c r="B20" s="93"/>
      <c r="C20" s="93"/>
      <c r="D20" s="93"/>
    </row>
    <row r="21" spans="1:4" ht="15" customHeight="1" x14ac:dyDescent="0.25">
      <c r="A21" s="5" t="s">
        <v>215</v>
      </c>
      <c r="B21" s="5" t="s">
        <v>67</v>
      </c>
      <c r="C21" s="5" t="s">
        <v>216</v>
      </c>
      <c r="D21" s="5" t="s">
        <v>217</v>
      </c>
    </row>
    <row r="22" spans="1:4" ht="15" customHeight="1" x14ac:dyDescent="0.25">
      <c r="A22" s="5" t="s">
        <v>218</v>
      </c>
      <c r="B22" s="5" t="s">
        <v>151</v>
      </c>
      <c r="C22" s="5" t="s">
        <v>219</v>
      </c>
      <c r="D22" s="5" t="s">
        <v>217</v>
      </c>
    </row>
    <row r="24" spans="1:4" ht="15" customHeight="1" x14ac:dyDescent="0.25">
      <c r="A24" s="124" t="s">
        <v>220</v>
      </c>
      <c r="B24" s="93"/>
      <c r="C24" s="93"/>
      <c r="D24" s="93"/>
    </row>
    <row r="25" spans="1:4" ht="15" customHeight="1" x14ac:dyDescent="0.25">
      <c r="A25" s="8" t="s">
        <v>221</v>
      </c>
      <c r="B25" s="8" t="s">
        <v>153</v>
      </c>
      <c r="C25" s="8" t="s">
        <v>222</v>
      </c>
      <c r="D25" s="8" t="s">
        <v>223</v>
      </c>
    </row>
    <row r="26" spans="1:4" ht="15" customHeight="1" x14ac:dyDescent="0.25">
      <c r="A26" s="8" t="s">
        <v>224</v>
      </c>
      <c r="B26" s="8" t="s">
        <v>155</v>
      </c>
      <c r="C26" s="8" t="s">
        <v>225</v>
      </c>
      <c r="D26" s="8" t="s">
        <v>223</v>
      </c>
    </row>
    <row r="27" spans="1:4" ht="26.25" customHeight="1" x14ac:dyDescent="0.25">
      <c r="A27" s="8" t="s">
        <v>226</v>
      </c>
      <c r="B27" s="8" t="s">
        <v>157</v>
      </c>
      <c r="C27" s="8" t="s">
        <v>222</v>
      </c>
      <c r="D27" s="8" t="s">
        <v>223</v>
      </c>
    </row>
    <row r="28" spans="1:4" ht="15" customHeight="1" x14ac:dyDescent="0.25">
      <c r="A28" s="8" t="s">
        <v>227</v>
      </c>
      <c r="B28" s="8" t="s">
        <v>158</v>
      </c>
      <c r="C28" s="8" t="s">
        <v>225</v>
      </c>
      <c r="D28" s="8" t="s">
        <v>223</v>
      </c>
    </row>
    <row r="29" spans="1:4" ht="15" customHeight="1" x14ac:dyDescent="0.25"/>
    <row r="30" spans="1:4" ht="21.75" customHeight="1" x14ac:dyDescent="0.25">
      <c r="A30" s="123" t="s">
        <v>228</v>
      </c>
      <c r="B30" s="93"/>
      <c r="C30" s="93"/>
      <c r="D30" s="93"/>
    </row>
    <row r="31" spans="1:4" ht="26.25" customHeight="1" x14ac:dyDescent="0.25">
      <c r="A31" s="5" t="s">
        <v>229</v>
      </c>
      <c r="B31" s="5" t="s">
        <v>230</v>
      </c>
      <c r="C31" s="5" t="s">
        <v>231</v>
      </c>
      <c r="D31" s="5" t="s">
        <v>232</v>
      </c>
    </row>
    <row r="32" spans="1:4" ht="15" customHeight="1" x14ac:dyDescent="0.25">
      <c r="A32" s="5" t="s">
        <v>233</v>
      </c>
    </row>
    <row r="33" spans="1:4" ht="15" customHeight="1" x14ac:dyDescent="0.25">
      <c r="A33" s="5" t="s">
        <v>234</v>
      </c>
      <c r="B33" s="5" t="s">
        <v>235</v>
      </c>
      <c r="C33" s="5" t="s">
        <v>236</v>
      </c>
      <c r="D33" s="5" t="s">
        <v>237</v>
      </c>
    </row>
    <row r="34" spans="1:4" ht="15" customHeight="1" x14ac:dyDescent="0.25"/>
    <row r="35" spans="1:4" ht="15" customHeight="1" x14ac:dyDescent="0.25"/>
    <row r="36" spans="1:4" ht="15" customHeight="1" x14ac:dyDescent="0.25">
      <c r="A36" s="7" t="s">
        <v>238</v>
      </c>
    </row>
    <row r="37" spans="1:4" ht="15" customHeight="1" x14ac:dyDescent="0.25">
      <c r="A37" s="9" t="s">
        <v>239</v>
      </c>
      <c r="B37" s="9" t="s">
        <v>240</v>
      </c>
      <c r="C37" s="9" t="s">
        <v>241</v>
      </c>
      <c r="D37" s="9" t="s">
        <v>242</v>
      </c>
    </row>
    <row r="38" spans="1:4" ht="15" customHeight="1" x14ac:dyDescent="0.25">
      <c r="A38" s="5" t="s">
        <v>63</v>
      </c>
      <c r="B38" s="5" t="s">
        <v>243</v>
      </c>
      <c r="C38" s="5" t="s">
        <v>244</v>
      </c>
      <c r="D38" s="10">
        <f>224.46*(1-Paramètres!$B$2)</f>
        <v>108.8631</v>
      </c>
    </row>
    <row r="39" spans="1:4" ht="15" customHeight="1" x14ac:dyDescent="0.25">
      <c r="A39" s="11" t="s">
        <v>63</v>
      </c>
      <c r="B39" s="11" t="s">
        <v>245</v>
      </c>
      <c r="C39" s="11" t="s">
        <v>244</v>
      </c>
      <c r="D39" s="12">
        <f>264.82*(1-Paramètres!$B$2)</f>
        <v>128.43770000000001</v>
      </c>
    </row>
    <row r="40" spans="1:4" ht="15" customHeight="1" x14ac:dyDescent="0.25">
      <c r="A40" s="5" t="s">
        <v>63</v>
      </c>
      <c r="B40" s="5" t="s">
        <v>246</v>
      </c>
      <c r="C40" s="5" t="s">
        <v>244</v>
      </c>
      <c r="D40" s="10">
        <f>230*(1-Paramètres!$B$2)</f>
        <v>111.55</v>
      </c>
    </row>
    <row r="41" spans="1:4" ht="15" customHeight="1" x14ac:dyDescent="0.25">
      <c r="A41" s="11" t="s">
        <v>63</v>
      </c>
      <c r="B41" s="11" t="s">
        <v>247</v>
      </c>
      <c r="C41" s="11" t="s">
        <v>244</v>
      </c>
      <c r="D41" s="12">
        <f>252.73*(1-Paramètres!$B$2)</f>
        <v>122.57404999999999</v>
      </c>
    </row>
    <row r="42" spans="1:4" ht="15" customHeight="1" x14ac:dyDescent="0.25">
      <c r="A42" s="8" t="s">
        <v>153</v>
      </c>
      <c r="B42" s="8" t="s">
        <v>243</v>
      </c>
      <c r="C42" s="8" t="s">
        <v>244</v>
      </c>
      <c r="D42" s="10">
        <f>170.1*(1-Paramètres!$B$2)</f>
        <v>82.498499999999993</v>
      </c>
    </row>
    <row r="43" spans="1:4" ht="15" customHeight="1" x14ac:dyDescent="0.25">
      <c r="A43" s="8" t="s">
        <v>155</v>
      </c>
      <c r="B43" s="8" t="s">
        <v>243</v>
      </c>
      <c r="C43" s="8" t="s">
        <v>244</v>
      </c>
      <c r="D43" s="10">
        <f>328.28*(1-Paramètres!$B$2)</f>
        <v>159.21579999999997</v>
      </c>
    </row>
    <row r="44" spans="1:4" ht="15" customHeight="1" x14ac:dyDescent="0.25">
      <c r="A44" s="5" t="s">
        <v>67</v>
      </c>
      <c r="B44" s="5" t="s">
        <v>243</v>
      </c>
      <c r="C44" s="5" t="s">
        <v>244</v>
      </c>
      <c r="D44" s="10">
        <f>184.33*(1-Paramètres!$B$2)</f>
        <v>89.400050000000007</v>
      </c>
    </row>
    <row r="45" spans="1:4" ht="15" customHeight="1" x14ac:dyDescent="0.25">
      <c r="A45" s="11" t="s">
        <v>67</v>
      </c>
      <c r="B45" s="11" t="s">
        <v>245</v>
      </c>
      <c r="C45" s="11" t="s">
        <v>244</v>
      </c>
      <c r="D45" s="12">
        <f>211.33*(1-Paramètres!$B$2)</f>
        <v>102.49505000000001</v>
      </c>
    </row>
    <row r="46" spans="1:4" ht="13.5" customHeight="1" x14ac:dyDescent="0.25">
      <c r="A46" s="120" t="s">
        <v>67</v>
      </c>
      <c r="B46" s="93"/>
      <c r="C46" s="93"/>
      <c r="D46" s="93"/>
    </row>
    <row r="47" spans="1:4" ht="15" customHeight="1" x14ac:dyDescent="0.25">
      <c r="A47" s="11" t="s">
        <v>67</v>
      </c>
      <c r="B47" s="11" t="s">
        <v>246</v>
      </c>
      <c r="C47" s="11" t="s">
        <v>244</v>
      </c>
      <c r="D47" s="12">
        <f>280.71*(1-Paramètres!$B$2)</f>
        <v>136.14434999999997</v>
      </c>
    </row>
    <row r="48" spans="1:4" ht="15" customHeight="1" x14ac:dyDescent="0.25">
      <c r="A48" s="5" t="s">
        <v>67</v>
      </c>
    </row>
    <row r="49" spans="1:4" ht="15" customHeight="1" x14ac:dyDescent="0.25">
      <c r="A49" s="11" t="s">
        <v>151</v>
      </c>
      <c r="B49" s="11" t="s">
        <v>243</v>
      </c>
      <c r="C49" s="11" t="s">
        <v>244</v>
      </c>
      <c r="D49" s="12">
        <f>352.29*(1-Paramètres!$B$2)</f>
        <v>170.86064999999999</v>
      </c>
    </row>
    <row r="50" spans="1:4" ht="15" customHeight="1" x14ac:dyDescent="0.25">
      <c r="A50" s="5" t="s">
        <v>151</v>
      </c>
    </row>
    <row r="51" spans="1:4" ht="15" customHeight="1" x14ac:dyDescent="0.25">
      <c r="A51" s="11" t="s">
        <v>151</v>
      </c>
      <c r="B51" s="11" t="s">
        <v>248</v>
      </c>
      <c r="C51" s="11" t="s">
        <v>244</v>
      </c>
      <c r="D51" s="12">
        <f>687*(1-Paramètres!$B$2)</f>
        <v>333.19499999999999</v>
      </c>
    </row>
    <row r="52" spans="1:4" ht="15" customHeight="1" x14ac:dyDescent="0.25">
      <c r="A52" s="5" t="s">
        <v>151</v>
      </c>
      <c r="B52" s="5" t="s">
        <v>246</v>
      </c>
      <c r="C52" s="5" t="s">
        <v>244</v>
      </c>
      <c r="D52" s="10">
        <f>280.71*(1-Paramètres!$B$2)</f>
        <v>136.14434999999997</v>
      </c>
    </row>
    <row r="53" spans="1:4" ht="15" customHeight="1" x14ac:dyDescent="0.25">
      <c r="A53" s="11" t="s">
        <v>151</v>
      </c>
      <c r="B53" s="11" t="s">
        <v>247</v>
      </c>
      <c r="C53" s="11" t="s">
        <v>244</v>
      </c>
      <c r="D53" s="12">
        <f>339.29*(1-Paramètres!$B$2)</f>
        <v>164.55565000000001</v>
      </c>
    </row>
    <row r="54" spans="1:4" ht="15" customHeight="1" x14ac:dyDescent="0.25">
      <c r="A54" s="13" t="s">
        <v>249</v>
      </c>
    </row>
    <row r="55" spans="1:4" ht="15" customHeight="1" x14ac:dyDescent="0.25"/>
    <row r="56" spans="1:4" ht="15" customHeight="1" x14ac:dyDescent="0.25">
      <c r="A56" s="6" t="s">
        <v>250</v>
      </c>
    </row>
    <row r="57" spans="1:4" ht="15" customHeight="1" x14ac:dyDescent="0.25">
      <c r="A57" s="14" t="s">
        <v>251</v>
      </c>
    </row>
    <row r="58" spans="1:4" ht="15" customHeight="1" x14ac:dyDescent="0.25">
      <c r="A58" s="14" t="s">
        <v>252</v>
      </c>
    </row>
    <row r="59" spans="1:4" ht="15" customHeight="1" x14ac:dyDescent="0.25">
      <c r="A59" s="14" t="s">
        <v>253</v>
      </c>
    </row>
    <row r="60" spans="1:4" ht="15" customHeight="1" x14ac:dyDescent="0.25">
      <c r="A60" s="14" t="s">
        <v>254</v>
      </c>
    </row>
    <row r="61" spans="1:4" ht="15" customHeight="1" x14ac:dyDescent="0.25"/>
    <row r="62" spans="1:4" ht="15" customHeight="1" x14ac:dyDescent="0.25">
      <c r="A62" s="15" t="s">
        <v>255</v>
      </c>
    </row>
    <row r="63" spans="1:4" ht="15" customHeight="1" x14ac:dyDescent="0.25">
      <c r="A63" s="14" t="s">
        <v>256</v>
      </c>
    </row>
    <row r="64" spans="1:4" ht="15" customHeight="1" x14ac:dyDescent="0.25">
      <c r="A64" s="14" t="s">
        <v>257</v>
      </c>
    </row>
  </sheetData>
  <mergeCells count="9">
    <mergeCell ref="A46:D46"/>
    <mergeCell ref="A1:D1"/>
    <mergeCell ref="A17:D17"/>
    <mergeCell ref="A4:D4"/>
    <mergeCell ref="A20:D20"/>
    <mergeCell ref="A30:D30"/>
    <mergeCell ref="A24:D24"/>
    <mergeCell ref="A2:D2"/>
    <mergeCell ref="A11:D1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48"/>
  <sheetViews>
    <sheetView showGridLines="0" tabSelected="1" zoomScale="74" zoomScaleNormal="74" workbookViewId="0">
      <pane ySplit="13" topLeftCell="A14" activePane="bottomLeft" state="frozen"/>
      <selection pane="bottomLeft" activeCell="E14" sqref="E14"/>
    </sheetView>
  </sheetViews>
  <sheetFormatPr baseColWidth="10" defaultColWidth="8.7109375" defaultRowHeight="15" x14ac:dyDescent="0.25"/>
  <cols>
    <col min="1" max="1" width="5" customWidth="1"/>
    <col min="2" max="2" width="16" customWidth="1"/>
    <col min="3" max="3" width="22" customWidth="1"/>
    <col min="4" max="4" width="18" customWidth="1"/>
    <col min="5" max="5" width="24" customWidth="1"/>
    <col min="6" max="6" width="22" customWidth="1"/>
    <col min="7" max="8" width="10" customWidth="1"/>
    <col min="9" max="9" width="11.42578125" customWidth="1"/>
    <col min="10" max="10" width="54" customWidth="1"/>
    <col min="11" max="11" width="37.7109375" customWidth="1"/>
    <col min="12" max="12" width="14" customWidth="1"/>
    <col min="13" max="15" width="11" customWidth="1"/>
    <col min="16" max="16" width="22" customWidth="1"/>
    <col min="17" max="17" width="20" customWidth="1"/>
    <col min="18" max="18" width="26.7109375" customWidth="1"/>
    <col min="19" max="19" width="38.85546875" customWidth="1"/>
    <col min="20" max="20" width="16" customWidth="1"/>
    <col min="21" max="39" width="13" hidden="1" customWidth="1"/>
  </cols>
  <sheetData>
    <row r="1" spans="1:39" ht="27.75" customHeight="1" x14ac:dyDescent="0.25">
      <c r="A1" s="106" t="e" vm="1">
        <v>#VALUE!</v>
      </c>
      <c r="B1" s="106"/>
      <c r="C1" s="106"/>
      <c r="D1" s="106"/>
      <c r="F1" s="92" t="s">
        <v>0</v>
      </c>
      <c r="G1" s="92"/>
      <c r="H1" s="92"/>
      <c r="I1" s="92"/>
      <c r="J1" s="92"/>
      <c r="K1" s="92"/>
      <c r="L1" s="92"/>
      <c r="N1" s="106"/>
      <c r="O1" s="106"/>
      <c r="P1" s="106"/>
      <c r="Q1" s="106"/>
      <c r="R1" s="106"/>
      <c r="S1" s="106"/>
      <c r="T1" s="106"/>
    </row>
    <row r="2" spans="1:39" ht="27.75" customHeight="1" x14ac:dyDescent="0.25">
      <c r="A2" s="106"/>
      <c r="B2" s="106"/>
      <c r="C2" s="106"/>
      <c r="D2" s="106"/>
      <c r="F2" s="92"/>
      <c r="G2" s="92"/>
      <c r="H2" s="92"/>
      <c r="I2" s="92"/>
      <c r="J2" s="92"/>
      <c r="K2" s="92"/>
      <c r="L2" s="92"/>
      <c r="N2" s="106"/>
      <c r="O2" s="106"/>
      <c r="P2" s="106"/>
      <c r="Q2" s="106"/>
      <c r="R2" s="106"/>
      <c r="S2" s="106"/>
      <c r="T2" s="106"/>
    </row>
    <row r="3" spans="1:39" ht="18" customHeight="1" x14ac:dyDescent="0.25">
      <c r="A3" s="106"/>
      <c r="B3" s="106"/>
      <c r="C3" s="106"/>
      <c r="D3" s="106"/>
      <c r="F3" s="92"/>
      <c r="G3" s="92"/>
      <c r="H3" s="92"/>
      <c r="I3" s="92"/>
      <c r="J3" s="92"/>
      <c r="K3" s="92"/>
      <c r="L3" s="92"/>
      <c r="N3" s="106"/>
      <c r="O3" s="106"/>
      <c r="P3" s="106"/>
      <c r="Q3" s="106"/>
      <c r="R3" s="106"/>
      <c r="S3" s="106"/>
      <c r="T3" s="106"/>
    </row>
    <row r="4" spans="1:39" ht="15" customHeight="1" x14ac:dyDescent="0.25">
      <c r="A4" s="106"/>
      <c r="B4" s="106"/>
      <c r="C4" s="106"/>
      <c r="D4" s="106"/>
      <c r="F4" s="92"/>
      <c r="G4" s="92"/>
      <c r="H4" s="92"/>
      <c r="I4" s="92"/>
      <c r="J4" s="92"/>
      <c r="K4" s="92"/>
      <c r="L4" s="92"/>
      <c r="N4" s="106"/>
      <c r="O4" s="106"/>
      <c r="P4" s="106"/>
      <c r="Q4" s="106"/>
      <c r="R4" s="106"/>
      <c r="S4" s="106"/>
      <c r="T4" s="106"/>
    </row>
    <row r="5" spans="1:39" ht="3.75" customHeight="1" x14ac:dyDescent="0.25">
      <c r="A5" s="16"/>
      <c r="B5" s="16"/>
      <c r="C5" s="16"/>
      <c r="D5" s="16"/>
      <c r="E5" s="16"/>
      <c r="F5" s="16"/>
      <c r="G5" s="16"/>
      <c r="H5" s="16"/>
      <c r="I5" s="16"/>
      <c r="J5" s="16"/>
      <c r="K5" s="16"/>
      <c r="L5" s="16"/>
      <c r="M5" s="16"/>
      <c r="N5" s="16"/>
      <c r="O5" s="16"/>
      <c r="P5" s="16"/>
      <c r="Q5" s="16"/>
      <c r="R5" s="16"/>
      <c r="S5" s="16"/>
      <c r="T5" s="16"/>
    </row>
    <row r="7" spans="1:39" ht="21.75" customHeight="1" x14ac:dyDescent="0.25">
      <c r="A7" s="109" t="s">
        <v>1</v>
      </c>
      <c r="B7" s="93"/>
      <c r="C7" s="93"/>
      <c r="D7" s="93"/>
      <c r="E7" s="93"/>
      <c r="F7" s="93"/>
      <c r="G7" s="109" t="s">
        <v>2</v>
      </c>
      <c r="H7" s="93"/>
      <c r="I7" s="93"/>
      <c r="J7" s="93"/>
      <c r="K7" s="93"/>
      <c r="L7" s="93"/>
      <c r="M7" s="105" t="s">
        <v>3</v>
      </c>
      <c r="N7" s="93"/>
      <c r="O7" s="93"/>
      <c r="P7" s="93"/>
      <c r="Q7" s="93"/>
      <c r="R7" s="93"/>
      <c r="S7" s="93"/>
      <c r="T7" s="93"/>
    </row>
    <row r="8" spans="1:39" ht="19.5" customHeight="1" x14ac:dyDescent="0.25">
      <c r="A8" s="100" t="s">
        <v>4</v>
      </c>
      <c r="B8" s="91"/>
      <c r="C8" s="95"/>
      <c r="D8" s="96"/>
      <c r="E8" s="96"/>
      <c r="F8" s="97"/>
      <c r="G8" s="94" t="s">
        <v>5</v>
      </c>
      <c r="H8" s="90"/>
      <c r="I8" s="91"/>
      <c r="J8" s="102"/>
      <c r="K8" s="96"/>
      <c r="L8" s="97"/>
      <c r="M8" s="94" t="s">
        <v>6</v>
      </c>
      <c r="N8" s="91"/>
      <c r="O8" s="104" t="s">
        <v>7</v>
      </c>
      <c r="P8" s="96"/>
      <c r="Q8" s="96"/>
      <c r="R8" s="96"/>
      <c r="S8" s="96"/>
      <c r="T8" s="97"/>
    </row>
    <row r="9" spans="1:39" ht="19.5" customHeight="1" x14ac:dyDescent="0.25">
      <c r="A9" s="100" t="s">
        <v>8</v>
      </c>
      <c r="B9" s="91"/>
      <c r="C9" s="95"/>
      <c r="D9" s="96"/>
      <c r="E9" s="96"/>
      <c r="F9" s="97"/>
      <c r="G9" s="94" t="s">
        <v>9</v>
      </c>
      <c r="H9" s="90"/>
      <c r="I9" s="91"/>
      <c r="J9" s="102"/>
      <c r="K9" s="96"/>
      <c r="L9" s="97"/>
      <c r="M9" s="94" t="s">
        <v>10</v>
      </c>
      <c r="N9" s="91"/>
      <c r="O9" s="104" t="s">
        <v>11</v>
      </c>
      <c r="P9" s="96"/>
      <c r="Q9" s="96"/>
      <c r="R9" s="96"/>
      <c r="S9" s="96"/>
      <c r="T9" s="97"/>
    </row>
    <row r="10" spans="1:39" ht="19.5" customHeight="1" x14ac:dyDescent="0.25">
      <c r="A10" s="100" t="s">
        <v>12</v>
      </c>
      <c r="B10" s="91"/>
      <c r="C10" s="95"/>
      <c r="D10" s="96"/>
      <c r="E10" s="96"/>
      <c r="F10" s="97"/>
      <c r="G10" s="94" t="s">
        <v>13</v>
      </c>
      <c r="H10" s="90"/>
      <c r="I10" s="91"/>
      <c r="J10" s="102"/>
      <c r="K10" s="96"/>
      <c r="L10" s="97"/>
      <c r="M10" s="94" t="s">
        <v>14</v>
      </c>
      <c r="N10" s="91"/>
      <c r="O10" s="104" t="s">
        <v>15</v>
      </c>
      <c r="P10" s="96"/>
      <c r="Q10" s="96"/>
      <c r="R10" s="96"/>
      <c r="S10" s="96"/>
      <c r="T10" s="97"/>
    </row>
    <row r="11" spans="1:39" ht="19.5" customHeight="1" x14ac:dyDescent="0.25">
      <c r="A11" s="100" t="s">
        <v>16</v>
      </c>
      <c r="B11" s="91"/>
      <c r="C11" s="112">
        <f ca="1">TODAY()</f>
        <v>46193</v>
      </c>
      <c r="D11" s="96"/>
      <c r="E11" s="96"/>
      <c r="F11" s="97"/>
      <c r="G11" s="94" t="s">
        <v>17</v>
      </c>
      <c r="H11" s="90"/>
      <c r="I11" s="91"/>
      <c r="J11" s="102"/>
      <c r="K11" s="96"/>
      <c r="L11" s="97"/>
      <c r="M11" s="94" t="s">
        <v>18</v>
      </c>
      <c r="N11" s="91"/>
      <c r="O11" s="104" t="s">
        <v>19</v>
      </c>
      <c r="P11" s="96"/>
      <c r="Q11" s="96"/>
      <c r="R11" s="96"/>
      <c r="S11" s="96"/>
      <c r="T11" s="97"/>
    </row>
    <row r="13" spans="1:39" ht="31.5" customHeight="1" x14ac:dyDescent="0.25">
      <c r="A13" s="18" t="s">
        <v>20</v>
      </c>
      <c r="B13" s="19" t="s">
        <v>21</v>
      </c>
      <c r="C13" s="18" t="s">
        <v>22</v>
      </c>
      <c r="D13" s="18" t="s">
        <v>23</v>
      </c>
      <c r="E13" s="18" t="s">
        <v>24</v>
      </c>
      <c r="F13" s="18" t="s">
        <v>25</v>
      </c>
      <c r="G13" s="18" t="s">
        <v>26</v>
      </c>
      <c r="H13" s="18" t="s">
        <v>27</v>
      </c>
      <c r="I13" s="18" t="s">
        <v>28</v>
      </c>
      <c r="J13" s="19" t="s">
        <v>29</v>
      </c>
      <c r="K13" s="18" t="s">
        <v>30</v>
      </c>
      <c r="L13" s="18" t="s">
        <v>31</v>
      </c>
      <c r="M13" s="18" t="s">
        <v>32</v>
      </c>
      <c r="N13" s="18" t="s">
        <v>33</v>
      </c>
      <c r="O13" s="18" t="s">
        <v>34</v>
      </c>
      <c r="P13" s="18" t="s">
        <v>35</v>
      </c>
      <c r="Q13" s="18" t="s">
        <v>36</v>
      </c>
      <c r="R13" s="18" t="s">
        <v>37</v>
      </c>
      <c r="S13" s="18" t="s">
        <v>38</v>
      </c>
      <c r="T13" s="18" t="s">
        <v>39</v>
      </c>
      <c r="V13" s="20" t="s">
        <v>40</v>
      </c>
      <c r="W13" s="20" t="s">
        <v>41</v>
      </c>
      <c r="X13" s="20" t="s">
        <v>42</v>
      </c>
      <c r="Y13" s="20" t="s">
        <v>43</v>
      </c>
      <c r="Z13" s="20" t="s">
        <v>44</v>
      </c>
      <c r="AA13" s="20" t="s">
        <v>45</v>
      </c>
      <c r="AB13" s="20" t="s">
        <v>46</v>
      </c>
      <c r="AC13" s="21" t="s">
        <v>47</v>
      </c>
      <c r="AD13" s="21" t="s">
        <v>48</v>
      </c>
      <c r="AE13" s="21" t="s">
        <v>49</v>
      </c>
      <c r="AF13" s="21" t="s">
        <v>50</v>
      </c>
      <c r="AG13" s="21" t="s">
        <v>51</v>
      </c>
      <c r="AH13" s="21" t="s">
        <v>52</v>
      </c>
      <c r="AI13" s="21" t="s">
        <v>53</v>
      </c>
      <c r="AJ13" s="21" t="s">
        <v>54</v>
      </c>
      <c r="AK13" s="21" t="s">
        <v>55</v>
      </c>
      <c r="AL13" s="21" t="s">
        <v>56</v>
      </c>
      <c r="AM13" s="21" t="s">
        <v>57</v>
      </c>
    </row>
    <row r="14" spans="1:39" ht="153" customHeight="1" x14ac:dyDescent="0.25">
      <c r="A14" s="22">
        <v>1</v>
      </c>
      <c r="B14" s="17"/>
      <c r="C14" s="138" t="s">
        <v>58</v>
      </c>
      <c r="D14" s="138" t="s">
        <v>59</v>
      </c>
      <c r="E14" s="138" t="s">
        <v>60</v>
      </c>
      <c r="F14" s="17" t="s">
        <v>61</v>
      </c>
      <c r="G14" s="23">
        <v>1800</v>
      </c>
      <c r="H14" s="23">
        <v>1200</v>
      </c>
      <c r="I14" s="23">
        <v>1</v>
      </c>
      <c r="J14" s="139" t="str">
        <f>IF($C14="","",$C14&amp;" aluminium"&amp;IF(OR($G14="",$H14=""),"",", "&amp;$G14&amp;" × "&amp;$H14&amp;" mm")&amp;IF(OR(AND($G14&lt;&gt;"",IFERROR(VLOOKUP($C14,[1]_Données!$A$196:$E$211,2,FALSE()),"")&lt;&gt;"",OR($G14&lt;IFERROR(VLOOKUP($C14,[1]_Données!$A$196:$E$211,2,FALSE()),""),$G14&gt;IFERROR(VLOOKUP($C14,[1]_Données!$A$196:$E$211,3,FALSE()),""))),AND($H14&lt;&gt;"",IFERROR(VLOOKUP($C14,[1]_Données!$A$196:$E$211,4,FALSE()),"")&lt;&gt;"",OR($H14&lt;IFERROR(VLOOKUP($C14,[1]_Données!$A$196:$E$211,4,FALSE()),""),$H14&gt;IFERROR(VLOOKUP($C14,[1]_Données!$A$196:$E$211,5,FALSE()),"")))),CHAR(10)&amp;"⚠ Hors abaque (L "&amp;IFERROR(VLOOKUP($C14,[1]_Données!$A$196:$E$211,2,FALSE()),"")&amp;"–"&amp;IFERROR(VLOOKUP($C14,[1]_Données!$A$196:$E$211,3,FALSE()),"")&amp;" / H "&amp;IFERROR(VLOOKUP($C14,[1]_Données!$A$196:$E$211,4,FALSE()),"")&amp;"–"&amp;IFERROR(VLOOKUP($C14,[1]_Données!$A$196:$E$211,5,FALSE()),"")&amp;" mm)","")&amp;IF(IFERROR(VLOOKUP($C14,[1]_Données!$A$158:$B$173,2,FALSE()),"")="","",CHAR(10)&amp;"Système : "&amp;VLOOKUP($C14,[1]_Données!$A$158:$B$173,2,FALSE()))&amp;IF($D14="","",CHAR(10)&amp;"Traitement surface : "&amp;$D14)&amp;IF($E14="","",CHAR(10)&amp;"Vitrage : "&amp;$E14)&amp;IF($F14="","",CHAR(10)&amp;"Cadre : "&amp;$F14)&amp;IF(OR(IFERROR(VLOOKUP($C14,[1]_Données!$A$177:$C$192,2,FALSE()),"")="",AND(OR($C14="Porte Lourde 1 vantail",$C14="Porte Lourde 2 vantaux"),OR(ISNUMBER(SEARCH("ventouse",$R14)),ISNUMBER(SEARCH("antipanique",$R14))))),"",CHAR(10)&amp;"Poignée : "&amp;IFERROR(VLOOKUP($C14,[1]_Données!$A$177:$C$192,2,FALSE()),""))&amp;IF(OR(IFERROR(VLOOKUP($C14,[1]_Données!$A$177:$C$192,3,FALSE()),"")="",AND(OR($C14="Porte Lourde 1 vantail",$C14="Porte Lourde 2 vantaux"),OR(ISNUMBER(SEARCH("ventouse",$R14)),ISNUMBER(SEARCH("antipanique",$R14))))),"",CHAR(10)&amp;"Fermeture : "&amp;IFERROR(VLOOKUP($C14,[1]_Données!$A$177:$C$192,3,FALSE()),""))&amp;AL14&amp;AM14&amp;IF(AND($R14&lt;&gt;"",$R14&lt;&gt;"Aucune option"),CHAR(10)&amp;"Option : "&amp;$R14,"")&amp;IF($L14="OUI",CHAR(10)&amp;"Grille de ventilation","")&amp;IF(AND($P14&lt;&gt;"",$P14&lt;&gt;"Aucun"),CHAR(10)&amp;"Habillage extérieur : "&amp;$P14,"")&amp;IF(AND($Q14&lt;&gt;"",$Q14&lt;&gt;"Aucune"),CHAR(10)&amp;"Bavette : "&amp;$Q14,""))</f>
        <v>Coulissant 2 vantaux 2 rails aluminium, 1800 × 1200 mm
Système : Aluk Group 67CL32
Traitement surface : Famille 1 Monocolore
Vitrage : 4 /20/ 4 (Fe Argon WE) Clair
Cadre : Standard (sans doublage)
Poignée : SARENA 20° sur vantail principal / Cuvette sur vantail secondaire
Fermeture : Serrure multipoints Slidelock
Grille de ventilation
Habillage extérieur : Cornière 60×30
Bavette : Bavette 74 mm (N99987)</v>
      </c>
      <c r="K14" s="25"/>
      <c r="L14" s="141" t="s">
        <v>664</v>
      </c>
      <c r="M14" s="17"/>
      <c r="N14" s="17"/>
      <c r="O14" s="17"/>
      <c r="P14" s="17" t="s">
        <v>651</v>
      </c>
      <c r="Q14" s="17" t="s">
        <v>656</v>
      </c>
      <c r="R14" s="17"/>
      <c r="S14" s="26">
        <f ca="1">IFERROR(IF(ISNUMBER(IFERROR(IF(ISNUMBER(IF(IFERROR(OR(AND($G14&lt;&gt;"",IFERROR(VLOOKUP($C14,_Données!$A$196:$E$211,2,FALSE()),"")&lt;&gt;"",OR($G14&lt;VLOOKUP($C14,_Données!$A$196:$E$211,2,FALSE()),$G14&gt;VLOOKUP($C14,_Données!$A$196:$E$211,3,FALSE()))),AND($H14&lt;&gt;"",IFERROR(VLOOKUP($C14,_Données!$A$196:$E$211,4,FALSE()),"")&lt;&gt;"",OR($H14&lt;VLOOKUP($C14,_Données!$A$196:$E$211,4,FALSE()),$H14&gt;VLOOKUP($C14,_Données!$A$196:$E$211,5,FALSE())))),FALSE),"",IFERROR(IF(AND($R14&lt;&gt;"",$R14&lt;&gt;"Aucune option",NOT(OR($C14="Porte Lourde 1 vantail",$C14="Porte Lourde 2 vantaux"))),"⚠ Option valable uniquement pour Porte Lourde",IF(AE14&gt;0,"⚠ Option T/M incompatible avec la gamme",IF(V14=0,IF(AC14&gt;0,AC14,""),IF(V14=-1,"⚠ Dimension non disponible",(V14+W14+X14+Z14+AA14+AB14+AD14)*(1-Paramètres!$B$2)+AC14)))),""))),IF(IFERROR(OR(AND($G14&lt;&gt;"",IFERROR(VLOOKUP($C14,_Données!$A$196:$E$211,2,FALSE()),"")&lt;&gt;"",OR($G14&lt;VLOOKUP($C14,_Données!$A$196:$E$211,2,FALSE()),$G14&gt;VLOOKUP($C14,_Données!$A$196:$E$211,3,FALSE()))),AND($H14&lt;&gt;"",IFERROR(VLOOKUP($C14,_Données!$A$196:$E$211,4,FALSE()),"")&lt;&gt;"",OR($H14&lt;VLOOKUP($C14,_Données!$A$196:$E$211,4,FALSE()),$H14&gt;VLOOKUP($C14,_Données!$A$196:$E$211,5,FALSE())))),FALSE),"",IFERROR(IF(AND($R14&lt;&gt;"",$R14&lt;&gt;"Aucune option",NOT(OR($C14="Porte Lourde 1 vantail",$C14="Porte Lourde 2 vantaux"))),"⚠ Option valable uniquement pour Porte Lourde",IF(AE14&gt;0,"⚠ Option T/M incompatible avec la gamme",IF(V14=0,IF(AC14&gt;0,AC14,""),IF(V14=-1,"⚠ Dimension non disponible",(V14+W14+X14+Z14+AA14+AB14+AD14)*(1-Paramètres!$B$2)+AC14)))),""))+IF($L14="OUI",25,0),IF(IFERROR(OR(AND($G14&lt;&gt;"",IFERROR(VLOOKUP($C14,_Données!$A$196:$E$211,2,FALSE()),"")&lt;&gt;"",OR($G14&lt;VLOOKUP($C14,_Données!$A$196:$E$211,2,FALSE()),$G14&gt;VLOOKUP($C14,_Données!$A$196:$E$211,3,FALSE()))),AND($H14&lt;&gt;"",IFERROR(VLOOKUP($C14,_Données!$A$196:$E$211,4,FALSE()),"")&lt;&gt;"",OR($H14&lt;VLOOKUP($C14,_Données!$A$196:$E$211,4,FALSE()),$H14&gt;VLOOKUP($C14,_Données!$A$196:$E$211,5,FALSE())))),FALSE),"",IFERROR(IF(AND($R14&lt;&gt;"",$R14&lt;&gt;"Aucune option",NOT(OR($C14="Porte Lourde 1 vantail",$C14="Porte Lourde 2 vantaux"))),"⚠ Option valable uniquement pour Porte Lourde",IF(AE14&gt;0,"⚠ Option T/M incompatible avec la gamme",IF(V14=0,IF(AC14&gt;0,AC14,""),IF(V14=-1,"⚠ Dimension non disponible",(V14+W14+X14+Z14+AA14+AB14+AD14)*(1-Paramètres!$B$2)+AC14)))),""))),"")),IFERROR(IF(ISNUMBER(IF(IFERROR(OR(AND($G14&lt;&gt;"",IFERROR(VLOOKUP($C14,_Données!$A$196:$E$211,2,FALSE()),"")&lt;&gt;"",OR($G14&lt;VLOOKUP($C14,_Données!$A$196:$E$211,2,FALSE()),$G14&gt;VLOOKUP($C14,_Données!$A$196:$E$211,3,FALSE()))),AND($H14&lt;&gt;"",IFERROR(VLOOKUP($C14,_Données!$A$196:$E$211,4,FALSE()),"")&lt;&gt;"",OR($H14&lt;VLOOKUP($C14,_Données!$A$196:$E$211,4,FALSE()),$H14&gt;VLOOKUP($C14,_Données!$A$196:$E$211,5,FALSE())))),FALSE),"",IFERROR(IF(AND($R14&lt;&gt;"",$R14&lt;&gt;"Aucune option",NOT(OR($C14="Porte Lourde 1 vantail",$C14="Porte Lourde 2 vantaux"))),"⚠ Option valable uniquement pour Porte Lourde",IF(AE14&gt;0,"⚠ Option T/M incompatible avec la gamme",IF(V14=0,IF(AC14&gt;0,AC14,""),IF(V14=-1,"⚠ Dimension non disponible",(V14+W14+X14+Z14+AA14+AB14+AD14)*(1-Paramètres!$B$2)+AC14)))),""))),IF(IFERROR(OR(AND($G14&lt;&gt;"",IFERROR(VLOOKUP($C14,_Données!$A$196:$E$211,2,FALSE()),"")&lt;&gt;"",OR($G14&lt;VLOOKUP($C14,_Données!$A$196:$E$211,2,FALSE()),$G14&gt;VLOOKUP($C14,_Données!$A$196:$E$211,3,FALSE()))),AND($H14&lt;&gt;"",IFERROR(VLOOKUP($C14,_Données!$A$196:$E$211,4,FALSE()),"")&lt;&gt;"",OR($H14&lt;VLOOKUP($C14,_Données!$A$196:$E$211,4,FALSE()),$H14&gt;VLOOKUP($C14,_Données!$A$196:$E$211,5,FALSE())))),FALSE),"",IFERROR(IF(AND($R14&lt;&gt;"",$R14&lt;&gt;"Aucune option",NOT(OR($C14="Porte Lourde 1 vantail",$C14="Porte Lourde 2 vantaux"))),"⚠ Option valable uniquement pour Porte Lourde",IF(AE14&gt;0,"⚠ Option T/M incompatible avec la gamme",IF(V14=0,IF(AC14&gt;0,AC14,""),IF(V14=-1,"⚠ Dimension non disponible",(V14+W14+X14+Z14+AA14+AB14+AD14)*(1-Paramètres!$B$2)+AC14)))),""))+IF($L14="OUI",25,0),IF(IFERROR(OR(AND($G14&lt;&gt;"",IFERROR(VLOOKUP($C14,_Données!$A$196:$E$211,2,FALSE()),"")&lt;&gt;"",OR($G14&lt;VLOOKUP($C14,_Données!$A$196:$E$211,2,FALSE()),$G14&gt;VLOOKUP($C14,_Données!$A$196:$E$211,3,FALSE()))),AND($H14&lt;&gt;"",IFERROR(VLOOKUP($C14,_Données!$A$196:$E$211,4,FALSE()),"")&lt;&gt;"",OR($H14&lt;VLOOKUP($C14,_Données!$A$196:$E$211,4,FALSE()),$H14&gt;VLOOKUP($C14,_Données!$A$196:$E$211,5,FALSE())))),FALSE),"",IFERROR(IF(AND($R14&lt;&gt;"",$R14&lt;&gt;"Aucune option",NOT(OR($C14="Porte Lourde 1 vantail",$C14="Porte Lourde 2 vantaux"))),"⚠ Option valable uniquement pour Porte Lourde",IF(AE14&gt;0,"⚠ Option T/M incompatible avec la gamme",IF(V14=0,IF(AC14&gt;0,AC14,""),IF(V14=-1,"⚠ Dimension non disponible",(V14+W14+X14+Z14+AA14+AB14+AD14)*(1-Paramètres!$B$2)+AC14)))),""))),"")+IFERROR(VLOOKUP($P14,_Données!$A$218:$B$229,2,FALSE())*($G14+2*$H14)/1000,0)+IFERROR(VLOOKUP($Q14,_Données!$A$232:$B$236,2,FALSE())*$G14/1000,0),IFERROR(IF(ISNUMBER(IF(IFERROR(OR(AND($G14&lt;&gt;"",IFERROR(VLOOKUP($C14,_Données!$A$196:$E$211,2,FALSE()),"")&lt;&gt;"",OR($G14&lt;VLOOKUP($C14,_Données!$A$196:$E$211,2,FALSE()),$G14&gt;VLOOKUP($C14,_Données!$A$196:$E$211,3,FALSE()))),AND($H14&lt;&gt;"",IFERROR(VLOOKUP($C14,_Données!$A$196:$E$211,4,FALSE()),"")&lt;&gt;"",OR($H14&lt;VLOOKUP($C14,_Données!$A$196:$E$211,4,FALSE()),$H14&gt;VLOOKUP($C14,_Données!$A$196:$E$211,5,FALSE())))),FALSE),"",IFERROR(IF(AND($R14&lt;&gt;"",$R14&lt;&gt;"Aucune option",NOT(OR($C14="Porte Lourde 1 vantail",$C14="Porte Lourde 2 vantaux"))),"⚠ Option valable uniquement pour Porte Lourde",IF(AE14&gt;0,"⚠ Option T/M incompatible avec la gamme",IF(V14=0,IF(AC14&gt;0,AC14,""),IF(V14=-1,"⚠ Dimension non disponible",(V14+W14+X14+Z14+AA14+AB14+AD14)*(1-Paramètres!$B$2)+AC14)))),""))),IF(IFERROR(OR(AND($G14&lt;&gt;"",IFERROR(VLOOKUP($C14,_Données!$A$196:$E$211,2,FALSE()),"")&lt;&gt;"",OR($G14&lt;VLOOKUP($C14,_Données!$A$196:$E$211,2,FALSE()),$G14&gt;VLOOKUP($C14,_Données!$A$196:$E$211,3,FALSE()))),AND($H14&lt;&gt;"",IFERROR(VLOOKUP($C14,_Données!$A$196:$E$211,4,FALSE()),"")&lt;&gt;"",OR($H14&lt;VLOOKUP($C14,_Données!$A$196:$E$211,4,FALSE()),$H14&gt;VLOOKUP($C14,_Données!$A$196:$E$211,5,FALSE())))),FALSE),"",IFERROR(IF(AND($R14&lt;&gt;"",$R14&lt;&gt;"Aucune option",NOT(OR($C14="Porte Lourde 1 vantail",$C14="Porte Lourde 2 vantaux"))),"⚠ Option valable uniquement pour Porte Lourde",IF(AE14&gt;0,"⚠ Option T/M incompatible avec la gamme",IF(V14=0,IF(AC14&gt;0,AC14,""),IF(V14=-1,"⚠ Dimension non disponible",(V14+W14+X14+Z14+AA14+AB14+AD14)*(1-Paramètres!$B$2)+AC14)))),""))+IF($L14="OUI",25,0),IF(IFERROR(OR(AND($G14&lt;&gt;"",IFERROR(VLOOKUP($C14,_Données!$A$196:$E$211,2,FALSE()),"")&lt;&gt;"",OR($G14&lt;VLOOKUP($C14,_Données!$A$196:$E$211,2,FALSE()),$G14&gt;VLOOKUP($C14,_Données!$A$196:$E$211,3,FALSE()))),AND($H14&lt;&gt;"",IFERROR(VLOOKUP($C14,_Données!$A$196:$E$211,4,FALSE()),"")&lt;&gt;"",OR($H14&lt;VLOOKUP($C14,_Données!$A$196:$E$211,4,FALSE()),$H14&gt;VLOOKUP($C14,_Données!$A$196:$E$211,5,FALSE())))),FALSE),"",IFERROR(IF(AND($R14&lt;&gt;"",$R14&lt;&gt;"Aucune option",NOT(OR($C14="Porte Lourde 1 vantail",$C14="Porte Lourde 2 vantaux"))),"⚠ Option valable uniquement pour Porte Lourde",IF(AE14&gt;0,"⚠ Option T/M incompatible avec la gamme",IF(V14=0,IF(AC14&gt;0,AC14,""),IF(V14=-1,"⚠ Dimension non disponible",(V14+W14+X14+Z14+AA14+AB14+AD14)*(1-Paramètres!$B$2)+AC14)))),""))),"")),"")</f>
        <v>1198.931</v>
      </c>
      <c r="T14" s="27">
        <f t="shared" ref="T14:T23" ca="1" si="0">IFERROR(IF(OR(S14="",ISTEXT(S14)),"",S14*$I14),"")</f>
        <v>1198.931</v>
      </c>
      <c r="V14" s="28">
        <f ca="1">IFERROR(IF(OR($C14="",$G14="",$H14=""),0,IF(INDIRECT("'"&amp;VLOOKUP($C14,_Données!$A$3:$V$18,2,FALSE())&amp;"'!"&amp;ADDRESS((VLOOKUP($C14,_Données!$A$3:$V$18,12,FALSE())+IFERROR(MATCH(MAX(VLOOKUP($C14,_Données!$A$3:$V$18,18,FALSE()),MIN(VLOOKUP($C14,_Données!$A$3:$V$18,6,FALSE()),(VLOOKUP($C14,_Données!$A$3:$V$18,18,FALSE())+ROUND(($H14-VLOOKUP($C14,_Données!$A$3:$V$18,18,FALSE()))/VLOOKUP($C14,_Données!$A$3:$V$18,19,FALSE()),0)*VLOOKUP($C14,_Données!$A$3:$V$18,19,FALSE())))),INDIRECT("'"&amp;VLOOKUP($C14,_Données!$A$3:$V$18,2,FALSE())&amp;"'!"&amp;ADDRESS(VLOOKUP($C14,_Données!$A$3:$V$18,12,FALSE()),1,4)&amp;":"&amp;ADDRESS(VLOOKUP($C14,_Données!$A$3:$V$18,12,FALSE())+VLOOKUP($C14,_Données!$A$3:$V$18,15,FALSE())-1,1,4)),0),MATCH(MAX(VLOOKUP($C14,_Données!$A$3:$V$18,18,FALSE()),MIN(VLOOKUP($C14,_Données!$A$3:$V$18,6,FALSE()),(VLOOKUP($C14,_Données!$A$3:$V$18,18,FALSE())+ROUND(($H14-VLOOKUP($C14,_Données!$A$3:$V$18,18,FALSE()))/VLOOKUP($C14,_Données!$A$3:$V$18,19,FALSE()),0)*VLOOKUP($C14,_Données!$A$3:$V$18,19,FALSE())))),INDIRECT("'"&amp;VLOOKUP($C14,_Données!$A$3:$V$18,2,FALSE())&amp;"'!"&amp;ADDRESS(VLOOKUP($C14,_Données!$A$3:$V$18,12,FALSE()),1,4)&amp;":"&amp;ADDRESS(VLOOKUP($C14,_Données!$A$3:$V$18,12,FALSE())+VLOOKUP($C14,_Données!$A$3:$V$18,15,FALSE())-1,1,4)),1))-1),(VLOOKUP($C14,_Données!$A$3:$V$18,13,FALSE())+IFERROR(MATCH(MAX(VLOOKUP($C14,_Données!$A$3:$V$18,16,FALSE()),MIN(VLOOKUP($C14,_Données!$A$3:$V$18,4,FALSE()),(VLOOKUP($C14,_Données!$A$3:$V$18,16,FALSE())+ROUND(($G14-VLOOKUP($C14,_Données!$A$3:$V$18,16,FALSE()))/VLOOKUP($C14,_Données!$A$3:$V$18,17,FALSE()),0)*VLOOKUP($C14,_Données!$A$3:$V$18,17,FALSE())))),INDIRECT("'"&amp;VLOOKUP($C14,_Données!$A$3:$V$18,2,FALSE())&amp;"'!"&amp;ADDRESS(VLOOKUP($C14,_Données!$A$3:$V$18,12,FALSE())-1,VLOOKUP($C14,_Données!$A$3:$V$18,13,FALSE()),4)&amp;":"&amp;ADDRESS(VLOOKUP($C14,_Données!$A$3:$V$18,12,FALSE())-1,VLOOKUP($C14,_Données!$A$3:$V$18,13,FALSE())+VLOOKUP($C14,_Données!$A$3:$V$18,14,FALSE())-1,4)),0),MATCH(MAX(VLOOKUP($C14,_Données!$A$3:$V$18,16,FALSE()),MIN(VLOOKUP($C14,_Données!$A$3:$V$18,4,FALSE()),(VLOOKUP($C14,_Données!$A$3:$V$18,16,FALSE())+ROUND(($G14-VLOOKUP($C14,_Données!$A$3:$V$18,16,FALSE()))/VLOOKUP($C14,_Données!$A$3:$V$18,17,FALSE()),0)*VLOOKUP($C14,_Données!$A$3:$V$18,17,FALSE())))),INDIRECT("'"&amp;VLOOKUP($C14,_Données!$A$3:$V$18,2,FALSE())&amp;"'!"&amp;ADDRESS(VLOOKUP($C14,_Données!$A$3:$V$18,12,FALSE())-1,VLOOKUP($C14,_Données!$A$3:$V$18,13,FALSE()),4)&amp;":"&amp;ADDRESS(VLOOKUP($C14,_Données!$A$3:$V$18,12,FALSE())-1,VLOOKUP($C14,_Données!$A$3:$V$18,13,FALSE())+VLOOKUP($C14,_Données!$A$3:$V$18,14,FALSE())-1,4)),1))-1),4))="",-1,INDIRECT("'"&amp;VLOOKUP($C14,_Données!$A$3:$V$18,2,FALSE())&amp;"'!"&amp;ADDRESS((VLOOKUP($C14,_Données!$A$3:$V$18,12,FALSE())+IFERROR(MATCH(MAX(VLOOKUP($C14,_Données!$A$3:$V$18,18,FALSE()),MIN(VLOOKUP($C14,_Données!$A$3:$V$18,6,FALSE()),(VLOOKUP($C14,_Données!$A$3:$V$18,18,FALSE())+ROUND(($H14-VLOOKUP($C14,_Données!$A$3:$V$18,18,FALSE()))/VLOOKUP($C14,_Données!$A$3:$V$18,19,FALSE()),0)*VLOOKUP($C14,_Données!$A$3:$V$18,19,FALSE())))),INDIRECT("'"&amp;VLOOKUP($C14,_Données!$A$3:$V$18,2,FALSE())&amp;"'!"&amp;ADDRESS(VLOOKUP($C14,_Données!$A$3:$V$18,12,FALSE()),1,4)&amp;":"&amp;ADDRESS(VLOOKUP($C14,_Données!$A$3:$V$18,12,FALSE())+VLOOKUP($C14,_Données!$A$3:$V$18,15,FALSE())-1,1,4)),0),MATCH(MAX(VLOOKUP($C14,_Données!$A$3:$V$18,18,FALSE()),MIN(VLOOKUP($C14,_Données!$A$3:$V$18,6,FALSE()),(VLOOKUP($C14,_Données!$A$3:$V$18,18,FALSE())+ROUND(($H14-VLOOKUP($C14,_Données!$A$3:$V$18,18,FALSE()))/VLOOKUP($C14,_Données!$A$3:$V$18,19,FALSE()),0)*VLOOKUP($C14,_Données!$A$3:$V$18,19,FALSE())))),INDIRECT("'"&amp;VLOOKUP($C14,_Données!$A$3:$V$18,2,FALSE())&amp;"'!"&amp;ADDRESS(VLOOKUP($C14,_Données!$A$3:$V$18,12,FALSE()),1,4)&amp;":"&amp;ADDRESS(VLOOKUP($C14,_Données!$A$3:$V$18,12,FALSE())+VLOOKUP($C14,_Données!$A$3:$V$18,15,FALSE())-1,1,4)),1))-1),(VLOOKUP($C14,_Données!$A$3:$V$18,13,FALSE())+IFERROR(MATCH(MAX(VLOOKUP($C14,_Données!$A$3:$V$18,16,FALSE()),MIN(VLOOKUP($C14,_Données!$A$3:$V$18,4,FALSE()),(VLOOKUP($C14,_Données!$A$3:$V$18,16,FALSE())+ROUND(($G14-VLOOKUP($C14,_Données!$A$3:$V$18,16,FALSE()))/VLOOKUP($C14,_Données!$A$3:$V$18,17,FALSE()),0)*VLOOKUP($C14,_Données!$A$3:$V$18,17,FALSE())))),INDIRECT("'"&amp;VLOOKUP($C14,_Données!$A$3:$V$18,2,FALSE())&amp;"'!"&amp;ADDRESS(VLOOKUP($C14,_Données!$A$3:$V$18,12,FALSE())-1,VLOOKUP($C14,_Données!$A$3:$V$18,13,FALSE()),4)&amp;":"&amp;ADDRESS(VLOOKUP($C14,_Données!$A$3:$V$18,12,FALSE())-1,VLOOKUP($C14,_Données!$A$3:$V$18,13,FALSE())+VLOOKUP($C14,_Données!$A$3:$V$18,14,FALSE())-1,4)),0),MATCH(MAX(VLOOKUP($C14,_Données!$A$3:$V$18,16,FALSE()),MIN(VLOOKUP($C14,_Données!$A$3:$V$18,4,FALSE()),(VLOOKUP($C14,_Données!$A$3:$V$18,16,FALSE())+ROUND(($G14-VLOOKUP($C14,_Données!$A$3:$V$18,16,FALSE()))/VLOOKUP($C14,_Données!$A$3:$V$18,17,FALSE()),0)*VLOOKUP($C14,_Données!$A$3:$V$18,17,FALSE())))),INDIRECT("'"&amp;VLOOKUP($C14,_Données!$A$3:$V$18,2,FALSE())&amp;"'!"&amp;ADDRESS(VLOOKUP($C14,_Données!$A$3:$V$18,12,FALSE())-1,VLOOKUP($C14,_Données!$A$3:$V$18,13,FALSE()),4)&amp;":"&amp;ADDRESS(VLOOKUP($C14,_Données!$A$3:$V$18,12,FALSE())-1,VLOOKUP($C14,_Données!$A$3:$V$18,13,FALSE())+VLOOKUP($C14,_Données!$A$3:$V$18,14,FALSE())-1,4)),1))-1),4)))),0)</f>
        <v>1997</v>
      </c>
      <c r="W14" s="28">
        <f ca="1">IFERROR(IF(V14=0,0,IF(MAX(VLOOKUP($C14,_Données!$A$3:$V$18,18,FALSE()),MIN(VLOOKUP($C14,_Données!$A$3:$V$18,6,FALSE()),(VLOOKUP($C14,_Données!$A$3:$V$18,18,FALSE())+ROUND(($H14-VLOOKUP($C14,_Données!$A$3:$V$18,18,FALSE()))/VLOOKUP($C14,_Données!$A$3:$V$18,19,FALSE()),0)*VLOOKUP($C14,_Données!$A$3:$V$18,19,FALSE()))))&gt;=VLOOKUP($C14,_Données!$A$3:$V$18,10,FALSE()),V14*VLOOKUP($C14,_Données!$A$3:$V$18,11,FALSE()),0)),0)</f>
        <v>0</v>
      </c>
      <c r="X14" s="28">
        <f ca="1">IFERROR(IF(OR($D14="",V14=0),0,V14*VLOOKUP($D14,_Données!$A$21:$C$28,2,FALSE())),0)</f>
        <v>0</v>
      </c>
      <c r="Y14" s="28">
        <f>IFERROR(IF($D14="",0,VLOOKUP($D14,_Données!$A$21:$C$28,3,FALSE())),0)</f>
        <v>0</v>
      </c>
      <c r="Z14" s="28">
        <f>IFERROR(IF($E14="",0,VLOOKUP($E14,_Données!$A$48:$C$104,2,FALSE())),0)</f>
        <v>0</v>
      </c>
      <c r="AA14" s="28">
        <f>IFERROR(IF(OR($F14="",$G14="",$H14=""),0,VLOOKUP($F14,_Données!$A$33:$C$43,2,FALSE())*2*($G14+$H14)/1000),0)</f>
        <v>0</v>
      </c>
      <c r="AB14" s="28">
        <f ca="1">IFERROR(IF(OR($F14="",V14=0),0,V14*VLOOKUP($F14,_Données!$A$33:$C$43,3,FALSE())),0)</f>
        <v>0</v>
      </c>
      <c r="AC14" s="29">
        <f>IFERROR(IF(OR($R14="",$R14="Aucune option",NOT(OR($C14="Porte Lourde 1 vantail",$C14="Porte Lourde 2 vantaux"))),0,VLOOKUP($R14,_Données!$A$109:$C$125,2,FALSE())*0.75*IF(VLOOKUP($R14,_Données!$A$109:$C$125,3,FALSE())=1,IF($C14="Porte Lourde 1 vantail",1,IF($C14="Porte Lourde 2 vantaux",2,1)),1)*(1-Paramètres!$B$2)),0)</f>
        <v>0</v>
      </c>
      <c r="AD14">
        <f>IFERROR(IF(OR($M14="",$M14="Aucune"),0,VLOOKUP($C14&amp;"|"&amp;$M14,_Données!$A$132:$B$146,2,FALSE())*IF(LEFT($M14,8)="Traverse",$G14,$H14)/1000),0)+IFERROR(IF(OR($N14="",$N14="Aucune"),0,VLOOKUP($C14&amp;"|"&amp;$N14,_Données!$A$132:$B$146,2,FALSE())*IF(LEFT($N14,8)="Traverse",$G14,$H14)/1000),0)+IFERROR(IF(OR($O14="",$O14="Aucune"),0,VLOOKUP($C14&amp;"|"&amp;$O14,_Données!$A$132:$B$146,2,FALSE())*IF(LEFT($O14,8)="Traverse",$G14,$H14)/1000),0)</f>
        <v>0</v>
      </c>
      <c r="AE14">
        <f>IF(AND($M14&lt;&gt;"",$M14&lt;&gt;"Aucune"),IF(ISNA(VLOOKUP($C14&amp;"|"&amp;$M14,_Données!$A$132:$B$146,2,FALSE())),1,0),0)+IF(AND($N14&lt;&gt;"",$N14&lt;&gt;"Aucune"),IF(ISNA(VLOOKUP($C14&amp;"|"&amp;$N14,_Données!$A$132:$B$146,2,FALSE())),1,0),0)+IF(AND($O14&lt;&gt;"",$O14&lt;&gt;"Aucune"),IF(ISNA(VLOOKUP($C14&amp;"|"&amp;$O14,_Données!$A$132:$B$146,2,FALSE())),1,0),0)</f>
        <v>0</v>
      </c>
      <c r="AF14" t="str">
        <f t="shared" ref="AF14:AF23" si="1">IF(LEFT($M14,8)="Traverse",$M14,"")</f>
        <v/>
      </c>
      <c r="AG14" t="str">
        <f t="shared" ref="AG14:AG23" si="2">IF(LEFT($N14,8)="Traverse",$N14,"")</f>
        <v/>
      </c>
      <c r="AH14" t="str">
        <f t="shared" ref="AH14:AH23" si="3">IF(LEFT($O14,8)="Traverse",$O14,"")</f>
        <v/>
      </c>
      <c r="AI14" t="str">
        <f t="shared" ref="AI14:AI23" si="4">IF(LEFT($M14,6)="Meneau",$M14,"")</f>
        <v/>
      </c>
      <c r="AJ14" t="str">
        <f t="shared" ref="AJ14:AJ23" si="5">IF(LEFT($N14,6)="Meneau",$N14,"")</f>
        <v/>
      </c>
      <c r="AK14" t="str">
        <f t="shared" ref="AK14:AK23" si="6">IF(LEFT($O14,6)="Meneau",$O14,"")</f>
        <v/>
      </c>
      <c r="AL14" t="str">
        <f t="shared" ref="AL14:AL23" si="7">IF(AND(AF14="",AG14="",AH14=""),"",CHAR(10)&amp;"Traverses : "&amp;AF14&amp;IF(AND(AF14&lt;&gt;"",AG14&lt;&gt;""),", ","")&amp;AG14&amp;IF(AND(OR(AF14&lt;&gt;"",AG14&lt;&gt;""),AH14&lt;&gt;""),", ","")&amp;AH14)</f>
        <v/>
      </c>
      <c r="AM14" t="str">
        <f t="shared" ref="AM14:AM23" si="8">IF(AND(AI14="",AJ14="",AK14=""),"",CHAR(10)&amp;"Meneaux : "&amp;AI14&amp;IF(AND(AI14&lt;&gt;"",AJ14&lt;&gt;""),", ","")&amp;AJ14&amp;IF(AND(OR(AI14&lt;&gt;"",AJ14&lt;&gt;""),AK14&lt;&gt;""),", ","")&amp;AK14)</f>
        <v/>
      </c>
    </row>
    <row r="15" spans="1:39" ht="111" customHeight="1" x14ac:dyDescent="0.25">
      <c r="A15" s="30">
        <v>2</v>
      </c>
      <c r="B15" s="31"/>
      <c r="C15" s="31"/>
      <c r="D15" s="31"/>
      <c r="E15" s="31"/>
      <c r="F15" s="31"/>
      <c r="G15" s="32"/>
      <c r="H15" s="32"/>
      <c r="I15" s="32"/>
      <c r="J15" s="33"/>
      <c r="K15" s="34"/>
      <c r="L15" s="142"/>
      <c r="M15" s="31"/>
      <c r="N15" s="31"/>
      <c r="O15" s="31"/>
      <c r="P15" s="31"/>
      <c r="Q15" s="31"/>
      <c r="R15" s="31"/>
      <c r="S15" s="35" t="str">
        <f ca="1">IFERROR(IF(ISNUMBER(IFERROR(IF(ISNUMBER(IF(IFERROR(OR(AND($G15&lt;&gt;"",IFERROR(VLOOKUP($C15,_Données!$A$196:$E$211,2,FALSE()),"")&lt;&gt;"",OR($G15&lt;VLOOKUP($C15,_Données!$A$196:$E$211,2,FALSE()),$G15&gt;VLOOKUP($C15,_Données!$A$196:$E$211,3,FALSE()))),AND($H15&lt;&gt;"",IFERROR(VLOOKUP($C15,_Données!$A$196:$E$211,4,FALSE()),"")&lt;&gt;"",OR($H15&lt;VLOOKUP($C15,_Données!$A$196:$E$211,4,FALSE()),$H15&gt;VLOOKUP($C15,_Données!$A$196:$E$211,5,FALSE())))),FALSE),"",IFERROR(IF(AND($R15&lt;&gt;"",$R15&lt;&gt;"Aucune option",NOT(OR($C15="Porte Lourde 1 vantail",$C15="Porte Lourde 2 vantaux"))),"⚠ Option valable uniquement pour Porte Lourde",IF(AE15&gt;0,"⚠ Option T/M incompatible avec la gamme",IF(V15=0,IF(AC15&gt;0,AC15,""),IF(V15=-1,"⚠ Dimension non disponible",(V15+W15+X15+Z15+AA15+AB15+AD15)*(1-Paramètres!$B$2)+AC15)))),""))),IF(IFERROR(OR(AND($G15&lt;&gt;"",IFERROR(VLOOKUP($C15,_Données!$A$196:$E$211,2,FALSE()),"")&lt;&gt;"",OR($G15&lt;VLOOKUP($C15,_Données!$A$196:$E$211,2,FALSE()),$G15&gt;VLOOKUP($C15,_Données!$A$196:$E$211,3,FALSE()))),AND($H15&lt;&gt;"",IFERROR(VLOOKUP($C15,_Données!$A$196:$E$211,4,FALSE()),"")&lt;&gt;"",OR($H15&lt;VLOOKUP($C15,_Données!$A$196:$E$211,4,FALSE()),$H15&gt;VLOOKUP($C15,_Données!$A$196:$E$211,5,FALSE())))),FALSE),"",IFERROR(IF(AND($R15&lt;&gt;"",$R15&lt;&gt;"Aucune option",NOT(OR($C15="Porte Lourde 1 vantail",$C15="Porte Lourde 2 vantaux"))),"⚠ Option valable uniquement pour Porte Lourde",IF(AE15&gt;0,"⚠ Option T/M incompatible avec la gamme",IF(V15=0,IF(AC15&gt;0,AC15,""),IF(V15=-1,"⚠ Dimension non disponible",(V15+W15+X15+Z15+AA15+AB15+AD15)*(1-Paramètres!$B$2)+AC15)))),""))+IF($L15="OUI",25,0),IF(IFERROR(OR(AND($G15&lt;&gt;"",IFERROR(VLOOKUP($C15,_Données!$A$196:$E$211,2,FALSE()),"")&lt;&gt;"",OR($G15&lt;VLOOKUP($C15,_Données!$A$196:$E$211,2,FALSE()),$G15&gt;VLOOKUP($C15,_Données!$A$196:$E$211,3,FALSE()))),AND($H15&lt;&gt;"",IFERROR(VLOOKUP($C15,_Données!$A$196:$E$211,4,FALSE()),"")&lt;&gt;"",OR($H15&lt;VLOOKUP($C15,_Données!$A$196:$E$211,4,FALSE()),$H15&gt;VLOOKUP($C15,_Données!$A$196:$E$211,5,FALSE())))),FALSE),"",IFERROR(IF(AND($R15&lt;&gt;"",$R15&lt;&gt;"Aucune option",NOT(OR($C15="Porte Lourde 1 vantail",$C15="Porte Lourde 2 vantaux"))),"⚠ Option valable uniquement pour Porte Lourde",IF(AE15&gt;0,"⚠ Option T/M incompatible avec la gamme",IF(V15=0,IF(AC15&gt;0,AC15,""),IF(V15=-1,"⚠ Dimension non disponible",(V15+W15+X15+Z15+AA15+AB15+AD15)*(1-Paramètres!$B$2)+AC15)))),""))),"")),IFERROR(IF(ISNUMBER(IF(IFERROR(OR(AND($G15&lt;&gt;"",IFERROR(VLOOKUP($C15,_Données!$A$196:$E$211,2,FALSE()),"")&lt;&gt;"",OR($G15&lt;VLOOKUP($C15,_Données!$A$196:$E$211,2,FALSE()),$G15&gt;VLOOKUP($C15,_Données!$A$196:$E$211,3,FALSE()))),AND($H15&lt;&gt;"",IFERROR(VLOOKUP($C15,_Données!$A$196:$E$211,4,FALSE()),"")&lt;&gt;"",OR($H15&lt;VLOOKUP($C15,_Données!$A$196:$E$211,4,FALSE()),$H15&gt;VLOOKUP($C15,_Données!$A$196:$E$211,5,FALSE())))),FALSE),"",IFERROR(IF(AND($R15&lt;&gt;"",$R15&lt;&gt;"Aucune option",NOT(OR($C15="Porte Lourde 1 vantail",$C15="Porte Lourde 2 vantaux"))),"⚠ Option valable uniquement pour Porte Lourde",IF(AE15&gt;0,"⚠ Option T/M incompatible avec la gamme",IF(V15=0,IF(AC15&gt;0,AC15,""),IF(V15=-1,"⚠ Dimension non disponible",(V15+W15+X15+Z15+AA15+AB15+AD15)*(1-Paramètres!$B$2)+AC15)))),""))),IF(IFERROR(OR(AND($G15&lt;&gt;"",IFERROR(VLOOKUP($C15,_Données!$A$196:$E$211,2,FALSE()),"")&lt;&gt;"",OR($G15&lt;VLOOKUP($C15,_Données!$A$196:$E$211,2,FALSE()),$G15&gt;VLOOKUP($C15,_Données!$A$196:$E$211,3,FALSE()))),AND($H15&lt;&gt;"",IFERROR(VLOOKUP($C15,_Données!$A$196:$E$211,4,FALSE()),"")&lt;&gt;"",OR($H15&lt;VLOOKUP($C15,_Données!$A$196:$E$211,4,FALSE()),$H15&gt;VLOOKUP($C15,_Données!$A$196:$E$211,5,FALSE())))),FALSE),"",IFERROR(IF(AND($R15&lt;&gt;"",$R15&lt;&gt;"Aucune option",NOT(OR($C15="Porte Lourde 1 vantail",$C15="Porte Lourde 2 vantaux"))),"⚠ Option valable uniquement pour Porte Lourde",IF(AE15&gt;0,"⚠ Option T/M incompatible avec la gamme",IF(V15=0,IF(AC15&gt;0,AC15,""),IF(V15=-1,"⚠ Dimension non disponible",(V15+W15+X15+Z15+AA15+AB15+AD15)*(1-Paramètres!$B$2)+AC15)))),""))+IF($L15="OUI",25,0),IF(IFERROR(OR(AND($G15&lt;&gt;"",IFERROR(VLOOKUP($C15,_Données!$A$196:$E$211,2,FALSE()),"")&lt;&gt;"",OR($G15&lt;VLOOKUP($C15,_Données!$A$196:$E$211,2,FALSE()),$G15&gt;VLOOKUP($C15,_Données!$A$196:$E$211,3,FALSE()))),AND($H15&lt;&gt;"",IFERROR(VLOOKUP($C15,_Données!$A$196:$E$211,4,FALSE()),"")&lt;&gt;"",OR($H15&lt;VLOOKUP($C15,_Données!$A$196:$E$211,4,FALSE()),$H15&gt;VLOOKUP($C15,_Données!$A$196:$E$211,5,FALSE())))),FALSE),"",IFERROR(IF(AND($R15&lt;&gt;"",$R15&lt;&gt;"Aucune option",NOT(OR($C15="Porte Lourde 1 vantail",$C15="Porte Lourde 2 vantaux"))),"⚠ Option valable uniquement pour Porte Lourde",IF(AE15&gt;0,"⚠ Option T/M incompatible avec la gamme",IF(V15=0,IF(AC15&gt;0,AC15,""),IF(V15=-1,"⚠ Dimension non disponible",(V15+W15+X15+Z15+AA15+AB15+AD15)*(1-Paramètres!$B$2)+AC15)))),""))),"")+IFERROR(VLOOKUP($P15,_Données!$A$218:$B$229,2,FALSE())*($G15+2*$H15)/1000,0)+IFERROR(VLOOKUP($Q15,_Données!$A$232:$B$236,2,FALSE())*$G15/1000,0),IFERROR(IF(ISNUMBER(IF(IFERROR(OR(AND($G15&lt;&gt;"",IFERROR(VLOOKUP($C15,_Données!$A$196:$E$211,2,FALSE()),"")&lt;&gt;"",OR($G15&lt;VLOOKUP($C15,_Données!$A$196:$E$211,2,FALSE()),$G15&gt;VLOOKUP($C15,_Données!$A$196:$E$211,3,FALSE()))),AND($H15&lt;&gt;"",IFERROR(VLOOKUP($C15,_Données!$A$196:$E$211,4,FALSE()),"")&lt;&gt;"",OR($H15&lt;VLOOKUP($C15,_Données!$A$196:$E$211,4,FALSE()),$H15&gt;VLOOKUP($C15,_Données!$A$196:$E$211,5,FALSE())))),FALSE),"",IFERROR(IF(AND($R15&lt;&gt;"",$R15&lt;&gt;"Aucune option",NOT(OR($C15="Porte Lourde 1 vantail",$C15="Porte Lourde 2 vantaux"))),"⚠ Option valable uniquement pour Porte Lourde",IF(AE15&gt;0,"⚠ Option T/M incompatible avec la gamme",IF(V15=0,IF(AC15&gt;0,AC15,""),IF(V15=-1,"⚠ Dimension non disponible",(V15+W15+X15+Z15+AA15+AB15+AD15)*(1-Paramètres!$B$2)+AC15)))),""))),IF(IFERROR(OR(AND($G15&lt;&gt;"",IFERROR(VLOOKUP($C15,_Données!$A$196:$E$211,2,FALSE()),"")&lt;&gt;"",OR($G15&lt;VLOOKUP($C15,_Données!$A$196:$E$211,2,FALSE()),$G15&gt;VLOOKUP($C15,_Données!$A$196:$E$211,3,FALSE()))),AND($H15&lt;&gt;"",IFERROR(VLOOKUP($C15,_Données!$A$196:$E$211,4,FALSE()),"")&lt;&gt;"",OR($H15&lt;VLOOKUP($C15,_Données!$A$196:$E$211,4,FALSE()),$H15&gt;VLOOKUP($C15,_Données!$A$196:$E$211,5,FALSE())))),FALSE),"",IFERROR(IF(AND($R15&lt;&gt;"",$R15&lt;&gt;"Aucune option",NOT(OR($C15="Porte Lourde 1 vantail",$C15="Porte Lourde 2 vantaux"))),"⚠ Option valable uniquement pour Porte Lourde",IF(AE15&gt;0,"⚠ Option T/M incompatible avec la gamme",IF(V15=0,IF(AC15&gt;0,AC15,""),IF(V15=-1,"⚠ Dimension non disponible",(V15+W15+X15+Z15+AA15+AB15+AD15)*(1-Paramètres!$B$2)+AC15)))),""))+IF($L15="OUI",25,0),IF(IFERROR(OR(AND($G15&lt;&gt;"",IFERROR(VLOOKUP($C15,_Données!$A$196:$E$211,2,FALSE()),"")&lt;&gt;"",OR($G15&lt;VLOOKUP($C15,_Données!$A$196:$E$211,2,FALSE()),$G15&gt;VLOOKUP($C15,_Données!$A$196:$E$211,3,FALSE()))),AND($H15&lt;&gt;"",IFERROR(VLOOKUP($C15,_Données!$A$196:$E$211,4,FALSE()),"")&lt;&gt;"",OR($H15&lt;VLOOKUP($C15,_Données!$A$196:$E$211,4,FALSE()),$H15&gt;VLOOKUP($C15,_Données!$A$196:$E$211,5,FALSE())))),FALSE),"",IFERROR(IF(AND($R15&lt;&gt;"",$R15&lt;&gt;"Aucune option",NOT(OR($C15="Porte Lourde 1 vantail",$C15="Porte Lourde 2 vantaux"))),"⚠ Option valable uniquement pour Porte Lourde",IF(AE15&gt;0,"⚠ Option T/M incompatible avec la gamme",IF(V15=0,IF(AC15&gt;0,AC15,""),IF(V15=-1,"⚠ Dimension non disponible",(V15+W15+X15+Z15+AA15+AB15+AD15)*(1-Paramètres!$B$2)+AC15)))),""))),"")),"")</f>
        <v/>
      </c>
      <c r="T15" s="36" t="str">
        <f t="shared" ca="1" si="0"/>
        <v/>
      </c>
      <c r="V15" s="28">
        <f ca="1">IFERROR(IF(OR($C15="",$G15="",$H15=""),0,IF(INDIRECT("'"&amp;VLOOKUP($C15,_Données!$A$3:$V$18,2,FALSE())&amp;"'!"&amp;ADDRESS((VLOOKUP($C15,_Données!$A$3:$V$18,12,FALSE())+IFERROR(MATCH(MAX(VLOOKUP($C15,_Données!$A$3:$V$18,18,FALSE()),MIN(VLOOKUP($C15,_Données!$A$3:$V$18,6,FALSE()),(VLOOKUP($C15,_Données!$A$3:$V$18,18,FALSE())+ROUND(($H15-VLOOKUP($C15,_Données!$A$3:$V$18,18,FALSE()))/VLOOKUP($C15,_Données!$A$3:$V$18,19,FALSE()),0)*VLOOKUP($C15,_Données!$A$3:$V$18,19,FALSE())))),INDIRECT("'"&amp;VLOOKUP($C15,_Données!$A$3:$V$18,2,FALSE())&amp;"'!"&amp;ADDRESS(VLOOKUP($C15,_Données!$A$3:$V$18,12,FALSE()),1,4)&amp;":"&amp;ADDRESS(VLOOKUP($C15,_Données!$A$3:$V$18,12,FALSE())+VLOOKUP($C15,_Données!$A$3:$V$18,15,FALSE())-1,1,4)),0),MATCH(MAX(VLOOKUP($C15,_Données!$A$3:$V$18,18,FALSE()),MIN(VLOOKUP($C15,_Données!$A$3:$V$18,6,FALSE()),(VLOOKUP($C15,_Données!$A$3:$V$18,18,FALSE())+ROUND(($H15-VLOOKUP($C15,_Données!$A$3:$V$18,18,FALSE()))/VLOOKUP($C15,_Données!$A$3:$V$18,19,FALSE()),0)*VLOOKUP($C15,_Données!$A$3:$V$18,19,FALSE())))),INDIRECT("'"&amp;VLOOKUP($C15,_Données!$A$3:$V$18,2,FALSE())&amp;"'!"&amp;ADDRESS(VLOOKUP($C15,_Données!$A$3:$V$18,12,FALSE()),1,4)&amp;":"&amp;ADDRESS(VLOOKUP($C15,_Données!$A$3:$V$18,12,FALSE())+VLOOKUP($C15,_Données!$A$3:$V$18,15,FALSE())-1,1,4)),1))-1),(VLOOKUP($C15,_Données!$A$3:$V$18,13,FALSE())+IFERROR(MATCH(MAX(VLOOKUP($C15,_Données!$A$3:$V$18,16,FALSE()),MIN(VLOOKUP($C15,_Données!$A$3:$V$18,4,FALSE()),(VLOOKUP($C15,_Données!$A$3:$V$18,16,FALSE())+ROUND(($G15-VLOOKUP($C15,_Données!$A$3:$V$18,16,FALSE()))/VLOOKUP($C15,_Données!$A$3:$V$18,17,FALSE()),0)*VLOOKUP($C15,_Données!$A$3:$V$18,17,FALSE())))),INDIRECT("'"&amp;VLOOKUP($C15,_Données!$A$3:$V$18,2,FALSE())&amp;"'!"&amp;ADDRESS(VLOOKUP($C15,_Données!$A$3:$V$18,12,FALSE())-1,VLOOKUP($C15,_Données!$A$3:$V$18,13,FALSE()),4)&amp;":"&amp;ADDRESS(VLOOKUP($C15,_Données!$A$3:$V$18,12,FALSE())-1,VLOOKUP($C15,_Données!$A$3:$V$18,13,FALSE())+VLOOKUP($C15,_Données!$A$3:$V$18,14,FALSE())-1,4)),0),MATCH(MAX(VLOOKUP($C15,_Données!$A$3:$V$18,16,FALSE()),MIN(VLOOKUP($C15,_Données!$A$3:$V$18,4,FALSE()),(VLOOKUP($C15,_Données!$A$3:$V$18,16,FALSE())+ROUND(($G15-VLOOKUP($C15,_Données!$A$3:$V$18,16,FALSE()))/VLOOKUP($C15,_Données!$A$3:$V$18,17,FALSE()),0)*VLOOKUP($C15,_Données!$A$3:$V$18,17,FALSE())))),INDIRECT("'"&amp;VLOOKUP($C15,_Données!$A$3:$V$18,2,FALSE())&amp;"'!"&amp;ADDRESS(VLOOKUP($C15,_Données!$A$3:$V$18,12,FALSE())-1,VLOOKUP($C15,_Données!$A$3:$V$18,13,FALSE()),4)&amp;":"&amp;ADDRESS(VLOOKUP($C15,_Données!$A$3:$V$18,12,FALSE())-1,VLOOKUP($C15,_Données!$A$3:$V$18,13,FALSE())+VLOOKUP($C15,_Données!$A$3:$V$18,14,FALSE())-1,4)),1))-1),4))="",-1,INDIRECT("'"&amp;VLOOKUP($C15,_Données!$A$3:$V$18,2,FALSE())&amp;"'!"&amp;ADDRESS((VLOOKUP($C15,_Données!$A$3:$V$18,12,FALSE())+IFERROR(MATCH(MAX(VLOOKUP($C15,_Données!$A$3:$V$18,18,FALSE()),MIN(VLOOKUP($C15,_Données!$A$3:$V$18,6,FALSE()),(VLOOKUP($C15,_Données!$A$3:$V$18,18,FALSE())+ROUND(($H15-VLOOKUP($C15,_Données!$A$3:$V$18,18,FALSE()))/VLOOKUP($C15,_Données!$A$3:$V$18,19,FALSE()),0)*VLOOKUP($C15,_Données!$A$3:$V$18,19,FALSE())))),INDIRECT("'"&amp;VLOOKUP($C15,_Données!$A$3:$V$18,2,FALSE())&amp;"'!"&amp;ADDRESS(VLOOKUP($C15,_Données!$A$3:$V$18,12,FALSE()),1,4)&amp;":"&amp;ADDRESS(VLOOKUP($C15,_Données!$A$3:$V$18,12,FALSE())+VLOOKUP($C15,_Données!$A$3:$V$18,15,FALSE())-1,1,4)),0),MATCH(MAX(VLOOKUP($C15,_Données!$A$3:$V$18,18,FALSE()),MIN(VLOOKUP($C15,_Données!$A$3:$V$18,6,FALSE()),(VLOOKUP($C15,_Données!$A$3:$V$18,18,FALSE())+ROUND(($H15-VLOOKUP($C15,_Données!$A$3:$V$18,18,FALSE()))/VLOOKUP($C15,_Données!$A$3:$V$18,19,FALSE()),0)*VLOOKUP($C15,_Données!$A$3:$V$18,19,FALSE())))),INDIRECT("'"&amp;VLOOKUP($C15,_Données!$A$3:$V$18,2,FALSE())&amp;"'!"&amp;ADDRESS(VLOOKUP($C15,_Données!$A$3:$V$18,12,FALSE()),1,4)&amp;":"&amp;ADDRESS(VLOOKUP($C15,_Données!$A$3:$V$18,12,FALSE())+VLOOKUP($C15,_Données!$A$3:$V$18,15,FALSE())-1,1,4)),1))-1),(VLOOKUP($C15,_Données!$A$3:$V$18,13,FALSE())+IFERROR(MATCH(MAX(VLOOKUP($C15,_Données!$A$3:$V$18,16,FALSE()),MIN(VLOOKUP($C15,_Données!$A$3:$V$18,4,FALSE()),(VLOOKUP($C15,_Données!$A$3:$V$18,16,FALSE())+ROUND(($G15-VLOOKUP($C15,_Données!$A$3:$V$18,16,FALSE()))/VLOOKUP($C15,_Données!$A$3:$V$18,17,FALSE()),0)*VLOOKUP($C15,_Données!$A$3:$V$18,17,FALSE())))),INDIRECT("'"&amp;VLOOKUP($C15,_Données!$A$3:$V$18,2,FALSE())&amp;"'!"&amp;ADDRESS(VLOOKUP($C15,_Données!$A$3:$V$18,12,FALSE())-1,VLOOKUP($C15,_Données!$A$3:$V$18,13,FALSE()),4)&amp;":"&amp;ADDRESS(VLOOKUP($C15,_Données!$A$3:$V$18,12,FALSE())-1,VLOOKUP($C15,_Données!$A$3:$V$18,13,FALSE())+VLOOKUP($C15,_Données!$A$3:$V$18,14,FALSE())-1,4)),0),MATCH(MAX(VLOOKUP($C15,_Données!$A$3:$V$18,16,FALSE()),MIN(VLOOKUP($C15,_Données!$A$3:$V$18,4,FALSE()),(VLOOKUP($C15,_Données!$A$3:$V$18,16,FALSE())+ROUND(($G15-VLOOKUP($C15,_Données!$A$3:$V$18,16,FALSE()))/VLOOKUP($C15,_Données!$A$3:$V$18,17,FALSE()),0)*VLOOKUP($C15,_Données!$A$3:$V$18,17,FALSE())))),INDIRECT("'"&amp;VLOOKUP($C15,_Données!$A$3:$V$18,2,FALSE())&amp;"'!"&amp;ADDRESS(VLOOKUP($C15,_Données!$A$3:$V$18,12,FALSE())-1,VLOOKUP($C15,_Données!$A$3:$V$18,13,FALSE()),4)&amp;":"&amp;ADDRESS(VLOOKUP($C15,_Données!$A$3:$V$18,12,FALSE())-1,VLOOKUP($C15,_Données!$A$3:$V$18,13,FALSE())+VLOOKUP($C15,_Données!$A$3:$V$18,14,FALSE())-1,4)),1))-1),4)))),0)</f>
        <v>0</v>
      </c>
      <c r="W15" s="28">
        <f ca="1">IFERROR(IF(V15=0,0,IF(MAX(VLOOKUP($C15,_Données!$A$3:$V$18,18,FALSE()),MIN(VLOOKUP($C15,_Données!$A$3:$V$18,6,FALSE()),(VLOOKUP($C15,_Données!$A$3:$V$18,18,FALSE())+ROUND(($H15-VLOOKUP($C15,_Données!$A$3:$V$18,18,FALSE()))/VLOOKUP($C15,_Données!$A$3:$V$18,19,FALSE()),0)*VLOOKUP($C15,_Données!$A$3:$V$18,19,FALSE()))))&gt;=VLOOKUP($C15,_Données!$A$3:$V$18,10,FALSE()),V15*VLOOKUP($C15,_Données!$A$3:$V$18,11,FALSE()),0)),0)</f>
        <v>0</v>
      </c>
      <c r="X15" s="28">
        <f ca="1">IFERROR(IF(OR($D15="",V15=0),0,V15*VLOOKUP($D15,_Données!$A$21:$C$28,2,FALSE())),0)</f>
        <v>0</v>
      </c>
      <c r="Y15" s="28">
        <f>IFERROR(IF($D15="",0,VLOOKUP($D15,_Données!$A$21:$C$28,3,FALSE())),0)</f>
        <v>0</v>
      </c>
      <c r="Z15" s="28">
        <f>IFERROR(IF($E15="",0,VLOOKUP($E15,_Données!$A$48:$C$104,2,FALSE())),0)</f>
        <v>0</v>
      </c>
      <c r="AA15" s="28">
        <f>IFERROR(IF(OR($F15="",$G15="",$H15=""),0,VLOOKUP($F15,_Données!$A$33:$C$43,2,FALSE())*2*($G15+$H15)/1000),0)</f>
        <v>0</v>
      </c>
      <c r="AB15" s="28">
        <f ca="1">IFERROR(IF(OR($F15="",V15=0),0,V15*VLOOKUP($F15,_Données!$A$33:$C$43,3,FALSE())),0)</f>
        <v>0</v>
      </c>
      <c r="AC15" s="29">
        <f>IFERROR(IF(OR($R15="",$R15="Aucune option",NOT(OR($C15="Porte Lourde 1 vantail",$C15="Porte Lourde 2 vantaux"))),0,VLOOKUP($R15,_Données!$A$109:$C$125,2,FALSE())*0.75*IF(VLOOKUP($R15,_Données!$A$109:$C$125,3,FALSE())=1,IF($C15="Porte Lourde 1 vantail",1,IF($C15="Porte Lourde 2 vantaux",2,1)),1)*(1-Paramètres!$B$2)),0)</f>
        <v>0</v>
      </c>
      <c r="AD15">
        <f>IFERROR(IF(OR($M15="",$M15="Aucune"),0,VLOOKUP($C15&amp;"|"&amp;$M15,_Données!$A$132:$B$146,2,FALSE())*IF(LEFT($M15,8)="Traverse",$G15,$H15)/1000),0)+IFERROR(IF(OR($N15="",$N15="Aucune"),0,VLOOKUP($C15&amp;"|"&amp;$N15,_Données!$A$132:$B$146,2,FALSE())*IF(LEFT($N15,8)="Traverse",$G15,$H15)/1000),0)+IFERROR(IF(OR($O15="",$O15="Aucune"),0,VLOOKUP($C15&amp;"|"&amp;$O15,_Données!$A$132:$B$146,2,FALSE())*IF(LEFT($O15,8)="Traverse",$G15,$H15)/1000),0)</f>
        <v>0</v>
      </c>
      <c r="AE15">
        <f>IF(AND($M15&lt;&gt;"",$M15&lt;&gt;"Aucune"),IF(ISNA(VLOOKUP($C15&amp;"|"&amp;$M15,_Données!$A$132:$B$146,2,FALSE())),1,0),0)+IF(AND($N15&lt;&gt;"",$N15&lt;&gt;"Aucune"),IF(ISNA(VLOOKUP($C15&amp;"|"&amp;$N15,_Données!$A$132:$B$146,2,FALSE())),1,0),0)+IF(AND($O15&lt;&gt;"",$O15&lt;&gt;"Aucune"),IF(ISNA(VLOOKUP($C15&amp;"|"&amp;$O15,_Données!$A$132:$B$146,2,FALSE())),1,0),0)</f>
        <v>0</v>
      </c>
      <c r="AF15" t="str">
        <f t="shared" si="1"/>
        <v/>
      </c>
      <c r="AG15" t="str">
        <f t="shared" si="2"/>
        <v/>
      </c>
      <c r="AH15" t="str">
        <f t="shared" si="3"/>
        <v/>
      </c>
      <c r="AI15" t="str">
        <f t="shared" si="4"/>
        <v/>
      </c>
      <c r="AJ15" t="str">
        <f t="shared" si="5"/>
        <v/>
      </c>
      <c r="AK15" t="str">
        <f t="shared" si="6"/>
        <v/>
      </c>
      <c r="AL15" t="str">
        <f t="shared" si="7"/>
        <v/>
      </c>
      <c r="AM15" t="str">
        <f t="shared" si="8"/>
        <v/>
      </c>
    </row>
    <row r="16" spans="1:39" ht="111" customHeight="1" x14ac:dyDescent="0.25">
      <c r="A16" s="22">
        <v>3</v>
      </c>
      <c r="B16" s="17"/>
      <c r="C16" s="17"/>
      <c r="D16" s="17"/>
      <c r="E16" s="17"/>
      <c r="F16" s="17"/>
      <c r="G16" s="23"/>
      <c r="H16" s="23"/>
      <c r="I16" s="23"/>
      <c r="J16" s="24"/>
      <c r="K16" s="37"/>
      <c r="L16" s="140"/>
      <c r="M16" s="17"/>
      <c r="N16" s="17"/>
      <c r="O16" s="17"/>
      <c r="P16" s="17"/>
      <c r="Q16" s="17"/>
      <c r="R16" s="17"/>
      <c r="S16" s="26" t="str">
        <f ca="1">IFERROR(IF(ISNUMBER(IFERROR(IF(ISNUMBER(IF(IFERROR(OR(AND($G16&lt;&gt;"",IFERROR(VLOOKUP($C16,_Données!$A$196:$E$211,2,FALSE()),"")&lt;&gt;"",OR($G16&lt;VLOOKUP($C16,_Données!$A$196:$E$211,2,FALSE()),$G16&gt;VLOOKUP($C16,_Données!$A$196:$E$211,3,FALSE()))),AND($H16&lt;&gt;"",IFERROR(VLOOKUP($C16,_Données!$A$196:$E$211,4,FALSE()),"")&lt;&gt;"",OR($H16&lt;VLOOKUP($C16,_Données!$A$196:$E$211,4,FALSE()),$H16&gt;VLOOKUP($C16,_Données!$A$196:$E$211,5,FALSE())))),FALSE),"",IFERROR(IF(AND($R16&lt;&gt;"",$R16&lt;&gt;"Aucune option",NOT(OR($C16="Porte Lourde 1 vantail",$C16="Porte Lourde 2 vantaux"))),"⚠ Option valable uniquement pour Porte Lourde",IF(AE16&gt;0,"⚠ Option T/M incompatible avec la gamme",IF(V16=0,IF(AC16&gt;0,AC16,""),IF(V16=-1,"⚠ Dimension non disponible",(V16+W16+X16+Z16+AA16+AB16+AD16)*(1-Paramètres!$B$2)+AC16)))),""))),IF(IFERROR(OR(AND($G16&lt;&gt;"",IFERROR(VLOOKUP($C16,_Données!$A$196:$E$211,2,FALSE()),"")&lt;&gt;"",OR($G16&lt;VLOOKUP($C16,_Données!$A$196:$E$211,2,FALSE()),$G16&gt;VLOOKUP($C16,_Données!$A$196:$E$211,3,FALSE()))),AND($H16&lt;&gt;"",IFERROR(VLOOKUP($C16,_Données!$A$196:$E$211,4,FALSE()),"")&lt;&gt;"",OR($H16&lt;VLOOKUP($C16,_Données!$A$196:$E$211,4,FALSE()),$H16&gt;VLOOKUP($C16,_Données!$A$196:$E$211,5,FALSE())))),FALSE),"",IFERROR(IF(AND($R16&lt;&gt;"",$R16&lt;&gt;"Aucune option",NOT(OR($C16="Porte Lourde 1 vantail",$C16="Porte Lourde 2 vantaux"))),"⚠ Option valable uniquement pour Porte Lourde",IF(AE16&gt;0,"⚠ Option T/M incompatible avec la gamme",IF(V16=0,IF(AC16&gt;0,AC16,""),IF(V16=-1,"⚠ Dimension non disponible",(V16+W16+X16+Z16+AA16+AB16+AD16)*(1-Paramètres!$B$2)+AC16)))),""))+IF($L16="OUI",25,0),IF(IFERROR(OR(AND($G16&lt;&gt;"",IFERROR(VLOOKUP($C16,_Données!$A$196:$E$211,2,FALSE()),"")&lt;&gt;"",OR($G16&lt;VLOOKUP($C16,_Données!$A$196:$E$211,2,FALSE()),$G16&gt;VLOOKUP($C16,_Données!$A$196:$E$211,3,FALSE()))),AND($H16&lt;&gt;"",IFERROR(VLOOKUP($C16,_Données!$A$196:$E$211,4,FALSE()),"")&lt;&gt;"",OR($H16&lt;VLOOKUP($C16,_Données!$A$196:$E$211,4,FALSE()),$H16&gt;VLOOKUP($C16,_Données!$A$196:$E$211,5,FALSE())))),FALSE),"",IFERROR(IF(AND($R16&lt;&gt;"",$R16&lt;&gt;"Aucune option",NOT(OR($C16="Porte Lourde 1 vantail",$C16="Porte Lourde 2 vantaux"))),"⚠ Option valable uniquement pour Porte Lourde",IF(AE16&gt;0,"⚠ Option T/M incompatible avec la gamme",IF(V16=0,IF(AC16&gt;0,AC16,""),IF(V16=-1,"⚠ Dimension non disponible",(V16+W16+X16+Z16+AA16+AB16+AD16)*(1-Paramètres!$B$2)+AC16)))),""))),"")),IFERROR(IF(ISNUMBER(IF(IFERROR(OR(AND($G16&lt;&gt;"",IFERROR(VLOOKUP($C16,_Données!$A$196:$E$211,2,FALSE()),"")&lt;&gt;"",OR($G16&lt;VLOOKUP($C16,_Données!$A$196:$E$211,2,FALSE()),$G16&gt;VLOOKUP($C16,_Données!$A$196:$E$211,3,FALSE()))),AND($H16&lt;&gt;"",IFERROR(VLOOKUP($C16,_Données!$A$196:$E$211,4,FALSE()),"")&lt;&gt;"",OR($H16&lt;VLOOKUP($C16,_Données!$A$196:$E$211,4,FALSE()),$H16&gt;VLOOKUP($C16,_Données!$A$196:$E$211,5,FALSE())))),FALSE),"",IFERROR(IF(AND($R16&lt;&gt;"",$R16&lt;&gt;"Aucune option",NOT(OR($C16="Porte Lourde 1 vantail",$C16="Porte Lourde 2 vantaux"))),"⚠ Option valable uniquement pour Porte Lourde",IF(AE16&gt;0,"⚠ Option T/M incompatible avec la gamme",IF(V16=0,IF(AC16&gt;0,AC16,""),IF(V16=-1,"⚠ Dimension non disponible",(V16+W16+X16+Z16+AA16+AB16+AD16)*(1-Paramètres!$B$2)+AC16)))),""))),IF(IFERROR(OR(AND($G16&lt;&gt;"",IFERROR(VLOOKUP($C16,_Données!$A$196:$E$211,2,FALSE()),"")&lt;&gt;"",OR($G16&lt;VLOOKUP($C16,_Données!$A$196:$E$211,2,FALSE()),$G16&gt;VLOOKUP($C16,_Données!$A$196:$E$211,3,FALSE()))),AND($H16&lt;&gt;"",IFERROR(VLOOKUP($C16,_Données!$A$196:$E$211,4,FALSE()),"")&lt;&gt;"",OR($H16&lt;VLOOKUP($C16,_Données!$A$196:$E$211,4,FALSE()),$H16&gt;VLOOKUP($C16,_Données!$A$196:$E$211,5,FALSE())))),FALSE),"",IFERROR(IF(AND($R16&lt;&gt;"",$R16&lt;&gt;"Aucune option",NOT(OR($C16="Porte Lourde 1 vantail",$C16="Porte Lourde 2 vantaux"))),"⚠ Option valable uniquement pour Porte Lourde",IF(AE16&gt;0,"⚠ Option T/M incompatible avec la gamme",IF(V16=0,IF(AC16&gt;0,AC16,""),IF(V16=-1,"⚠ Dimension non disponible",(V16+W16+X16+Z16+AA16+AB16+AD16)*(1-Paramètres!$B$2)+AC16)))),""))+IF($L16="OUI",25,0),IF(IFERROR(OR(AND($G16&lt;&gt;"",IFERROR(VLOOKUP($C16,_Données!$A$196:$E$211,2,FALSE()),"")&lt;&gt;"",OR($G16&lt;VLOOKUP($C16,_Données!$A$196:$E$211,2,FALSE()),$G16&gt;VLOOKUP($C16,_Données!$A$196:$E$211,3,FALSE()))),AND($H16&lt;&gt;"",IFERROR(VLOOKUP($C16,_Données!$A$196:$E$211,4,FALSE()),"")&lt;&gt;"",OR($H16&lt;VLOOKUP($C16,_Données!$A$196:$E$211,4,FALSE()),$H16&gt;VLOOKUP($C16,_Données!$A$196:$E$211,5,FALSE())))),FALSE),"",IFERROR(IF(AND($R16&lt;&gt;"",$R16&lt;&gt;"Aucune option",NOT(OR($C16="Porte Lourde 1 vantail",$C16="Porte Lourde 2 vantaux"))),"⚠ Option valable uniquement pour Porte Lourde",IF(AE16&gt;0,"⚠ Option T/M incompatible avec la gamme",IF(V16=0,IF(AC16&gt;0,AC16,""),IF(V16=-1,"⚠ Dimension non disponible",(V16+W16+X16+Z16+AA16+AB16+AD16)*(1-Paramètres!$B$2)+AC16)))),""))),"")+IFERROR(VLOOKUP($P16,_Données!$A$218:$B$229,2,FALSE())*($G16+2*$H16)/1000,0)+IFERROR(VLOOKUP($Q16,_Données!$A$232:$B$236,2,FALSE())*$G16/1000,0),IFERROR(IF(ISNUMBER(IF(IFERROR(OR(AND($G16&lt;&gt;"",IFERROR(VLOOKUP($C16,_Données!$A$196:$E$211,2,FALSE()),"")&lt;&gt;"",OR($G16&lt;VLOOKUP($C16,_Données!$A$196:$E$211,2,FALSE()),$G16&gt;VLOOKUP($C16,_Données!$A$196:$E$211,3,FALSE()))),AND($H16&lt;&gt;"",IFERROR(VLOOKUP($C16,_Données!$A$196:$E$211,4,FALSE()),"")&lt;&gt;"",OR($H16&lt;VLOOKUP($C16,_Données!$A$196:$E$211,4,FALSE()),$H16&gt;VLOOKUP($C16,_Données!$A$196:$E$211,5,FALSE())))),FALSE),"",IFERROR(IF(AND($R16&lt;&gt;"",$R16&lt;&gt;"Aucune option",NOT(OR($C16="Porte Lourde 1 vantail",$C16="Porte Lourde 2 vantaux"))),"⚠ Option valable uniquement pour Porte Lourde",IF(AE16&gt;0,"⚠ Option T/M incompatible avec la gamme",IF(V16=0,IF(AC16&gt;0,AC16,""),IF(V16=-1,"⚠ Dimension non disponible",(V16+W16+X16+Z16+AA16+AB16+AD16)*(1-Paramètres!$B$2)+AC16)))),""))),IF(IFERROR(OR(AND($G16&lt;&gt;"",IFERROR(VLOOKUP($C16,_Données!$A$196:$E$211,2,FALSE()),"")&lt;&gt;"",OR($G16&lt;VLOOKUP($C16,_Données!$A$196:$E$211,2,FALSE()),$G16&gt;VLOOKUP($C16,_Données!$A$196:$E$211,3,FALSE()))),AND($H16&lt;&gt;"",IFERROR(VLOOKUP($C16,_Données!$A$196:$E$211,4,FALSE()),"")&lt;&gt;"",OR($H16&lt;VLOOKUP($C16,_Données!$A$196:$E$211,4,FALSE()),$H16&gt;VLOOKUP($C16,_Données!$A$196:$E$211,5,FALSE())))),FALSE),"",IFERROR(IF(AND($R16&lt;&gt;"",$R16&lt;&gt;"Aucune option",NOT(OR($C16="Porte Lourde 1 vantail",$C16="Porte Lourde 2 vantaux"))),"⚠ Option valable uniquement pour Porte Lourde",IF(AE16&gt;0,"⚠ Option T/M incompatible avec la gamme",IF(V16=0,IF(AC16&gt;0,AC16,""),IF(V16=-1,"⚠ Dimension non disponible",(V16+W16+X16+Z16+AA16+AB16+AD16)*(1-Paramètres!$B$2)+AC16)))),""))+IF($L16="OUI",25,0),IF(IFERROR(OR(AND($G16&lt;&gt;"",IFERROR(VLOOKUP($C16,_Données!$A$196:$E$211,2,FALSE()),"")&lt;&gt;"",OR($G16&lt;VLOOKUP($C16,_Données!$A$196:$E$211,2,FALSE()),$G16&gt;VLOOKUP($C16,_Données!$A$196:$E$211,3,FALSE()))),AND($H16&lt;&gt;"",IFERROR(VLOOKUP($C16,_Données!$A$196:$E$211,4,FALSE()),"")&lt;&gt;"",OR($H16&lt;VLOOKUP($C16,_Données!$A$196:$E$211,4,FALSE()),$H16&gt;VLOOKUP($C16,_Données!$A$196:$E$211,5,FALSE())))),FALSE),"",IFERROR(IF(AND($R16&lt;&gt;"",$R16&lt;&gt;"Aucune option",NOT(OR($C16="Porte Lourde 1 vantail",$C16="Porte Lourde 2 vantaux"))),"⚠ Option valable uniquement pour Porte Lourde",IF(AE16&gt;0,"⚠ Option T/M incompatible avec la gamme",IF(V16=0,IF(AC16&gt;0,AC16,""),IF(V16=-1,"⚠ Dimension non disponible",(V16+W16+X16+Z16+AA16+AB16+AD16)*(1-Paramètres!$B$2)+AC16)))),""))),"")),"")</f>
        <v/>
      </c>
      <c r="T16" s="27" t="str">
        <f t="shared" ca="1" si="0"/>
        <v/>
      </c>
      <c r="V16" s="28">
        <f ca="1">IFERROR(IF(OR($C16="",$G16="",$H16=""),0,IF(INDIRECT("'"&amp;VLOOKUP($C16,_Données!$A$3:$V$18,2,FALSE())&amp;"'!"&amp;ADDRESS((VLOOKUP($C16,_Données!$A$3:$V$18,12,FALSE())+IFERROR(MATCH(MAX(VLOOKUP($C16,_Données!$A$3:$V$18,18,FALSE()),MIN(VLOOKUP($C16,_Données!$A$3:$V$18,6,FALSE()),(VLOOKUP($C16,_Données!$A$3:$V$18,18,FALSE())+ROUND(($H16-VLOOKUP($C16,_Données!$A$3:$V$18,18,FALSE()))/VLOOKUP($C16,_Données!$A$3:$V$18,19,FALSE()),0)*VLOOKUP($C16,_Données!$A$3:$V$18,19,FALSE())))),INDIRECT("'"&amp;VLOOKUP($C16,_Données!$A$3:$V$18,2,FALSE())&amp;"'!"&amp;ADDRESS(VLOOKUP($C16,_Données!$A$3:$V$18,12,FALSE()),1,4)&amp;":"&amp;ADDRESS(VLOOKUP($C16,_Données!$A$3:$V$18,12,FALSE())+VLOOKUP($C16,_Données!$A$3:$V$18,15,FALSE())-1,1,4)),0),MATCH(MAX(VLOOKUP($C16,_Données!$A$3:$V$18,18,FALSE()),MIN(VLOOKUP($C16,_Données!$A$3:$V$18,6,FALSE()),(VLOOKUP($C16,_Données!$A$3:$V$18,18,FALSE())+ROUND(($H16-VLOOKUP($C16,_Données!$A$3:$V$18,18,FALSE()))/VLOOKUP($C16,_Données!$A$3:$V$18,19,FALSE()),0)*VLOOKUP($C16,_Données!$A$3:$V$18,19,FALSE())))),INDIRECT("'"&amp;VLOOKUP($C16,_Données!$A$3:$V$18,2,FALSE())&amp;"'!"&amp;ADDRESS(VLOOKUP($C16,_Données!$A$3:$V$18,12,FALSE()),1,4)&amp;":"&amp;ADDRESS(VLOOKUP($C16,_Données!$A$3:$V$18,12,FALSE())+VLOOKUP($C16,_Données!$A$3:$V$18,15,FALSE())-1,1,4)),1))-1),(VLOOKUP($C16,_Données!$A$3:$V$18,13,FALSE())+IFERROR(MATCH(MAX(VLOOKUP($C16,_Données!$A$3:$V$18,16,FALSE()),MIN(VLOOKUP($C16,_Données!$A$3:$V$18,4,FALSE()),(VLOOKUP($C16,_Données!$A$3:$V$18,16,FALSE())+ROUND(($G16-VLOOKUP($C16,_Données!$A$3:$V$18,16,FALSE()))/VLOOKUP($C16,_Données!$A$3:$V$18,17,FALSE()),0)*VLOOKUP($C16,_Données!$A$3:$V$18,17,FALSE())))),INDIRECT("'"&amp;VLOOKUP($C16,_Données!$A$3:$V$18,2,FALSE())&amp;"'!"&amp;ADDRESS(VLOOKUP($C16,_Données!$A$3:$V$18,12,FALSE())-1,VLOOKUP($C16,_Données!$A$3:$V$18,13,FALSE()),4)&amp;":"&amp;ADDRESS(VLOOKUP($C16,_Données!$A$3:$V$18,12,FALSE())-1,VLOOKUP($C16,_Données!$A$3:$V$18,13,FALSE())+VLOOKUP($C16,_Données!$A$3:$V$18,14,FALSE())-1,4)),0),MATCH(MAX(VLOOKUP($C16,_Données!$A$3:$V$18,16,FALSE()),MIN(VLOOKUP($C16,_Données!$A$3:$V$18,4,FALSE()),(VLOOKUP($C16,_Données!$A$3:$V$18,16,FALSE())+ROUND(($G16-VLOOKUP($C16,_Données!$A$3:$V$18,16,FALSE()))/VLOOKUP($C16,_Données!$A$3:$V$18,17,FALSE()),0)*VLOOKUP($C16,_Données!$A$3:$V$18,17,FALSE())))),INDIRECT("'"&amp;VLOOKUP($C16,_Données!$A$3:$V$18,2,FALSE())&amp;"'!"&amp;ADDRESS(VLOOKUP($C16,_Données!$A$3:$V$18,12,FALSE())-1,VLOOKUP($C16,_Données!$A$3:$V$18,13,FALSE()),4)&amp;":"&amp;ADDRESS(VLOOKUP($C16,_Données!$A$3:$V$18,12,FALSE())-1,VLOOKUP($C16,_Données!$A$3:$V$18,13,FALSE())+VLOOKUP($C16,_Données!$A$3:$V$18,14,FALSE())-1,4)),1))-1),4))="",-1,INDIRECT("'"&amp;VLOOKUP($C16,_Données!$A$3:$V$18,2,FALSE())&amp;"'!"&amp;ADDRESS((VLOOKUP($C16,_Données!$A$3:$V$18,12,FALSE())+IFERROR(MATCH(MAX(VLOOKUP($C16,_Données!$A$3:$V$18,18,FALSE()),MIN(VLOOKUP($C16,_Données!$A$3:$V$18,6,FALSE()),(VLOOKUP($C16,_Données!$A$3:$V$18,18,FALSE())+ROUND(($H16-VLOOKUP($C16,_Données!$A$3:$V$18,18,FALSE()))/VLOOKUP($C16,_Données!$A$3:$V$18,19,FALSE()),0)*VLOOKUP($C16,_Données!$A$3:$V$18,19,FALSE())))),INDIRECT("'"&amp;VLOOKUP($C16,_Données!$A$3:$V$18,2,FALSE())&amp;"'!"&amp;ADDRESS(VLOOKUP($C16,_Données!$A$3:$V$18,12,FALSE()),1,4)&amp;":"&amp;ADDRESS(VLOOKUP($C16,_Données!$A$3:$V$18,12,FALSE())+VLOOKUP($C16,_Données!$A$3:$V$18,15,FALSE())-1,1,4)),0),MATCH(MAX(VLOOKUP($C16,_Données!$A$3:$V$18,18,FALSE()),MIN(VLOOKUP($C16,_Données!$A$3:$V$18,6,FALSE()),(VLOOKUP($C16,_Données!$A$3:$V$18,18,FALSE())+ROUND(($H16-VLOOKUP($C16,_Données!$A$3:$V$18,18,FALSE()))/VLOOKUP($C16,_Données!$A$3:$V$18,19,FALSE()),0)*VLOOKUP($C16,_Données!$A$3:$V$18,19,FALSE())))),INDIRECT("'"&amp;VLOOKUP($C16,_Données!$A$3:$V$18,2,FALSE())&amp;"'!"&amp;ADDRESS(VLOOKUP($C16,_Données!$A$3:$V$18,12,FALSE()),1,4)&amp;":"&amp;ADDRESS(VLOOKUP($C16,_Données!$A$3:$V$18,12,FALSE())+VLOOKUP($C16,_Données!$A$3:$V$18,15,FALSE())-1,1,4)),1))-1),(VLOOKUP($C16,_Données!$A$3:$V$18,13,FALSE())+IFERROR(MATCH(MAX(VLOOKUP($C16,_Données!$A$3:$V$18,16,FALSE()),MIN(VLOOKUP($C16,_Données!$A$3:$V$18,4,FALSE()),(VLOOKUP($C16,_Données!$A$3:$V$18,16,FALSE())+ROUND(($G16-VLOOKUP($C16,_Données!$A$3:$V$18,16,FALSE()))/VLOOKUP($C16,_Données!$A$3:$V$18,17,FALSE()),0)*VLOOKUP($C16,_Données!$A$3:$V$18,17,FALSE())))),INDIRECT("'"&amp;VLOOKUP($C16,_Données!$A$3:$V$18,2,FALSE())&amp;"'!"&amp;ADDRESS(VLOOKUP($C16,_Données!$A$3:$V$18,12,FALSE())-1,VLOOKUP($C16,_Données!$A$3:$V$18,13,FALSE()),4)&amp;":"&amp;ADDRESS(VLOOKUP($C16,_Données!$A$3:$V$18,12,FALSE())-1,VLOOKUP($C16,_Données!$A$3:$V$18,13,FALSE())+VLOOKUP($C16,_Données!$A$3:$V$18,14,FALSE())-1,4)),0),MATCH(MAX(VLOOKUP($C16,_Données!$A$3:$V$18,16,FALSE()),MIN(VLOOKUP($C16,_Données!$A$3:$V$18,4,FALSE()),(VLOOKUP($C16,_Données!$A$3:$V$18,16,FALSE())+ROUND(($G16-VLOOKUP($C16,_Données!$A$3:$V$18,16,FALSE()))/VLOOKUP($C16,_Données!$A$3:$V$18,17,FALSE()),0)*VLOOKUP($C16,_Données!$A$3:$V$18,17,FALSE())))),INDIRECT("'"&amp;VLOOKUP($C16,_Données!$A$3:$V$18,2,FALSE())&amp;"'!"&amp;ADDRESS(VLOOKUP($C16,_Données!$A$3:$V$18,12,FALSE())-1,VLOOKUP($C16,_Données!$A$3:$V$18,13,FALSE()),4)&amp;":"&amp;ADDRESS(VLOOKUP($C16,_Données!$A$3:$V$18,12,FALSE())-1,VLOOKUP($C16,_Données!$A$3:$V$18,13,FALSE())+VLOOKUP($C16,_Données!$A$3:$V$18,14,FALSE())-1,4)),1))-1),4)))),0)</f>
        <v>0</v>
      </c>
      <c r="W16" s="28">
        <f ca="1">IFERROR(IF(V16=0,0,IF(MAX(VLOOKUP($C16,_Données!$A$3:$V$18,18,FALSE()),MIN(VLOOKUP($C16,_Données!$A$3:$V$18,6,FALSE()),(VLOOKUP($C16,_Données!$A$3:$V$18,18,FALSE())+ROUND(($H16-VLOOKUP($C16,_Données!$A$3:$V$18,18,FALSE()))/VLOOKUP($C16,_Données!$A$3:$V$18,19,FALSE()),0)*VLOOKUP($C16,_Données!$A$3:$V$18,19,FALSE()))))&gt;=VLOOKUP($C16,_Données!$A$3:$V$18,10,FALSE()),V16*VLOOKUP($C16,_Données!$A$3:$V$18,11,FALSE()),0)),0)</f>
        <v>0</v>
      </c>
      <c r="X16" s="28">
        <f ca="1">IFERROR(IF(OR($D16="",V16=0),0,V16*VLOOKUP($D16,_Données!$A$21:$C$28,2,FALSE())),0)</f>
        <v>0</v>
      </c>
      <c r="Y16" s="28">
        <f>IFERROR(IF($D16="",0,VLOOKUP($D16,_Données!$A$21:$C$28,3,FALSE())),0)</f>
        <v>0</v>
      </c>
      <c r="Z16" s="28">
        <f>IFERROR(IF($E16="",0,VLOOKUP($E16,_Données!$A$48:$C$104,2,FALSE())),0)</f>
        <v>0</v>
      </c>
      <c r="AA16" s="28">
        <f>IFERROR(IF(OR($F16="",$G16="",$H16=""),0,VLOOKUP($F16,_Données!$A$33:$C$43,2,FALSE())*2*($G16+$H16)/1000),0)</f>
        <v>0</v>
      </c>
      <c r="AB16" s="28">
        <f ca="1">IFERROR(IF(OR($F16="",V16=0),0,V16*VLOOKUP($F16,_Données!$A$33:$C$43,3,FALSE())),0)</f>
        <v>0</v>
      </c>
      <c r="AC16" s="29">
        <f>IFERROR(IF(OR($R16="",$R16="Aucune option",NOT(OR($C16="Porte Lourde 1 vantail",$C16="Porte Lourde 2 vantaux"))),0,VLOOKUP($R16,_Données!$A$109:$C$125,2,FALSE())*0.75*IF(VLOOKUP($R16,_Données!$A$109:$C$125,3,FALSE())=1,IF($C16="Porte Lourde 1 vantail",1,IF($C16="Porte Lourde 2 vantaux",2,1)),1)*(1-Paramètres!$B$2)),0)</f>
        <v>0</v>
      </c>
      <c r="AD16">
        <f>IFERROR(IF(OR($M16="",$M16="Aucune"),0,VLOOKUP($C16&amp;"|"&amp;$M16,_Données!$A$132:$B$146,2,FALSE())*IF(LEFT($M16,8)="Traverse",$G16,$H16)/1000),0)+IFERROR(IF(OR($N16="",$N16="Aucune"),0,VLOOKUP($C16&amp;"|"&amp;$N16,_Données!$A$132:$B$146,2,FALSE())*IF(LEFT($N16,8)="Traverse",$G16,$H16)/1000),0)+IFERROR(IF(OR($O16="",$O16="Aucune"),0,VLOOKUP($C16&amp;"|"&amp;$O16,_Données!$A$132:$B$146,2,FALSE())*IF(LEFT($O16,8)="Traverse",$G16,$H16)/1000),0)</f>
        <v>0</v>
      </c>
      <c r="AE16">
        <f>IF(AND($M16&lt;&gt;"",$M16&lt;&gt;"Aucune"),IF(ISNA(VLOOKUP($C16&amp;"|"&amp;$M16,_Données!$A$132:$B$146,2,FALSE())),1,0),0)+IF(AND($N16&lt;&gt;"",$N16&lt;&gt;"Aucune"),IF(ISNA(VLOOKUP($C16&amp;"|"&amp;$N16,_Données!$A$132:$B$146,2,FALSE())),1,0),0)+IF(AND($O16&lt;&gt;"",$O16&lt;&gt;"Aucune"),IF(ISNA(VLOOKUP($C16&amp;"|"&amp;$O16,_Données!$A$132:$B$146,2,FALSE())),1,0),0)</f>
        <v>0</v>
      </c>
      <c r="AF16" t="str">
        <f t="shared" si="1"/>
        <v/>
      </c>
      <c r="AG16" t="str">
        <f t="shared" si="2"/>
        <v/>
      </c>
      <c r="AH16" t="str">
        <f t="shared" si="3"/>
        <v/>
      </c>
      <c r="AI16" t="str">
        <f t="shared" si="4"/>
        <v/>
      </c>
      <c r="AJ16" t="str">
        <f t="shared" si="5"/>
        <v/>
      </c>
      <c r="AK16" t="str">
        <f t="shared" si="6"/>
        <v/>
      </c>
      <c r="AL16" t="str">
        <f t="shared" si="7"/>
        <v/>
      </c>
      <c r="AM16" t="str">
        <f t="shared" si="8"/>
        <v/>
      </c>
    </row>
    <row r="17" spans="1:39" ht="111" customHeight="1" x14ac:dyDescent="0.25">
      <c r="A17" s="30">
        <v>4</v>
      </c>
      <c r="B17" s="31"/>
      <c r="C17" s="38"/>
      <c r="D17" s="31"/>
      <c r="E17" s="31"/>
      <c r="F17" s="31"/>
      <c r="G17" s="32"/>
      <c r="H17" s="32"/>
      <c r="I17" s="32"/>
      <c r="J17" s="33"/>
      <c r="K17" s="34"/>
      <c r="L17" s="142"/>
      <c r="M17" s="31"/>
      <c r="N17" s="31"/>
      <c r="O17" s="31"/>
      <c r="P17" s="31"/>
      <c r="Q17" s="31"/>
      <c r="R17" s="31"/>
      <c r="S17" s="35" t="str">
        <f ca="1">IFERROR(IF(ISNUMBER(IFERROR(IF(ISNUMBER(IF(IFERROR(OR(AND($G17&lt;&gt;"",IFERROR(VLOOKUP($C17,_Données!$A$196:$E$211,2,FALSE()),"")&lt;&gt;"",OR($G17&lt;VLOOKUP($C17,_Données!$A$196:$E$211,2,FALSE()),$G17&gt;VLOOKUP($C17,_Données!$A$196:$E$211,3,FALSE()))),AND($H17&lt;&gt;"",IFERROR(VLOOKUP($C17,_Données!$A$196:$E$211,4,FALSE()),"")&lt;&gt;"",OR($H17&lt;VLOOKUP($C17,_Données!$A$196:$E$211,4,FALSE()),$H17&gt;VLOOKUP($C17,_Données!$A$196:$E$211,5,FALSE())))),FALSE),"",IFERROR(IF(AND($R17&lt;&gt;"",$R17&lt;&gt;"Aucune option",NOT(OR($C17="Porte Lourde 1 vantail",$C17="Porte Lourde 2 vantaux"))),"⚠ Option valable uniquement pour Porte Lourde",IF(AE17&gt;0,"⚠ Option T/M incompatible avec la gamme",IF(V17=0,IF(AC17&gt;0,AC17,""),IF(V17=-1,"⚠ Dimension non disponible",(V17+W17+X17+Z17+AA17+AB17+AD17)*(1-Paramètres!$B$2)+AC17)))),""))),IF(IFERROR(OR(AND($G17&lt;&gt;"",IFERROR(VLOOKUP($C17,_Données!$A$196:$E$211,2,FALSE()),"")&lt;&gt;"",OR($G17&lt;VLOOKUP($C17,_Données!$A$196:$E$211,2,FALSE()),$G17&gt;VLOOKUP($C17,_Données!$A$196:$E$211,3,FALSE()))),AND($H17&lt;&gt;"",IFERROR(VLOOKUP($C17,_Données!$A$196:$E$211,4,FALSE()),"")&lt;&gt;"",OR($H17&lt;VLOOKUP($C17,_Données!$A$196:$E$211,4,FALSE()),$H17&gt;VLOOKUP($C17,_Données!$A$196:$E$211,5,FALSE())))),FALSE),"",IFERROR(IF(AND($R17&lt;&gt;"",$R17&lt;&gt;"Aucune option",NOT(OR($C17="Porte Lourde 1 vantail",$C17="Porte Lourde 2 vantaux"))),"⚠ Option valable uniquement pour Porte Lourde",IF(AE17&gt;0,"⚠ Option T/M incompatible avec la gamme",IF(V17=0,IF(AC17&gt;0,AC17,""),IF(V17=-1,"⚠ Dimension non disponible",(V17+W17+X17+Z17+AA17+AB17+AD17)*(1-Paramètres!$B$2)+AC17)))),""))+IF($L17="OUI",25,0),IF(IFERROR(OR(AND($G17&lt;&gt;"",IFERROR(VLOOKUP($C17,_Données!$A$196:$E$211,2,FALSE()),"")&lt;&gt;"",OR($G17&lt;VLOOKUP($C17,_Données!$A$196:$E$211,2,FALSE()),$G17&gt;VLOOKUP($C17,_Données!$A$196:$E$211,3,FALSE()))),AND($H17&lt;&gt;"",IFERROR(VLOOKUP($C17,_Données!$A$196:$E$211,4,FALSE()),"")&lt;&gt;"",OR($H17&lt;VLOOKUP($C17,_Données!$A$196:$E$211,4,FALSE()),$H17&gt;VLOOKUP($C17,_Données!$A$196:$E$211,5,FALSE())))),FALSE),"",IFERROR(IF(AND($R17&lt;&gt;"",$R17&lt;&gt;"Aucune option",NOT(OR($C17="Porte Lourde 1 vantail",$C17="Porte Lourde 2 vantaux"))),"⚠ Option valable uniquement pour Porte Lourde",IF(AE17&gt;0,"⚠ Option T/M incompatible avec la gamme",IF(V17=0,IF(AC17&gt;0,AC17,""),IF(V17=-1,"⚠ Dimension non disponible",(V17+W17+X17+Z17+AA17+AB17+AD17)*(1-Paramètres!$B$2)+AC17)))),""))),"")),IFERROR(IF(ISNUMBER(IF(IFERROR(OR(AND($G17&lt;&gt;"",IFERROR(VLOOKUP($C17,_Données!$A$196:$E$211,2,FALSE()),"")&lt;&gt;"",OR($G17&lt;VLOOKUP($C17,_Données!$A$196:$E$211,2,FALSE()),$G17&gt;VLOOKUP($C17,_Données!$A$196:$E$211,3,FALSE()))),AND($H17&lt;&gt;"",IFERROR(VLOOKUP($C17,_Données!$A$196:$E$211,4,FALSE()),"")&lt;&gt;"",OR($H17&lt;VLOOKUP($C17,_Données!$A$196:$E$211,4,FALSE()),$H17&gt;VLOOKUP($C17,_Données!$A$196:$E$211,5,FALSE())))),FALSE),"",IFERROR(IF(AND($R17&lt;&gt;"",$R17&lt;&gt;"Aucune option",NOT(OR($C17="Porte Lourde 1 vantail",$C17="Porte Lourde 2 vantaux"))),"⚠ Option valable uniquement pour Porte Lourde",IF(AE17&gt;0,"⚠ Option T/M incompatible avec la gamme",IF(V17=0,IF(AC17&gt;0,AC17,""),IF(V17=-1,"⚠ Dimension non disponible",(V17+W17+X17+Z17+AA17+AB17+AD17)*(1-Paramètres!$B$2)+AC17)))),""))),IF(IFERROR(OR(AND($G17&lt;&gt;"",IFERROR(VLOOKUP($C17,_Données!$A$196:$E$211,2,FALSE()),"")&lt;&gt;"",OR($G17&lt;VLOOKUP($C17,_Données!$A$196:$E$211,2,FALSE()),$G17&gt;VLOOKUP($C17,_Données!$A$196:$E$211,3,FALSE()))),AND($H17&lt;&gt;"",IFERROR(VLOOKUP($C17,_Données!$A$196:$E$211,4,FALSE()),"")&lt;&gt;"",OR($H17&lt;VLOOKUP($C17,_Données!$A$196:$E$211,4,FALSE()),$H17&gt;VLOOKUP($C17,_Données!$A$196:$E$211,5,FALSE())))),FALSE),"",IFERROR(IF(AND($R17&lt;&gt;"",$R17&lt;&gt;"Aucune option",NOT(OR($C17="Porte Lourde 1 vantail",$C17="Porte Lourde 2 vantaux"))),"⚠ Option valable uniquement pour Porte Lourde",IF(AE17&gt;0,"⚠ Option T/M incompatible avec la gamme",IF(V17=0,IF(AC17&gt;0,AC17,""),IF(V17=-1,"⚠ Dimension non disponible",(V17+W17+X17+Z17+AA17+AB17+AD17)*(1-Paramètres!$B$2)+AC17)))),""))+IF($L17="OUI",25,0),IF(IFERROR(OR(AND($G17&lt;&gt;"",IFERROR(VLOOKUP($C17,_Données!$A$196:$E$211,2,FALSE()),"")&lt;&gt;"",OR($G17&lt;VLOOKUP($C17,_Données!$A$196:$E$211,2,FALSE()),$G17&gt;VLOOKUP($C17,_Données!$A$196:$E$211,3,FALSE()))),AND($H17&lt;&gt;"",IFERROR(VLOOKUP($C17,_Données!$A$196:$E$211,4,FALSE()),"")&lt;&gt;"",OR($H17&lt;VLOOKUP($C17,_Données!$A$196:$E$211,4,FALSE()),$H17&gt;VLOOKUP($C17,_Données!$A$196:$E$211,5,FALSE())))),FALSE),"",IFERROR(IF(AND($R17&lt;&gt;"",$R17&lt;&gt;"Aucune option",NOT(OR($C17="Porte Lourde 1 vantail",$C17="Porte Lourde 2 vantaux"))),"⚠ Option valable uniquement pour Porte Lourde",IF(AE17&gt;0,"⚠ Option T/M incompatible avec la gamme",IF(V17=0,IF(AC17&gt;0,AC17,""),IF(V17=-1,"⚠ Dimension non disponible",(V17+W17+X17+Z17+AA17+AB17+AD17)*(1-Paramètres!$B$2)+AC17)))),""))),"")+IFERROR(VLOOKUP($P17,_Données!$A$218:$B$229,2,FALSE())*($G17+2*$H17)/1000,0)+IFERROR(VLOOKUP($Q17,_Données!$A$232:$B$236,2,FALSE())*$G17/1000,0),IFERROR(IF(ISNUMBER(IF(IFERROR(OR(AND($G17&lt;&gt;"",IFERROR(VLOOKUP($C17,_Données!$A$196:$E$211,2,FALSE()),"")&lt;&gt;"",OR($G17&lt;VLOOKUP($C17,_Données!$A$196:$E$211,2,FALSE()),$G17&gt;VLOOKUP($C17,_Données!$A$196:$E$211,3,FALSE()))),AND($H17&lt;&gt;"",IFERROR(VLOOKUP($C17,_Données!$A$196:$E$211,4,FALSE()),"")&lt;&gt;"",OR($H17&lt;VLOOKUP($C17,_Données!$A$196:$E$211,4,FALSE()),$H17&gt;VLOOKUP($C17,_Données!$A$196:$E$211,5,FALSE())))),FALSE),"",IFERROR(IF(AND($R17&lt;&gt;"",$R17&lt;&gt;"Aucune option",NOT(OR($C17="Porte Lourde 1 vantail",$C17="Porte Lourde 2 vantaux"))),"⚠ Option valable uniquement pour Porte Lourde",IF(AE17&gt;0,"⚠ Option T/M incompatible avec la gamme",IF(V17=0,IF(AC17&gt;0,AC17,""),IF(V17=-1,"⚠ Dimension non disponible",(V17+W17+X17+Z17+AA17+AB17+AD17)*(1-Paramètres!$B$2)+AC17)))),""))),IF(IFERROR(OR(AND($G17&lt;&gt;"",IFERROR(VLOOKUP($C17,_Données!$A$196:$E$211,2,FALSE()),"")&lt;&gt;"",OR($G17&lt;VLOOKUP($C17,_Données!$A$196:$E$211,2,FALSE()),$G17&gt;VLOOKUP($C17,_Données!$A$196:$E$211,3,FALSE()))),AND($H17&lt;&gt;"",IFERROR(VLOOKUP($C17,_Données!$A$196:$E$211,4,FALSE()),"")&lt;&gt;"",OR($H17&lt;VLOOKUP($C17,_Données!$A$196:$E$211,4,FALSE()),$H17&gt;VLOOKUP($C17,_Données!$A$196:$E$211,5,FALSE())))),FALSE),"",IFERROR(IF(AND($R17&lt;&gt;"",$R17&lt;&gt;"Aucune option",NOT(OR($C17="Porte Lourde 1 vantail",$C17="Porte Lourde 2 vantaux"))),"⚠ Option valable uniquement pour Porte Lourde",IF(AE17&gt;0,"⚠ Option T/M incompatible avec la gamme",IF(V17=0,IF(AC17&gt;0,AC17,""),IF(V17=-1,"⚠ Dimension non disponible",(V17+W17+X17+Z17+AA17+AB17+AD17)*(1-Paramètres!$B$2)+AC17)))),""))+IF($L17="OUI",25,0),IF(IFERROR(OR(AND($G17&lt;&gt;"",IFERROR(VLOOKUP($C17,_Données!$A$196:$E$211,2,FALSE()),"")&lt;&gt;"",OR($G17&lt;VLOOKUP($C17,_Données!$A$196:$E$211,2,FALSE()),$G17&gt;VLOOKUP($C17,_Données!$A$196:$E$211,3,FALSE()))),AND($H17&lt;&gt;"",IFERROR(VLOOKUP($C17,_Données!$A$196:$E$211,4,FALSE()),"")&lt;&gt;"",OR($H17&lt;VLOOKUP($C17,_Données!$A$196:$E$211,4,FALSE()),$H17&gt;VLOOKUP($C17,_Données!$A$196:$E$211,5,FALSE())))),FALSE),"",IFERROR(IF(AND($R17&lt;&gt;"",$R17&lt;&gt;"Aucune option",NOT(OR($C17="Porte Lourde 1 vantail",$C17="Porte Lourde 2 vantaux"))),"⚠ Option valable uniquement pour Porte Lourde",IF(AE17&gt;0,"⚠ Option T/M incompatible avec la gamme",IF(V17=0,IF(AC17&gt;0,AC17,""),IF(V17=-1,"⚠ Dimension non disponible",(V17+W17+X17+Z17+AA17+AB17+AD17)*(1-Paramètres!$B$2)+AC17)))),""))),"")),"")</f>
        <v/>
      </c>
      <c r="T17" s="36" t="str">
        <f t="shared" ca="1" si="0"/>
        <v/>
      </c>
      <c r="V17" s="28">
        <f ca="1">IFERROR(IF(OR($C17="",$G17="",$H17=""),0,IF(INDIRECT("'"&amp;VLOOKUP($C17,_Données!$A$3:$V$18,2,FALSE())&amp;"'!"&amp;ADDRESS((VLOOKUP($C17,_Données!$A$3:$V$18,12,FALSE())+IFERROR(MATCH(MAX(VLOOKUP($C17,_Données!$A$3:$V$18,18,FALSE()),MIN(VLOOKUP($C17,_Données!$A$3:$V$18,6,FALSE()),(VLOOKUP($C17,_Données!$A$3:$V$18,18,FALSE())+ROUND(($H17-VLOOKUP($C17,_Données!$A$3:$V$18,18,FALSE()))/VLOOKUP($C17,_Données!$A$3:$V$18,19,FALSE()),0)*VLOOKUP($C17,_Données!$A$3:$V$18,19,FALSE())))),INDIRECT("'"&amp;VLOOKUP($C17,_Données!$A$3:$V$18,2,FALSE())&amp;"'!"&amp;ADDRESS(VLOOKUP($C17,_Données!$A$3:$V$18,12,FALSE()),1,4)&amp;":"&amp;ADDRESS(VLOOKUP($C17,_Données!$A$3:$V$18,12,FALSE())+VLOOKUP($C17,_Données!$A$3:$V$18,15,FALSE())-1,1,4)),0),MATCH(MAX(VLOOKUP($C17,_Données!$A$3:$V$18,18,FALSE()),MIN(VLOOKUP($C17,_Données!$A$3:$V$18,6,FALSE()),(VLOOKUP($C17,_Données!$A$3:$V$18,18,FALSE())+ROUND(($H17-VLOOKUP($C17,_Données!$A$3:$V$18,18,FALSE()))/VLOOKUP($C17,_Données!$A$3:$V$18,19,FALSE()),0)*VLOOKUP($C17,_Données!$A$3:$V$18,19,FALSE())))),INDIRECT("'"&amp;VLOOKUP($C17,_Données!$A$3:$V$18,2,FALSE())&amp;"'!"&amp;ADDRESS(VLOOKUP($C17,_Données!$A$3:$V$18,12,FALSE()),1,4)&amp;":"&amp;ADDRESS(VLOOKUP($C17,_Données!$A$3:$V$18,12,FALSE())+VLOOKUP($C17,_Données!$A$3:$V$18,15,FALSE())-1,1,4)),1))-1),(VLOOKUP($C17,_Données!$A$3:$V$18,13,FALSE())+IFERROR(MATCH(MAX(VLOOKUP($C17,_Données!$A$3:$V$18,16,FALSE()),MIN(VLOOKUP($C17,_Données!$A$3:$V$18,4,FALSE()),(VLOOKUP($C17,_Données!$A$3:$V$18,16,FALSE())+ROUND(($G17-VLOOKUP($C17,_Données!$A$3:$V$18,16,FALSE()))/VLOOKUP($C17,_Données!$A$3:$V$18,17,FALSE()),0)*VLOOKUP($C17,_Données!$A$3:$V$18,17,FALSE())))),INDIRECT("'"&amp;VLOOKUP($C17,_Données!$A$3:$V$18,2,FALSE())&amp;"'!"&amp;ADDRESS(VLOOKUP($C17,_Données!$A$3:$V$18,12,FALSE())-1,VLOOKUP($C17,_Données!$A$3:$V$18,13,FALSE()),4)&amp;":"&amp;ADDRESS(VLOOKUP($C17,_Données!$A$3:$V$18,12,FALSE())-1,VLOOKUP($C17,_Données!$A$3:$V$18,13,FALSE())+VLOOKUP($C17,_Données!$A$3:$V$18,14,FALSE())-1,4)),0),MATCH(MAX(VLOOKUP($C17,_Données!$A$3:$V$18,16,FALSE()),MIN(VLOOKUP($C17,_Données!$A$3:$V$18,4,FALSE()),(VLOOKUP($C17,_Données!$A$3:$V$18,16,FALSE())+ROUND(($G17-VLOOKUP($C17,_Données!$A$3:$V$18,16,FALSE()))/VLOOKUP($C17,_Données!$A$3:$V$18,17,FALSE()),0)*VLOOKUP($C17,_Données!$A$3:$V$18,17,FALSE())))),INDIRECT("'"&amp;VLOOKUP($C17,_Données!$A$3:$V$18,2,FALSE())&amp;"'!"&amp;ADDRESS(VLOOKUP($C17,_Données!$A$3:$V$18,12,FALSE())-1,VLOOKUP($C17,_Données!$A$3:$V$18,13,FALSE()),4)&amp;":"&amp;ADDRESS(VLOOKUP($C17,_Données!$A$3:$V$18,12,FALSE())-1,VLOOKUP($C17,_Données!$A$3:$V$18,13,FALSE())+VLOOKUP($C17,_Données!$A$3:$V$18,14,FALSE())-1,4)),1))-1),4))="",-1,INDIRECT("'"&amp;VLOOKUP($C17,_Données!$A$3:$V$18,2,FALSE())&amp;"'!"&amp;ADDRESS((VLOOKUP($C17,_Données!$A$3:$V$18,12,FALSE())+IFERROR(MATCH(MAX(VLOOKUP($C17,_Données!$A$3:$V$18,18,FALSE()),MIN(VLOOKUP($C17,_Données!$A$3:$V$18,6,FALSE()),(VLOOKUP($C17,_Données!$A$3:$V$18,18,FALSE())+ROUND(($H17-VLOOKUP($C17,_Données!$A$3:$V$18,18,FALSE()))/VLOOKUP($C17,_Données!$A$3:$V$18,19,FALSE()),0)*VLOOKUP($C17,_Données!$A$3:$V$18,19,FALSE())))),INDIRECT("'"&amp;VLOOKUP($C17,_Données!$A$3:$V$18,2,FALSE())&amp;"'!"&amp;ADDRESS(VLOOKUP($C17,_Données!$A$3:$V$18,12,FALSE()),1,4)&amp;":"&amp;ADDRESS(VLOOKUP($C17,_Données!$A$3:$V$18,12,FALSE())+VLOOKUP($C17,_Données!$A$3:$V$18,15,FALSE())-1,1,4)),0),MATCH(MAX(VLOOKUP($C17,_Données!$A$3:$V$18,18,FALSE()),MIN(VLOOKUP($C17,_Données!$A$3:$V$18,6,FALSE()),(VLOOKUP($C17,_Données!$A$3:$V$18,18,FALSE())+ROUND(($H17-VLOOKUP($C17,_Données!$A$3:$V$18,18,FALSE()))/VLOOKUP($C17,_Données!$A$3:$V$18,19,FALSE()),0)*VLOOKUP($C17,_Données!$A$3:$V$18,19,FALSE())))),INDIRECT("'"&amp;VLOOKUP($C17,_Données!$A$3:$V$18,2,FALSE())&amp;"'!"&amp;ADDRESS(VLOOKUP($C17,_Données!$A$3:$V$18,12,FALSE()),1,4)&amp;":"&amp;ADDRESS(VLOOKUP($C17,_Données!$A$3:$V$18,12,FALSE())+VLOOKUP($C17,_Données!$A$3:$V$18,15,FALSE())-1,1,4)),1))-1),(VLOOKUP($C17,_Données!$A$3:$V$18,13,FALSE())+IFERROR(MATCH(MAX(VLOOKUP($C17,_Données!$A$3:$V$18,16,FALSE()),MIN(VLOOKUP($C17,_Données!$A$3:$V$18,4,FALSE()),(VLOOKUP($C17,_Données!$A$3:$V$18,16,FALSE())+ROUND(($G17-VLOOKUP($C17,_Données!$A$3:$V$18,16,FALSE()))/VLOOKUP($C17,_Données!$A$3:$V$18,17,FALSE()),0)*VLOOKUP($C17,_Données!$A$3:$V$18,17,FALSE())))),INDIRECT("'"&amp;VLOOKUP($C17,_Données!$A$3:$V$18,2,FALSE())&amp;"'!"&amp;ADDRESS(VLOOKUP($C17,_Données!$A$3:$V$18,12,FALSE())-1,VLOOKUP($C17,_Données!$A$3:$V$18,13,FALSE()),4)&amp;":"&amp;ADDRESS(VLOOKUP($C17,_Données!$A$3:$V$18,12,FALSE())-1,VLOOKUP($C17,_Données!$A$3:$V$18,13,FALSE())+VLOOKUP($C17,_Données!$A$3:$V$18,14,FALSE())-1,4)),0),MATCH(MAX(VLOOKUP($C17,_Données!$A$3:$V$18,16,FALSE()),MIN(VLOOKUP($C17,_Données!$A$3:$V$18,4,FALSE()),(VLOOKUP($C17,_Données!$A$3:$V$18,16,FALSE())+ROUND(($G17-VLOOKUP($C17,_Données!$A$3:$V$18,16,FALSE()))/VLOOKUP($C17,_Données!$A$3:$V$18,17,FALSE()),0)*VLOOKUP($C17,_Données!$A$3:$V$18,17,FALSE())))),INDIRECT("'"&amp;VLOOKUP($C17,_Données!$A$3:$V$18,2,FALSE())&amp;"'!"&amp;ADDRESS(VLOOKUP($C17,_Données!$A$3:$V$18,12,FALSE())-1,VLOOKUP($C17,_Données!$A$3:$V$18,13,FALSE()),4)&amp;":"&amp;ADDRESS(VLOOKUP($C17,_Données!$A$3:$V$18,12,FALSE())-1,VLOOKUP($C17,_Données!$A$3:$V$18,13,FALSE())+VLOOKUP($C17,_Données!$A$3:$V$18,14,FALSE())-1,4)),1))-1),4)))),0)</f>
        <v>0</v>
      </c>
      <c r="W17" s="28">
        <f ca="1">IFERROR(IF(V17=0,0,IF(MAX(VLOOKUP($C17,_Données!$A$3:$V$18,18,FALSE()),MIN(VLOOKUP($C17,_Données!$A$3:$V$18,6,FALSE()),(VLOOKUP($C17,_Données!$A$3:$V$18,18,FALSE())+ROUND(($H17-VLOOKUP($C17,_Données!$A$3:$V$18,18,FALSE()))/VLOOKUP($C17,_Données!$A$3:$V$18,19,FALSE()),0)*VLOOKUP($C17,_Données!$A$3:$V$18,19,FALSE()))))&gt;=VLOOKUP($C17,_Données!$A$3:$V$18,10,FALSE()),V17*VLOOKUP($C17,_Données!$A$3:$V$18,11,FALSE()),0)),0)</f>
        <v>0</v>
      </c>
      <c r="X17" s="28">
        <f ca="1">IFERROR(IF(OR($D17="",V17=0),0,V17*VLOOKUP($D17,_Données!$A$21:$C$28,2,FALSE())),0)</f>
        <v>0</v>
      </c>
      <c r="Y17" s="28">
        <f>IFERROR(IF($D17="",0,VLOOKUP($D17,_Données!$A$21:$C$28,3,FALSE())),0)</f>
        <v>0</v>
      </c>
      <c r="Z17" s="28">
        <f>IFERROR(IF($E17="",0,VLOOKUP($E17,_Données!$A$48:$C$104,2,FALSE())),0)</f>
        <v>0</v>
      </c>
      <c r="AA17" s="28">
        <f>IFERROR(IF(OR($F17="",$G17="",$H17=""),0,VLOOKUP($F17,_Données!$A$33:$C$43,2,FALSE())*2*($G17+$H17)/1000),0)</f>
        <v>0</v>
      </c>
      <c r="AB17" s="28">
        <f ca="1">IFERROR(IF(OR($F17="",V17=0),0,V17*VLOOKUP($F17,_Données!$A$33:$C$43,3,FALSE())),0)</f>
        <v>0</v>
      </c>
      <c r="AC17" s="29">
        <f>IFERROR(IF(OR($R17="",$R17="Aucune option",NOT(OR($C17="Porte Lourde 1 vantail",$C17="Porte Lourde 2 vantaux"))),0,VLOOKUP($R17,_Données!$A$109:$C$125,2,FALSE())*0.75*IF(VLOOKUP($R17,_Données!$A$109:$C$125,3,FALSE())=1,IF($C17="Porte Lourde 1 vantail",1,IF($C17="Porte Lourde 2 vantaux",2,1)),1)*(1-Paramètres!$B$2)),0)</f>
        <v>0</v>
      </c>
      <c r="AD17">
        <f>IFERROR(IF(OR($M17="",$M17="Aucune"),0,VLOOKUP($C17&amp;"|"&amp;$M17,_Données!$A$132:$B$146,2,FALSE())*IF(LEFT($M17,8)="Traverse",$G17,$H17)/1000),0)+IFERROR(IF(OR($N17="",$N17="Aucune"),0,VLOOKUP($C17&amp;"|"&amp;$N17,_Données!$A$132:$B$146,2,FALSE())*IF(LEFT($N17,8)="Traverse",$G17,$H17)/1000),0)+IFERROR(IF(OR($O17="",$O17="Aucune"),0,VLOOKUP($C17&amp;"|"&amp;$O17,_Données!$A$132:$B$146,2,FALSE())*IF(LEFT($O17,8)="Traverse",$G17,$H17)/1000),0)</f>
        <v>0</v>
      </c>
      <c r="AE17">
        <f>IF(AND($M17&lt;&gt;"",$M17&lt;&gt;"Aucune"),IF(ISNA(VLOOKUP($C17&amp;"|"&amp;$M17,_Données!$A$132:$B$146,2,FALSE())),1,0),0)+IF(AND($N17&lt;&gt;"",$N17&lt;&gt;"Aucune"),IF(ISNA(VLOOKUP($C17&amp;"|"&amp;$N17,_Données!$A$132:$B$146,2,FALSE())),1,0),0)+IF(AND($O17&lt;&gt;"",$O17&lt;&gt;"Aucune"),IF(ISNA(VLOOKUP($C17&amp;"|"&amp;$O17,_Données!$A$132:$B$146,2,FALSE())),1,0),0)</f>
        <v>0</v>
      </c>
      <c r="AF17" t="str">
        <f t="shared" si="1"/>
        <v/>
      </c>
      <c r="AG17" t="str">
        <f t="shared" si="2"/>
        <v/>
      </c>
      <c r="AH17" t="str">
        <f t="shared" si="3"/>
        <v/>
      </c>
      <c r="AI17" t="str">
        <f t="shared" si="4"/>
        <v/>
      </c>
      <c r="AJ17" t="str">
        <f t="shared" si="5"/>
        <v/>
      </c>
      <c r="AK17" t="str">
        <f t="shared" si="6"/>
        <v/>
      </c>
      <c r="AL17" t="str">
        <f t="shared" si="7"/>
        <v/>
      </c>
      <c r="AM17" t="str">
        <f t="shared" si="8"/>
        <v/>
      </c>
    </row>
    <row r="18" spans="1:39" ht="111" customHeight="1" x14ac:dyDescent="0.25">
      <c r="A18" s="22">
        <v>5</v>
      </c>
      <c r="B18" s="17"/>
      <c r="C18" s="17"/>
      <c r="D18" s="17"/>
      <c r="E18" s="17"/>
      <c r="F18" s="17"/>
      <c r="G18" s="23"/>
      <c r="H18" s="23"/>
      <c r="I18" s="23"/>
      <c r="J18" s="24"/>
      <c r="K18" s="37"/>
      <c r="L18" s="140"/>
      <c r="M18" s="17"/>
      <c r="N18" s="17"/>
      <c r="O18" s="17"/>
      <c r="P18" s="17"/>
      <c r="Q18" s="17"/>
      <c r="R18" s="17"/>
      <c r="S18" s="26" t="str">
        <f ca="1">IFERROR(IF(ISNUMBER(IFERROR(IF(ISNUMBER(IF(IFERROR(OR(AND($G18&lt;&gt;"",IFERROR(VLOOKUP($C18,_Données!$A$196:$E$211,2,FALSE()),"")&lt;&gt;"",OR($G18&lt;VLOOKUP($C18,_Données!$A$196:$E$211,2,FALSE()),$G18&gt;VLOOKUP($C18,_Données!$A$196:$E$211,3,FALSE()))),AND($H18&lt;&gt;"",IFERROR(VLOOKUP($C18,_Données!$A$196:$E$211,4,FALSE()),"")&lt;&gt;"",OR($H18&lt;VLOOKUP($C18,_Données!$A$196:$E$211,4,FALSE()),$H18&gt;VLOOKUP($C18,_Données!$A$196:$E$211,5,FALSE())))),FALSE),"",IFERROR(IF(AND($R18&lt;&gt;"",$R18&lt;&gt;"Aucune option",NOT(OR($C18="Porte Lourde 1 vantail",$C18="Porte Lourde 2 vantaux"))),"⚠ Option valable uniquement pour Porte Lourde",IF(AE18&gt;0,"⚠ Option T/M incompatible avec la gamme",IF(V18=0,IF(AC18&gt;0,AC18,""),IF(V18=-1,"⚠ Dimension non disponible",(V18+W18+X18+Z18+AA18+AB18+AD18)*(1-Paramètres!$B$2)+AC18)))),""))),IF(IFERROR(OR(AND($G18&lt;&gt;"",IFERROR(VLOOKUP($C18,_Données!$A$196:$E$211,2,FALSE()),"")&lt;&gt;"",OR($G18&lt;VLOOKUP($C18,_Données!$A$196:$E$211,2,FALSE()),$G18&gt;VLOOKUP($C18,_Données!$A$196:$E$211,3,FALSE()))),AND($H18&lt;&gt;"",IFERROR(VLOOKUP($C18,_Données!$A$196:$E$211,4,FALSE()),"")&lt;&gt;"",OR($H18&lt;VLOOKUP($C18,_Données!$A$196:$E$211,4,FALSE()),$H18&gt;VLOOKUP($C18,_Données!$A$196:$E$211,5,FALSE())))),FALSE),"",IFERROR(IF(AND($R18&lt;&gt;"",$R18&lt;&gt;"Aucune option",NOT(OR($C18="Porte Lourde 1 vantail",$C18="Porte Lourde 2 vantaux"))),"⚠ Option valable uniquement pour Porte Lourde",IF(AE18&gt;0,"⚠ Option T/M incompatible avec la gamme",IF(V18=0,IF(AC18&gt;0,AC18,""),IF(V18=-1,"⚠ Dimension non disponible",(V18+W18+X18+Z18+AA18+AB18+AD18)*(1-Paramètres!$B$2)+AC18)))),""))+IF($L18="OUI",25,0),IF(IFERROR(OR(AND($G18&lt;&gt;"",IFERROR(VLOOKUP($C18,_Données!$A$196:$E$211,2,FALSE()),"")&lt;&gt;"",OR($G18&lt;VLOOKUP($C18,_Données!$A$196:$E$211,2,FALSE()),$G18&gt;VLOOKUP($C18,_Données!$A$196:$E$211,3,FALSE()))),AND($H18&lt;&gt;"",IFERROR(VLOOKUP($C18,_Données!$A$196:$E$211,4,FALSE()),"")&lt;&gt;"",OR($H18&lt;VLOOKUP($C18,_Données!$A$196:$E$211,4,FALSE()),$H18&gt;VLOOKUP($C18,_Données!$A$196:$E$211,5,FALSE())))),FALSE),"",IFERROR(IF(AND($R18&lt;&gt;"",$R18&lt;&gt;"Aucune option",NOT(OR($C18="Porte Lourde 1 vantail",$C18="Porte Lourde 2 vantaux"))),"⚠ Option valable uniquement pour Porte Lourde",IF(AE18&gt;0,"⚠ Option T/M incompatible avec la gamme",IF(V18=0,IF(AC18&gt;0,AC18,""),IF(V18=-1,"⚠ Dimension non disponible",(V18+W18+X18+Z18+AA18+AB18+AD18)*(1-Paramètres!$B$2)+AC18)))),""))),"")),IFERROR(IF(ISNUMBER(IF(IFERROR(OR(AND($G18&lt;&gt;"",IFERROR(VLOOKUP($C18,_Données!$A$196:$E$211,2,FALSE()),"")&lt;&gt;"",OR($G18&lt;VLOOKUP($C18,_Données!$A$196:$E$211,2,FALSE()),$G18&gt;VLOOKUP($C18,_Données!$A$196:$E$211,3,FALSE()))),AND($H18&lt;&gt;"",IFERROR(VLOOKUP($C18,_Données!$A$196:$E$211,4,FALSE()),"")&lt;&gt;"",OR($H18&lt;VLOOKUP($C18,_Données!$A$196:$E$211,4,FALSE()),$H18&gt;VLOOKUP($C18,_Données!$A$196:$E$211,5,FALSE())))),FALSE),"",IFERROR(IF(AND($R18&lt;&gt;"",$R18&lt;&gt;"Aucune option",NOT(OR($C18="Porte Lourde 1 vantail",$C18="Porte Lourde 2 vantaux"))),"⚠ Option valable uniquement pour Porte Lourde",IF(AE18&gt;0,"⚠ Option T/M incompatible avec la gamme",IF(V18=0,IF(AC18&gt;0,AC18,""),IF(V18=-1,"⚠ Dimension non disponible",(V18+W18+X18+Z18+AA18+AB18+AD18)*(1-Paramètres!$B$2)+AC18)))),""))),IF(IFERROR(OR(AND($G18&lt;&gt;"",IFERROR(VLOOKUP($C18,_Données!$A$196:$E$211,2,FALSE()),"")&lt;&gt;"",OR($G18&lt;VLOOKUP($C18,_Données!$A$196:$E$211,2,FALSE()),$G18&gt;VLOOKUP($C18,_Données!$A$196:$E$211,3,FALSE()))),AND($H18&lt;&gt;"",IFERROR(VLOOKUP($C18,_Données!$A$196:$E$211,4,FALSE()),"")&lt;&gt;"",OR($H18&lt;VLOOKUP($C18,_Données!$A$196:$E$211,4,FALSE()),$H18&gt;VLOOKUP($C18,_Données!$A$196:$E$211,5,FALSE())))),FALSE),"",IFERROR(IF(AND($R18&lt;&gt;"",$R18&lt;&gt;"Aucune option",NOT(OR($C18="Porte Lourde 1 vantail",$C18="Porte Lourde 2 vantaux"))),"⚠ Option valable uniquement pour Porte Lourde",IF(AE18&gt;0,"⚠ Option T/M incompatible avec la gamme",IF(V18=0,IF(AC18&gt;0,AC18,""),IF(V18=-1,"⚠ Dimension non disponible",(V18+W18+X18+Z18+AA18+AB18+AD18)*(1-Paramètres!$B$2)+AC18)))),""))+IF($L18="OUI",25,0),IF(IFERROR(OR(AND($G18&lt;&gt;"",IFERROR(VLOOKUP($C18,_Données!$A$196:$E$211,2,FALSE()),"")&lt;&gt;"",OR($G18&lt;VLOOKUP($C18,_Données!$A$196:$E$211,2,FALSE()),$G18&gt;VLOOKUP($C18,_Données!$A$196:$E$211,3,FALSE()))),AND($H18&lt;&gt;"",IFERROR(VLOOKUP($C18,_Données!$A$196:$E$211,4,FALSE()),"")&lt;&gt;"",OR($H18&lt;VLOOKUP($C18,_Données!$A$196:$E$211,4,FALSE()),$H18&gt;VLOOKUP($C18,_Données!$A$196:$E$211,5,FALSE())))),FALSE),"",IFERROR(IF(AND($R18&lt;&gt;"",$R18&lt;&gt;"Aucune option",NOT(OR($C18="Porte Lourde 1 vantail",$C18="Porte Lourde 2 vantaux"))),"⚠ Option valable uniquement pour Porte Lourde",IF(AE18&gt;0,"⚠ Option T/M incompatible avec la gamme",IF(V18=0,IF(AC18&gt;0,AC18,""),IF(V18=-1,"⚠ Dimension non disponible",(V18+W18+X18+Z18+AA18+AB18+AD18)*(1-Paramètres!$B$2)+AC18)))),""))),"")+IFERROR(VLOOKUP($P18,_Données!$A$218:$B$229,2,FALSE())*($G18+2*$H18)/1000,0)+IFERROR(VLOOKUP($Q18,_Données!$A$232:$B$236,2,FALSE())*$G18/1000,0),IFERROR(IF(ISNUMBER(IF(IFERROR(OR(AND($G18&lt;&gt;"",IFERROR(VLOOKUP($C18,_Données!$A$196:$E$211,2,FALSE()),"")&lt;&gt;"",OR($G18&lt;VLOOKUP($C18,_Données!$A$196:$E$211,2,FALSE()),$G18&gt;VLOOKUP($C18,_Données!$A$196:$E$211,3,FALSE()))),AND($H18&lt;&gt;"",IFERROR(VLOOKUP($C18,_Données!$A$196:$E$211,4,FALSE()),"")&lt;&gt;"",OR($H18&lt;VLOOKUP($C18,_Données!$A$196:$E$211,4,FALSE()),$H18&gt;VLOOKUP($C18,_Données!$A$196:$E$211,5,FALSE())))),FALSE),"",IFERROR(IF(AND($R18&lt;&gt;"",$R18&lt;&gt;"Aucune option",NOT(OR($C18="Porte Lourde 1 vantail",$C18="Porte Lourde 2 vantaux"))),"⚠ Option valable uniquement pour Porte Lourde",IF(AE18&gt;0,"⚠ Option T/M incompatible avec la gamme",IF(V18=0,IF(AC18&gt;0,AC18,""),IF(V18=-1,"⚠ Dimension non disponible",(V18+W18+X18+Z18+AA18+AB18+AD18)*(1-Paramètres!$B$2)+AC18)))),""))),IF(IFERROR(OR(AND($G18&lt;&gt;"",IFERROR(VLOOKUP($C18,_Données!$A$196:$E$211,2,FALSE()),"")&lt;&gt;"",OR($G18&lt;VLOOKUP($C18,_Données!$A$196:$E$211,2,FALSE()),$G18&gt;VLOOKUP($C18,_Données!$A$196:$E$211,3,FALSE()))),AND($H18&lt;&gt;"",IFERROR(VLOOKUP($C18,_Données!$A$196:$E$211,4,FALSE()),"")&lt;&gt;"",OR($H18&lt;VLOOKUP($C18,_Données!$A$196:$E$211,4,FALSE()),$H18&gt;VLOOKUP($C18,_Données!$A$196:$E$211,5,FALSE())))),FALSE),"",IFERROR(IF(AND($R18&lt;&gt;"",$R18&lt;&gt;"Aucune option",NOT(OR($C18="Porte Lourde 1 vantail",$C18="Porte Lourde 2 vantaux"))),"⚠ Option valable uniquement pour Porte Lourde",IF(AE18&gt;0,"⚠ Option T/M incompatible avec la gamme",IF(V18=0,IF(AC18&gt;0,AC18,""),IF(V18=-1,"⚠ Dimension non disponible",(V18+W18+X18+Z18+AA18+AB18+AD18)*(1-Paramètres!$B$2)+AC18)))),""))+IF($L18="OUI",25,0),IF(IFERROR(OR(AND($G18&lt;&gt;"",IFERROR(VLOOKUP($C18,_Données!$A$196:$E$211,2,FALSE()),"")&lt;&gt;"",OR($G18&lt;VLOOKUP($C18,_Données!$A$196:$E$211,2,FALSE()),$G18&gt;VLOOKUP($C18,_Données!$A$196:$E$211,3,FALSE()))),AND($H18&lt;&gt;"",IFERROR(VLOOKUP($C18,_Données!$A$196:$E$211,4,FALSE()),"")&lt;&gt;"",OR($H18&lt;VLOOKUP($C18,_Données!$A$196:$E$211,4,FALSE()),$H18&gt;VLOOKUP($C18,_Données!$A$196:$E$211,5,FALSE())))),FALSE),"",IFERROR(IF(AND($R18&lt;&gt;"",$R18&lt;&gt;"Aucune option",NOT(OR($C18="Porte Lourde 1 vantail",$C18="Porte Lourde 2 vantaux"))),"⚠ Option valable uniquement pour Porte Lourde",IF(AE18&gt;0,"⚠ Option T/M incompatible avec la gamme",IF(V18=0,IF(AC18&gt;0,AC18,""),IF(V18=-1,"⚠ Dimension non disponible",(V18+W18+X18+Z18+AA18+AB18+AD18)*(1-Paramètres!$B$2)+AC18)))),""))),"")),"")</f>
        <v/>
      </c>
      <c r="T18" s="27" t="str">
        <f t="shared" ca="1" si="0"/>
        <v/>
      </c>
      <c r="V18" s="28">
        <f ca="1">IFERROR(IF(OR($C18="",$G18="",$H18=""),0,IF(INDIRECT("'"&amp;VLOOKUP($C18,_Données!$A$3:$V$18,2,FALSE())&amp;"'!"&amp;ADDRESS((VLOOKUP($C18,_Données!$A$3:$V$18,12,FALSE())+IFERROR(MATCH(MAX(VLOOKUP($C18,_Données!$A$3:$V$18,18,FALSE()),MIN(VLOOKUP($C18,_Données!$A$3:$V$18,6,FALSE()),(VLOOKUP($C18,_Données!$A$3:$V$18,18,FALSE())+ROUND(($H18-VLOOKUP($C18,_Données!$A$3:$V$18,18,FALSE()))/VLOOKUP($C18,_Données!$A$3:$V$18,19,FALSE()),0)*VLOOKUP($C18,_Données!$A$3:$V$18,19,FALSE())))),INDIRECT("'"&amp;VLOOKUP($C18,_Données!$A$3:$V$18,2,FALSE())&amp;"'!"&amp;ADDRESS(VLOOKUP($C18,_Données!$A$3:$V$18,12,FALSE()),1,4)&amp;":"&amp;ADDRESS(VLOOKUP($C18,_Données!$A$3:$V$18,12,FALSE())+VLOOKUP($C18,_Données!$A$3:$V$18,15,FALSE())-1,1,4)),0),MATCH(MAX(VLOOKUP($C18,_Données!$A$3:$V$18,18,FALSE()),MIN(VLOOKUP($C18,_Données!$A$3:$V$18,6,FALSE()),(VLOOKUP($C18,_Données!$A$3:$V$18,18,FALSE())+ROUND(($H18-VLOOKUP($C18,_Données!$A$3:$V$18,18,FALSE()))/VLOOKUP($C18,_Données!$A$3:$V$18,19,FALSE()),0)*VLOOKUP($C18,_Données!$A$3:$V$18,19,FALSE())))),INDIRECT("'"&amp;VLOOKUP($C18,_Données!$A$3:$V$18,2,FALSE())&amp;"'!"&amp;ADDRESS(VLOOKUP($C18,_Données!$A$3:$V$18,12,FALSE()),1,4)&amp;":"&amp;ADDRESS(VLOOKUP($C18,_Données!$A$3:$V$18,12,FALSE())+VLOOKUP($C18,_Données!$A$3:$V$18,15,FALSE())-1,1,4)),1))-1),(VLOOKUP($C18,_Données!$A$3:$V$18,13,FALSE())+IFERROR(MATCH(MAX(VLOOKUP($C18,_Données!$A$3:$V$18,16,FALSE()),MIN(VLOOKUP($C18,_Données!$A$3:$V$18,4,FALSE()),(VLOOKUP($C18,_Données!$A$3:$V$18,16,FALSE())+ROUND(($G18-VLOOKUP($C18,_Données!$A$3:$V$18,16,FALSE()))/VLOOKUP($C18,_Données!$A$3:$V$18,17,FALSE()),0)*VLOOKUP($C18,_Données!$A$3:$V$18,17,FALSE())))),INDIRECT("'"&amp;VLOOKUP($C18,_Données!$A$3:$V$18,2,FALSE())&amp;"'!"&amp;ADDRESS(VLOOKUP($C18,_Données!$A$3:$V$18,12,FALSE())-1,VLOOKUP($C18,_Données!$A$3:$V$18,13,FALSE()),4)&amp;":"&amp;ADDRESS(VLOOKUP($C18,_Données!$A$3:$V$18,12,FALSE())-1,VLOOKUP($C18,_Données!$A$3:$V$18,13,FALSE())+VLOOKUP($C18,_Données!$A$3:$V$18,14,FALSE())-1,4)),0),MATCH(MAX(VLOOKUP($C18,_Données!$A$3:$V$18,16,FALSE()),MIN(VLOOKUP($C18,_Données!$A$3:$V$18,4,FALSE()),(VLOOKUP($C18,_Données!$A$3:$V$18,16,FALSE())+ROUND(($G18-VLOOKUP($C18,_Données!$A$3:$V$18,16,FALSE()))/VLOOKUP($C18,_Données!$A$3:$V$18,17,FALSE()),0)*VLOOKUP($C18,_Données!$A$3:$V$18,17,FALSE())))),INDIRECT("'"&amp;VLOOKUP($C18,_Données!$A$3:$V$18,2,FALSE())&amp;"'!"&amp;ADDRESS(VLOOKUP($C18,_Données!$A$3:$V$18,12,FALSE())-1,VLOOKUP($C18,_Données!$A$3:$V$18,13,FALSE()),4)&amp;":"&amp;ADDRESS(VLOOKUP($C18,_Données!$A$3:$V$18,12,FALSE())-1,VLOOKUP($C18,_Données!$A$3:$V$18,13,FALSE())+VLOOKUP($C18,_Données!$A$3:$V$18,14,FALSE())-1,4)),1))-1),4))="",-1,INDIRECT("'"&amp;VLOOKUP($C18,_Données!$A$3:$V$18,2,FALSE())&amp;"'!"&amp;ADDRESS((VLOOKUP($C18,_Données!$A$3:$V$18,12,FALSE())+IFERROR(MATCH(MAX(VLOOKUP($C18,_Données!$A$3:$V$18,18,FALSE()),MIN(VLOOKUP($C18,_Données!$A$3:$V$18,6,FALSE()),(VLOOKUP($C18,_Données!$A$3:$V$18,18,FALSE())+ROUND(($H18-VLOOKUP($C18,_Données!$A$3:$V$18,18,FALSE()))/VLOOKUP($C18,_Données!$A$3:$V$18,19,FALSE()),0)*VLOOKUP($C18,_Données!$A$3:$V$18,19,FALSE())))),INDIRECT("'"&amp;VLOOKUP($C18,_Données!$A$3:$V$18,2,FALSE())&amp;"'!"&amp;ADDRESS(VLOOKUP($C18,_Données!$A$3:$V$18,12,FALSE()),1,4)&amp;":"&amp;ADDRESS(VLOOKUP($C18,_Données!$A$3:$V$18,12,FALSE())+VLOOKUP($C18,_Données!$A$3:$V$18,15,FALSE())-1,1,4)),0),MATCH(MAX(VLOOKUP($C18,_Données!$A$3:$V$18,18,FALSE()),MIN(VLOOKUP($C18,_Données!$A$3:$V$18,6,FALSE()),(VLOOKUP($C18,_Données!$A$3:$V$18,18,FALSE())+ROUND(($H18-VLOOKUP($C18,_Données!$A$3:$V$18,18,FALSE()))/VLOOKUP($C18,_Données!$A$3:$V$18,19,FALSE()),0)*VLOOKUP($C18,_Données!$A$3:$V$18,19,FALSE())))),INDIRECT("'"&amp;VLOOKUP($C18,_Données!$A$3:$V$18,2,FALSE())&amp;"'!"&amp;ADDRESS(VLOOKUP($C18,_Données!$A$3:$V$18,12,FALSE()),1,4)&amp;":"&amp;ADDRESS(VLOOKUP($C18,_Données!$A$3:$V$18,12,FALSE())+VLOOKUP($C18,_Données!$A$3:$V$18,15,FALSE())-1,1,4)),1))-1),(VLOOKUP($C18,_Données!$A$3:$V$18,13,FALSE())+IFERROR(MATCH(MAX(VLOOKUP($C18,_Données!$A$3:$V$18,16,FALSE()),MIN(VLOOKUP($C18,_Données!$A$3:$V$18,4,FALSE()),(VLOOKUP($C18,_Données!$A$3:$V$18,16,FALSE())+ROUND(($G18-VLOOKUP($C18,_Données!$A$3:$V$18,16,FALSE()))/VLOOKUP($C18,_Données!$A$3:$V$18,17,FALSE()),0)*VLOOKUP($C18,_Données!$A$3:$V$18,17,FALSE())))),INDIRECT("'"&amp;VLOOKUP($C18,_Données!$A$3:$V$18,2,FALSE())&amp;"'!"&amp;ADDRESS(VLOOKUP($C18,_Données!$A$3:$V$18,12,FALSE())-1,VLOOKUP($C18,_Données!$A$3:$V$18,13,FALSE()),4)&amp;":"&amp;ADDRESS(VLOOKUP($C18,_Données!$A$3:$V$18,12,FALSE())-1,VLOOKUP($C18,_Données!$A$3:$V$18,13,FALSE())+VLOOKUP($C18,_Données!$A$3:$V$18,14,FALSE())-1,4)),0),MATCH(MAX(VLOOKUP($C18,_Données!$A$3:$V$18,16,FALSE()),MIN(VLOOKUP($C18,_Données!$A$3:$V$18,4,FALSE()),(VLOOKUP($C18,_Données!$A$3:$V$18,16,FALSE())+ROUND(($G18-VLOOKUP($C18,_Données!$A$3:$V$18,16,FALSE()))/VLOOKUP($C18,_Données!$A$3:$V$18,17,FALSE()),0)*VLOOKUP($C18,_Données!$A$3:$V$18,17,FALSE())))),INDIRECT("'"&amp;VLOOKUP($C18,_Données!$A$3:$V$18,2,FALSE())&amp;"'!"&amp;ADDRESS(VLOOKUP($C18,_Données!$A$3:$V$18,12,FALSE())-1,VLOOKUP($C18,_Données!$A$3:$V$18,13,FALSE()),4)&amp;":"&amp;ADDRESS(VLOOKUP($C18,_Données!$A$3:$V$18,12,FALSE())-1,VLOOKUP($C18,_Données!$A$3:$V$18,13,FALSE())+VLOOKUP($C18,_Données!$A$3:$V$18,14,FALSE())-1,4)),1))-1),4)))),0)</f>
        <v>0</v>
      </c>
      <c r="W18" s="28">
        <f ca="1">IFERROR(IF(V18=0,0,IF(MAX(VLOOKUP($C18,_Données!$A$3:$V$18,18,FALSE()),MIN(VLOOKUP($C18,_Données!$A$3:$V$18,6,FALSE()),(VLOOKUP($C18,_Données!$A$3:$V$18,18,FALSE())+ROUND(($H18-VLOOKUP($C18,_Données!$A$3:$V$18,18,FALSE()))/VLOOKUP($C18,_Données!$A$3:$V$18,19,FALSE()),0)*VLOOKUP($C18,_Données!$A$3:$V$18,19,FALSE()))))&gt;=VLOOKUP($C18,_Données!$A$3:$V$18,10,FALSE()),V18*VLOOKUP($C18,_Données!$A$3:$V$18,11,FALSE()),0)),0)</f>
        <v>0</v>
      </c>
      <c r="X18" s="28">
        <f ca="1">IFERROR(IF(OR($D18="",V18=0),0,V18*VLOOKUP($D18,_Données!$A$21:$C$28,2,FALSE())),0)</f>
        <v>0</v>
      </c>
      <c r="Y18" s="28">
        <f>IFERROR(IF($D18="",0,VLOOKUP($D18,_Données!$A$21:$C$28,3,FALSE())),0)</f>
        <v>0</v>
      </c>
      <c r="Z18" s="28">
        <f>IFERROR(IF($E18="",0,VLOOKUP($E18,_Données!$A$48:$C$104,2,FALSE())),0)</f>
        <v>0</v>
      </c>
      <c r="AA18" s="28">
        <f>IFERROR(IF(OR($F18="",$G18="",$H18=""),0,VLOOKUP($F18,_Données!$A$33:$C$43,2,FALSE())*2*($G18+$H18)/1000),0)</f>
        <v>0</v>
      </c>
      <c r="AB18" s="28">
        <f ca="1">IFERROR(IF(OR($F18="",V18=0),0,V18*VLOOKUP($F18,_Données!$A$33:$C$43,3,FALSE())),0)</f>
        <v>0</v>
      </c>
      <c r="AC18" s="29">
        <f>IFERROR(IF(OR($R18="",$R18="Aucune option",NOT(OR($C18="Porte Lourde 1 vantail",$C18="Porte Lourde 2 vantaux"))),0,VLOOKUP($R18,_Données!$A$109:$C$125,2,FALSE())*0.75*IF(VLOOKUP($R18,_Données!$A$109:$C$125,3,FALSE())=1,IF($C18="Porte Lourde 1 vantail",1,IF($C18="Porte Lourde 2 vantaux",2,1)),1)*(1-Paramètres!$B$2)),0)</f>
        <v>0</v>
      </c>
      <c r="AD18">
        <f>IFERROR(IF(OR($M18="",$M18="Aucune"),0,VLOOKUP($C18&amp;"|"&amp;$M18,_Données!$A$132:$B$146,2,FALSE())*IF(LEFT($M18,8)="Traverse",$G18,$H18)/1000),0)+IFERROR(IF(OR($N18="",$N18="Aucune"),0,VLOOKUP($C18&amp;"|"&amp;$N18,_Données!$A$132:$B$146,2,FALSE())*IF(LEFT($N18,8)="Traverse",$G18,$H18)/1000),0)+IFERROR(IF(OR($O18="",$O18="Aucune"),0,VLOOKUP($C18&amp;"|"&amp;$O18,_Données!$A$132:$B$146,2,FALSE())*IF(LEFT($O18,8)="Traverse",$G18,$H18)/1000),0)</f>
        <v>0</v>
      </c>
      <c r="AE18">
        <f>IF(AND($M18&lt;&gt;"",$M18&lt;&gt;"Aucune"),IF(ISNA(VLOOKUP($C18&amp;"|"&amp;$M18,_Données!$A$132:$B$146,2,FALSE())),1,0),0)+IF(AND($N18&lt;&gt;"",$N18&lt;&gt;"Aucune"),IF(ISNA(VLOOKUP($C18&amp;"|"&amp;$N18,_Données!$A$132:$B$146,2,FALSE())),1,0),0)+IF(AND($O18&lt;&gt;"",$O18&lt;&gt;"Aucune"),IF(ISNA(VLOOKUP($C18&amp;"|"&amp;$O18,_Données!$A$132:$B$146,2,FALSE())),1,0),0)</f>
        <v>0</v>
      </c>
      <c r="AF18" t="str">
        <f t="shared" si="1"/>
        <v/>
      </c>
      <c r="AG18" t="str">
        <f t="shared" si="2"/>
        <v/>
      </c>
      <c r="AH18" t="str">
        <f t="shared" si="3"/>
        <v/>
      </c>
      <c r="AI18" t="str">
        <f t="shared" si="4"/>
        <v/>
      </c>
      <c r="AJ18" t="str">
        <f t="shared" si="5"/>
        <v/>
      </c>
      <c r="AK18" t="str">
        <f t="shared" si="6"/>
        <v/>
      </c>
      <c r="AL18" t="str">
        <f t="shared" si="7"/>
        <v/>
      </c>
      <c r="AM18" t="str">
        <f t="shared" si="8"/>
        <v/>
      </c>
    </row>
    <row r="19" spans="1:39" ht="111" customHeight="1" x14ac:dyDescent="0.25">
      <c r="A19" s="30">
        <v>6</v>
      </c>
      <c r="B19" s="31"/>
      <c r="C19" s="31"/>
      <c r="D19" s="31"/>
      <c r="E19" s="31"/>
      <c r="F19" s="31"/>
      <c r="G19" s="32"/>
      <c r="H19" s="32"/>
      <c r="I19" s="32"/>
      <c r="J19" s="33" t="str">
        <f>IF($C19="","",$C19&amp;" aluminium"&amp;IF(OR($G19="",$H19=""),"",", "&amp;$G19&amp;" × "&amp;$H19&amp;" mm")&amp;IF(OR(AND($G19&lt;&gt;"",IFERROR(VLOOKUP($C19,_Données!$A$196:$E$211,2,FALSE()),"")&lt;&gt;"",OR($G19&lt;IFERROR(VLOOKUP($C19,_Données!$A$196:$E$211,2,FALSE()),""),$G19&gt;IFERROR(VLOOKUP($C19,_Données!$A$196:$E$211,3,FALSE()),""))),AND($H19&lt;&gt;"",IFERROR(VLOOKUP($C19,_Données!$A$196:$E$211,4,FALSE()),"")&lt;&gt;"",OR($H19&lt;IFERROR(VLOOKUP($C19,_Données!$A$196:$E$211,4,FALSE()),""),$H19&gt;IFERROR(VLOOKUP($C19,_Données!$A$196:$E$211,5,FALSE()),"")))),CHAR(10)&amp;"⚠ Hors abaque (L "&amp;IFERROR(VLOOKUP($C19,_Données!$A$196:$E$211,2,FALSE()),"")&amp;"–"&amp;IFERROR(VLOOKUP($C19,_Données!$A$196:$E$211,3,FALSE()),"")&amp;" / H "&amp;IFERROR(VLOOKUP($C19,_Données!$A$196:$E$211,4,FALSE()),"")&amp;"–"&amp;IFERROR(VLOOKUP($C19,_Données!$A$196:$E$211,5,FALSE()),"")&amp;" mm)","")&amp;IF(IFERROR(VLOOKUP($C19,_Données!$A$158:$B$173,2,FALSE()),"")="","",CHAR(10)&amp;"Système : "&amp;VLOOKUP($C19,_Données!$A$158:$B$173,2,FALSE()))&amp;IF($D19="","",CHAR(10)&amp;"Traitement surface : "&amp;$D19)&amp;IF($E19="","",CHAR(10)&amp;"Vitrage : "&amp;$E19)&amp;IF($F19="","",CHAR(10)&amp;"Cadre : "&amp;$F19)&amp;IF(OR(IFERROR(VLOOKUP($C19,_Données!$A$177:$C$192,2,FALSE()),"")="",AND(OR($C19="Porte Lourde 1 vantail",$C19="Porte Lourde 2 vantaux"),OR(ISNUMBER(SEARCH("ventouse",$R19)),ISNUMBER(SEARCH("antipanique",$R19))))),"",CHAR(10)&amp;"Poignée : "&amp;IFERROR(VLOOKUP($C19,_Données!$A$177:$C$192,2,FALSE()),""))&amp;IF(OR(IFERROR(VLOOKUP($C19,_Données!$A$177:$C$192,3,FALSE()),"")="",AND(OR($C19="Porte Lourde 1 vantail",$C19="Porte Lourde 2 vantaux"),OR(ISNUMBER(SEARCH("ventouse",$R19)),ISNUMBER(SEARCH("antipanique",$R19))))),"",CHAR(10)&amp;"Fermeture : "&amp;IFERROR(VLOOKUP($C19,_Données!$A$177:$C$192,3,FALSE()),""))&amp;AL19&amp;AM19&amp;IF(AND($R19&lt;&gt;"",$R19&lt;&gt;"Aucune option"),CHAR(10)&amp;"Option : "&amp;$R19,"")&amp;IF($L19="OUI",CHAR(10)&amp;"Grille de ventilation","")&amp;IF(AND($P19&lt;&gt;"",$P19&lt;&gt;"Aucun"),CHAR(10)&amp;"Habillage extérieur : "&amp;$P19,"")&amp;IF(AND($Q19&lt;&gt;"",$Q19&lt;&gt;"Aucune"),CHAR(10)&amp;"Bavette : "&amp;$Q19,""))</f>
        <v/>
      </c>
      <c r="K19" s="34"/>
      <c r="L19" s="143"/>
      <c r="M19" s="31"/>
      <c r="N19" s="31"/>
      <c r="O19" s="31"/>
      <c r="P19" s="31"/>
      <c r="Q19" s="31"/>
      <c r="R19" s="31"/>
      <c r="S19" s="35" t="str">
        <f ca="1">IFERROR(IF(ISNUMBER(IFERROR(IF(ISNUMBER(IF(IFERROR(OR(AND($G19&lt;&gt;"",IFERROR(VLOOKUP($C19,_Données!$A$196:$E$211,2,FALSE()),"")&lt;&gt;"",OR($G19&lt;VLOOKUP($C19,_Données!$A$196:$E$211,2,FALSE()),$G19&gt;VLOOKUP($C19,_Données!$A$196:$E$211,3,FALSE()))),AND($H19&lt;&gt;"",IFERROR(VLOOKUP($C19,_Données!$A$196:$E$211,4,FALSE()),"")&lt;&gt;"",OR($H19&lt;VLOOKUP($C19,_Données!$A$196:$E$211,4,FALSE()),$H19&gt;VLOOKUP($C19,_Données!$A$196:$E$211,5,FALSE())))),FALSE),"",IFERROR(IF(AND($R19&lt;&gt;"",$R19&lt;&gt;"Aucune option",NOT(OR($C19="Porte Lourde 1 vantail",$C19="Porte Lourde 2 vantaux"))),"⚠ Option valable uniquement pour Porte Lourde",IF(AE19&gt;0,"⚠ Option T/M incompatible avec la gamme",IF(V19=0,IF(AC19&gt;0,AC19,""),IF(V19=-1,"⚠ Dimension non disponible",(V19+W19+X19+Z19+AA19+AB19+AD19)*(1-Paramètres!$B$2)+AC19)))),""))),IF(IFERROR(OR(AND($G19&lt;&gt;"",IFERROR(VLOOKUP($C19,_Données!$A$196:$E$211,2,FALSE()),"")&lt;&gt;"",OR($G19&lt;VLOOKUP($C19,_Données!$A$196:$E$211,2,FALSE()),$G19&gt;VLOOKUP($C19,_Données!$A$196:$E$211,3,FALSE()))),AND($H19&lt;&gt;"",IFERROR(VLOOKUP($C19,_Données!$A$196:$E$211,4,FALSE()),"")&lt;&gt;"",OR($H19&lt;VLOOKUP($C19,_Données!$A$196:$E$211,4,FALSE()),$H19&gt;VLOOKUP($C19,_Données!$A$196:$E$211,5,FALSE())))),FALSE),"",IFERROR(IF(AND($R19&lt;&gt;"",$R19&lt;&gt;"Aucune option",NOT(OR($C19="Porte Lourde 1 vantail",$C19="Porte Lourde 2 vantaux"))),"⚠ Option valable uniquement pour Porte Lourde",IF(AE19&gt;0,"⚠ Option T/M incompatible avec la gamme",IF(V19=0,IF(AC19&gt;0,AC19,""),IF(V19=-1,"⚠ Dimension non disponible",(V19+W19+X19+Z19+AA19+AB19+AD19)*(1-Paramètres!$B$2)+AC19)))),""))+IF($L19="OUI",25,0),IF(IFERROR(OR(AND($G19&lt;&gt;"",IFERROR(VLOOKUP($C19,_Données!$A$196:$E$211,2,FALSE()),"")&lt;&gt;"",OR($G19&lt;VLOOKUP($C19,_Données!$A$196:$E$211,2,FALSE()),$G19&gt;VLOOKUP($C19,_Données!$A$196:$E$211,3,FALSE()))),AND($H19&lt;&gt;"",IFERROR(VLOOKUP($C19,_Données!$A$196:$E$211,4,FALSE()),"")&lt;&gt;"",OR($H19&lt;VLOOKUP($C19,_Données!$A$196:$E$211,4,FALSE()),$H19&gt;VLOOKUP($C19,_Données!$A$196:$E$211,5,FALSE())))),FALSE),"",IFERROR(IF(AND($R19&lt;&gt;"",$R19&lt;&gt;"Aucune option",NOT(OR($C19="Porte Lourde 1 vantail",$C19="Porte Lourde 2 vantaux"))),"⚠ Option valable uniquement pour Porte Lourde",IF(AE19&gt;0,"⚠ Option T/M incompatible avec la gamme",IF(V19=0,IF(AC19&gt;0,AC19,""),IF(V19=-1,"⚠ Dimension non disponible",(V19+W19+X19+Z19+AA19+AB19+AD19)*(1-Paramètres!$B$2)+AC19)))),""))),"")),IFERROR(IF(ISNUMBER(IF(IFERROR(OR(AND($G19&lt;&gt;"",IFERROR(VLOOKUP($C19,_Données!$A$196:$E$211,2,FALSE()),"")&lt;&gt;"",OR($G19&lt;VLOOKUP($C19,_Données!$A$196:$E$211,2,FALSE()),$G19&gt;VLOOKUP($C19,_Données!$A$196:$E$211,3,FALSE()))),AND($H19&lt;&gt;"",IFERROR(VLOOKUP($C19,_Données!$A$196:$E$211,4,FALSE()),"")&lt;&gt;"",OR($H19&lt;VLOOKUP($C19,_Données!$A$196:$E$211,4,FALSE()),$H19&gt;VLOOKUP($C19,_Données!$A$196:$E$211,5,FALSE())))),FALSE),"",IFERROR(IF(AND($R19&lt;&gt;"",$R19&lt;&gt;"Aucune option",NOT(OR($C19="Porte Lourde 1 vantail",$C19="Porte Lourde 2 vantaux"))),"⚠ Option valable uniquement pour Porte Lourde",IF(AE19&gt;0,"⚠ Option T/M incompatible avec la gamme",IF(V19=0,IF(AC19&gt;0,AC19,""),IF(V19=-1,"⚠ Dimension non disponible",(V19+W19+X19+Z19+AA19+AB19+AD19)*(1-Paramètres!$B$2)+AC19)))),""))),IF(IFERROR(OR(AND($G19&lt;&gt;"",IFERROR(VLOOKUP($C19,_Données!$A$196:$E$211,2,FALSE()),"")&lt;&gt;"",OR($G19&lt;VLOOKUP($C19,_Données!$A$196:$E$211,2,FALSE()),$G19&gt;VLOOKUP($C19,_Données!$A$196:$E$211,3,FALSE()))),AND($H19&lt;&gt;"",IFERROR(VLOOKUP($C19,_Données!$A$196:$E$211,4,FALSE()),"")&lt;&gt;"",OR($H19&lt;VLOOKUP($C19,_Données!$A$196:$E$211,4,FALSE()),$H19&gt;VLOOKUP($C19,_Données!$A$196:$E$211,5,FALSE())))),FALSE),"",IFERROR(IF(AND($R19&lt;&gt;"",$R19&lt;&gt;"Aucune option",NOT(OR($C19="Porte Lourde 1 vantail",$C19="Porte Lourde 2 vantaux"))),"⚠ Option valable uniquement pour Porte Lourde",IF(AE19&gt;0,"⚠ Option T/M incompatible avec la gamme",IF(V19=0,IF(AC19&gt;0,AC19,""),IF(V19=-1,"⚠ Dimension non disponible",(V19+W19+X19+Z19+AA19+AB19+AD19)*(1-Paramètres!$B$2)+AC19)))),""))+IF($L19="OUI",25,0),IF(IFERROR(OR(AND($G19&lt;&gt;"",IFERROR(VLOOKUP($C19,_Données!$A$196:$E$211,2,FALSE()),"")&lt;&gt;"",OR($G19&lt;VLOOKUP($C19,_Données!$A$196:$E$211,2,FALSE()),$G19&gt;VLOOKUP($C19,_Données!$A$196:$E$211,3,FALSE()))),AND($H19&lt;&gt;"",IFERROR(VLOOKUP($C19,_Données!$A$196:$E$211,4,FALSE()),"")&lt;&gt;"",OR($H19&lt;VLOOKUP($C19,_Données!$A$196:$E$211,4,FALSE()),$H19&gt;VLOOKUP($C19,_Données!$A$196:$E$211,5,FALSE())))),FALSE),"",IFERROR(IF(AND($R19&lt;&gt;"",$R19&lt;&gt;"Aucune option",NOT(OR($C19="Porte Lourde 1 vantail",$C19="Porte Lourde 2 vantaux"))),"⚠ Option valable uniquement pour Porte Lourde",IF(AE19&gt;0,"⚠ Option T/M incompatible avec la gamme",IF(V19=0,IF(AC19&gt;0,AC19,""),IF(V19=-1,"⚠ Dimension non disponible",(V19+W19+X19+Z19+AA19+AB19+AD19)*(1-Paramètres!$B$2)+AC19)))),""))),"")+IFERROR(VLOOKUP($P19,_Données!$A$218:$B$229,2,FALSE())*($G19+2*$H19)/1000,0)+IFERROR(VLOOKUP($Q19,_Données!$A$232:$B$236,2,FALSE())*$G19/1000,0),IFERROR(IF(ISNUMBER(IF(IFERROR(OR(AND($G19&lt;&gt;"",IFERROR(VLOOKUP($C19,_Données!$A$196:$E$211,2,FALSE()),"")&lt;&gt;"",OR($G19&lt;VLOOKUP($C19,_Données!$A$196:$E$211,2,FALSE()),$G19&gt;VLOOKUP($C19,_Données!$A$196:$E$211,3,FALSE()))),AND($H19&lt;&gt;"",IFERROR(VLOOKUP($C19,_Données!$A$196:$E$211,4,FALSE()),"")&lt;&gt;"",OR($H19&lt;VLOOKUP($C19,_Données!$A$196:$E$211,4,FALSE()),$H19&gt;VLOOKUP($C19,_Données!$A$196:$E$211,5,FALSE())))),FALSE),"",IFERROR(IF(AND($R19&lt;&gt;"",$R19&lt;&gt;"Aucune option",NOT(OR($C19="Porte Lourde 1 vantail",$C19="Porte Lourde 2 vantaux"))),"⚠ Option valable uniquement pour Porte Lourde",IF(AE19&gt;0,"⚠ Option T/M incompatible avec la gamme",IF(V19=0,IF(AC19&gt;0,AC19,""),IF(V19=-1,"⚠ Dimension non disponible",(V19+W19+X19+Z19+AA19+AB19+AD19)*(1-Paramètres!$B$2)+AC19)))),""))),IF(IFERROR(OR(AND($G19&lt;&gt;"",IFERROR(VLOOKUP($C19,_Données!$A$196:$E$211,2,FALSE()),"")&lt;&gt;"",OR($G19&lt;VLOOKUP($C19,_Données!$A$196:$E$211,2,FALSE()),$G19&gt;VLOOKUP($C19,_Données!$A$196:$E$211,3,FALSE()))),AND($H19&lt;&gt;"",IFERROR(VLOOKUP($C19,_Données!$A$196:$E$211,4,FALSE()),"")&lt;&gt;"",OR($H19&lt;VLOOKUP($C19,_Données!$A$196:$E$211,4,FALSE()),$H19&gt;VLOOKUP($C19,_Données!$A$196:$E$211,5,FALSE())))),FALSE),"",IFERROR(IF(AND($R19&lt;&gt;"",$R19&lt;&gt;"Aucune option",NOT(OR($C19="Porte Lourde 1 vantail",$C19="Porte Lourde 2 vantaux"))),"⚠ Option valable uniquement pour Porte Lourde",IF(AE19&gt;0,"⚠ Option T/M incompatible avec la gamme",IF(V19=0,IF(AC19&gt;0,AC19,""),IF(V19=-1,"⚠ Dimension non disponible",(V19+W19+X19+Z19+AA19+AB19+AD19)*(1-Paramètres!$B$2)+AC19)))),""))+IF($L19="OUI",25,0),IF(IFERROR(OR(AND($G19&lt;&gt;"",IFERROR(VLOOKUP($C19,_Données!$A$196:$E$211,2,FALSE()),"")&lt;&gt;"",OR($G19&lt;VLOOKUP($C19,_Données!$A$196:$E$211,2,FALSE()),$G19&gt;VLOOKUP($C19,_Données!$A$196:$E$211,3,FALSE()))),AND($H19&lt;&gt;"",IFERROR(VLOOKUP($C19,_Données!$A$196:$E$211,4,FALSE()),"")&lt;&gt;"",OR($H19&lt;VLOOKUP($C19,_Données!$A$196:$E$211,4,FALSE()),$H19&gt;VLOOKUP($C19,_Données!$A$196:$E$211,5,FALSE())))),FALSE),"",IFERROR(IF(AND($R19&lt;&gt;"",$R19&lt;&gt;"Aucune option",NOT(OR($C19="Porte Lourde 1 vantail",$C19="Porte Lourde 2 vantaux"))),"⚠ Option valable uniquement pour Porte Lourde",IF(AE19&gt;0,"⚠ Option T/M incompatible avec la gamme",IF(V19=0,IF(AC19&gt;0,AC19,""),IF(V19=-1,"⚠ Dimension non disponible",(V19+W19+X19+Z19+AA19+AB19+AD19)*(1-Paramètres!$B$2)+AC19)))),""))),"")),"")</f>
        <v/>
      </c>
      <c r="T19" s="36" t="str">
        <f t="shared" ca="1" si="0"/>
        <v/>
      </c>
      <c r="V19" s="28">
        <f ca="1">IFERROR(IF(OR($C19="",$G19="",$H19=""),0,IF(INDIRECT("'"&amp;VLOOKUP($C19,_Données!$A$3:$V$18,2,FALSE())&amp;"'!"&amp;ADDRESS((VLOOKUP($C19,_Données!$A$3:$V$18,12,FALSE())+IFERROR(MATCH(MAX(VLOOKUP($C19,_Données!$A$3:$V$18,18,FALSE()),MIN(VLOOKUP($C19,_Données!$A$3:$V$18,6,FALSE()),(VLOOKUP($C19,_Données!$A$3:$V$18,18,FALSE())+ROUND(($H19-VLOOKUP($C19,_Données!$A$3:$V$18,18,FALSE()))/VLOOKUP($C19,_Données!$A$3:$V$18,19,FALSE()),0)*VLOOKUP($C19,_Données!$A$3:$V$18,19,FALSE())))),INDIRECT("'"&amp;VLOOKUP($C19,_Données!$A$3:$V$18,2,FALSE())&amp;"'!"&amp;ADDRESS(VLOOKUP($C19,_Données!$A$3:$V$18,12,FALSE()),1,4)&amp;":"&amp;ADDRESS(VLOOKUP($C19,_Données!$A$3:$V$18,12,FALSE())+VLOOKUP($C19,_Données!$A$3:$V$18,15,FALSE())-1,1,4)),0),MATCH(MAX(VLOOKUP($C19,_Données!$A$3:$V$18,18,FALSE()),MIN(VLOOKUP($C19,_Données!$A$3:$V$18,6,FALSE()),(VLOOKUP($C19,_Données!$A$3:$V$18,18,FALSE())+ROUND(($H19-VLOOKUP($C19,_Données!$A$3:$V$18,18,FALSE()))/VLOOKUP($C19,_Données!$A$3:$V$18,19,FALSE()),0)*VLOOKUP($C19,_Données!$A$3:$V$18,19,FALSE())))),INDIRECT("'"&amp;VLOOKUP($C19,_Données!$A$3:$V$18,2,FALSE())&amp;"'!"&amp;ADDRESS(VLOOKUP($C19,_Données!$A$3:$V$18,12,FALSE()),1,4)&amp;":"&amp;ADDRESS(VLOOKUP($C19,_Données!$A$3:$V$18,12,FALSE())+VLOOKUP($C19,_Données!$A$3:$V$18,15,FALSE())-1,1,4)),1))-1),(VLOOKUP($C19,_Données!$A$3:$V$18,13,FALSE())+IFERROR(MATCH(MAX(VLOOKUP($C19,_Données!$A$3:$V$18,16,FALSE()),MIN(VLOOKUP($C19,_Données!$A$3:$V$18,4,FALSE()),(VLOOKUP($C19,_Données!$A$3:$V$18,16,FALSE())+ROUND(($G19-VLOOKUP($C19,_Données!$A$3:$V$18,16,FALSE()))/VLOOKUP($C19,_Données!$A$3:$V$18,17,FALSE()),0)*VLOOKUP($C19,_Données!$A$3:$V$18,17,FALSE())))),INDIRECT("'"&amp;VLOOKUP($C19,_Données!$A$3:$V$18,2,FALSE())&amp;"'!"&amp;ADDRESS(VLOOKUP($C19,_Données!$A$3:$V$18,12,FALSE())-1,VLOOKUP($C19,_Données!$A$3:$V$18,13,FALSE()),4)&amp;":"&amp;ADDRESS(VLOOKUP($C19,_Données!$A$3:$V$18,12,FALSE())-1,VLOOKUP($C19,_Données!$A$3:$V$18,13,FALSE())+VLOOKUP($C19,_Données!$A$3:$V$18,14,FALSE())-1,4)),0),MATCH(MAX(VLOOKUP($C19,_Données!$A$3:$V$18,16,FALSE()),MIN(VLOOKUP($C19,_Données!$A$3:$V$18,4,FALSE()),(VLOOKUP($C19,_Données!$A$3:$V$18,16,FALSE())+ROUND(($G19-VLOOKUP($C19,_Données!$A$3:$V$18,16,FALSE()))/VLOOKUP($C19,_Données!$A$3:$V$18,17,FALSE()),0)*VLOOKUP($C19,_Données!$A$3:$V$18,17,FALSE())))),INDIRECT("'"&amp;VLOOKUP($C19,_Données!$A$3:$V$18,2,FALSE())&amp;"'!"&amp;ADDRESS(VLOOKUP($C19,_Données!$A$3:$V$18,12,FALSE())-1,VLOOKUP($C19,_Données!$A$3:$V$18,13,FALSE()),4)&amp;":"&amp;ADDRESS(VLOOKUP($C19,_Données!$A$3:$V$18,12,FALSE())-1,VLOOKUP($C19,_Données!$A$3:$V$18,13,FALSE())+VLOOKUP($C19,_Données!$A$3:$V$18,14,FALSE())-1,4)),1))-1),4))="",-1,INDIRECT("'"&amp;VLOOKUP($C19,_Données!$A$3:$V$18,2,FALSE())&amp;"'!"&amp;ADDRESS((VLOOKUP($C19,_Données!$A$3:$V$18,12,FALSE())+IFERROR(MATCH(MAX(VLOOKUP($C19,_Données!$A$3:$V$18,18,FALSE()),MIN(VLOOKUP($C19,_Données!$A$3:$V$18,6,FALSE()),(VLOOKUP($C19,_Données!$A$3:$V$18,18,FALSE())+ROUND(($H19-VLOOKUP($C19,_Données!$A$3:$V$18,18,FALSE()))/VLOOKUP($C19,_Données!$A$3:$V$18,19,FALSE()),0)*VLOOKUP($C19,_Données!$A$3:$V$18,19,FALSE())))),INDIRECT("'"&amp;VLOOKUP($C19,_Données!$A$3:$V$18,2,FALSE())&amp;"'!"&amp;ADDRESS(VLOOKUP($C19,_Données!$A$3:$V$18,12,FALSE()),1,4)&amp;":"&amp;ADDRESS(VLOOKUP($C19,_Données!$A$3:$V$18,12,FALSE())+VLOOKUP($C19,_Données!$A$3:$V$18,15,FALSE())-1,1,4)),0),MATCH(MAX(VLOOKUP($C19,_Données!$A$3:$V$18,18,FALSE()),MIN(VLOOKUP($C19,_Données!$A$3:$V$18,6,FALSE()),(VLOOKUP($C19,_Données!$A$3:$V$18,18,FALSE())+ROUND(($H19-VLOOKUP($C19,_Données!$A$3:$V$18,18,FALSE()))/VLOOKUP($C19,_Données!$A$3:$V$18,19,FALSE()),0)*VLOOKUP($C19,_Données!$A$3:$V$18,19,FALSE())))),INDIRECT("'"&amp;VLOOKUP($C19,_Données!$A$3:$V$18,2,FALSE())&amp;"'!"&amp;ADDRESS(VLOOKUP($C19,_Données!$A$3:$V$18,12,FALSE()),1,4)&amp;":"&amp;ADDRESS(VLOOKUP($C19,_Données!$A$3:$V$18,12,FALSE())+VLOOKUP($C19,_Données!$A$3:$V$18,15,FALSE())-1,1,4)),1))-1),(VLOOKUP($C19,_Données!$A$3:$V$18,13,FALSE())+IFERROR(MATCH(MAX(VLOOKUP($C19,_Données!$A$3:$V$18,16,FALSE()),MIN(VLOOKUP($C19,_Données!$A$3:$V$18,4,FALSE()),(VLOOKUP($C19,_Données!$A$3:$V$18,16,FALSE())+ROUND(($G19-VLOOKUP($C19,_Données!$A$3:$V$18,16,FALSE()))/VLOOKUP($C19,_Données!$A$3:$V$18,17,FALSE()),0)*VLOOKUP($C19,_Données!$A$3:$V$18,17,FALSE())))),INDIRECT("'"&amp;VLOOKUP($C19,_Données!$A$3:$V$18,2,FALSE())&amp;"'!"&amp;ADDRESS(VLOOKUP($C19,_Données!$A$3:$V$18,12,FALSE())-1,VLOOKUP($C19,_Données!$A$3:$V$18,13,FALSE()),4)&amp;":"&amp;ADDRESS(VLOOKUP($C19,_Données!$A$3:$V$18,12,FALSE())-1,VLOOKUP($C19,_Données!$A$3:$V$18,13,FALSE())+VLOOKUP($C19,_Données!$A$3:$V$18,14,FALSE())-1,4)),0),MATCH(MAX(VLOOKUP($C19,_Données!$A$3:$V$18,16,FALSE()),MIN(VLOOKUP($C19,_Données!$A$3:$V$18,4,FALSE()),(VLOOKUP($C19,_Données!$A$3:$V$18,16,FALSE())+ROUND(($G19-VLOOKUP($C19,_Données!$A$3:$V$18,16,FALSE()))/VLOOKUP($C19,_Données!$A$3:$V$18,17,FALSE()),0)*VLOOKUP($C19,_Données!$A$3:$V$18,17,FALSE())))),INDIRECT("'"&amp;VLOOKUP($C19,_Données!$A$3:$V$18,2,FALSE())&amp;"'!"&amp;ADDRESS(VLOOKUP($C19,_Données!$A$3:$V$18,12,FALSE())-1,VLOOKUP($C19,_Données!$A$3:$V$18,13,FALSE()),4)&amp;":"&amp;ADDRESS(VLOOKUP($C19,_Données!$A$3:$V$18,12,FALSE())-1,VLOOKUP($C19,_Données!$A$3:$V$18,13,FALSE())+VLOOKUP($C19,_Données!$A$3:$V$18,14,FALSE())-1,4)),1))-1),4)))),0)</f>
        <v>0</v>
      </c>
      <c r="W19" s="28">
        <f ca="1">IFERROR(IF(V19=0,0,IF(MAX(VLOOKUP($C19,_Données!$A$3:$V$18,18,FALSE()),MIN(VLOOKUP($C19,_Données!$A$3:$V$18,6,FALSE()),(VLOOKUP($C19,_Données!$A$3:$V$18,18,FALSE())+ROUND(($H19-VLOOKUP($C19,_Données!$A$3:$V$18,18,FALSE()))/VLOOKUP($C19,_Données!$A$3:$V$18,19,FALSE()),0)*VLOOKUP($C19,_Données!$A$3:$V$18,19,FALSE()))))&gt;=VLOOKUP($C19,_Données!$A$3:$V$18,10,FALSE()),V19*VLOOKUP($C19,_Données!$A$3:$V$18,11,FALSE()),0)),0)</f>
        <v>0</v>
      </c>
      <c r="X19" s="28">
        <f ca="1">IFERROR(IF(OR($D19="",V19=0),0,V19*VLOOKUP($D19,_Données!$A$21:$C$28,2,FALSE())),0)</f>
        <v>0</v>
      </c>
      <c r="Y19" s="28">
        <f>IFERROR(IF($D19="",0,VLOOKUP($D19,_Données!$A$21:$C$28,3,FALSE())),0)</f>
        <v>0</v>
      </c>
      <c r="Z19" s="28">
        <f>IFERROR(IF($E19="",0,VLOOKUP($E19,_Données!$A$48:$C$104,2,FALSE())),0)</f>
        <v>0</v>
      </c>
      <c r="AA19" s="28">
        <f>IFERROR(IF(OR($F19="",$G19="",$H19=""),0,VLOOKUP($F19,_Données!$A$33:$C$43,2,FALSE())*2*($G19+$H19)/1000),0)</f>
        <v>0</v>
      </c>
      <c r="AB19" s="28">
        <f ca="1">IFERROR(IF(OR($F19="",V19=0),0,V19*VLOOKUP($F19,_Données!$A$33:$C$43,3,FALSE())),0)</f>
        <v>0</v>
      </c>
      <c r="AC19" s="29">
        <f>IFERROR(IF(OR($R19="",$R19="Aucune option",NOT(OR($C19="Porte Lourde 1 vantail",$C19="Porte Lourde 2 vantaux"))),0,VLOOKUP($R19,_Données!$A$109:$C$125,2,FALSE())*0.75*IF(VLOOKUP($R19,_Données!$A$109:$C$125,3,FALSE())=1,IF($C19="Porte Lourde 1 vantail",1,IF($C19="Porte Lourde 2 vantaux",2,1)),1)*(1-Paramètres!$B$2)),0)</f>
        <v>0</v>
      </c>
      <c r="AD19">
        <f>IFERROR(IF(OR($M19="",$M19="Aucune"),0,VLOOKUP($C19&amp;"|"&amp;$M19,_Données!$A$132:$B$146,2,FALSE())*IF(LEFT($M19,8)="Traverse",$G19,$H19)/1000),0)+IFERROR(IF(OR($N19="",$N19="Aucune"),0,VLOOKUP($C19&amp;"|"&amp;$N19,_Données!$A$132:$B$146,2,FALSE())*IF(LEFT($N19,8)="Traverse",$G19,$H19)/1000),0)+IFERROR(IF(OR($O19="",$O19="Aucune"),0,VLOOKUP($C19&amp;"|"&amp;$O19,_Données!$A$132:$B$146,2,FALSE())*IF(LEFT($O19,8)="Traverse",$G19,$H19)/1000),0)</f>
        <v>0</v>
      </c>
      <c r="AE19">
        <f>IF(AND($M19&lt;&gt;"",$M19&lt;&gt;"Aucune"),IF(ISNA(VLOOKUP($C19&amp;"|"&amp;$M19,_Données!$A$132:$B$146,2,FALSE())),1,0),0)+IF(AND($N19&lt;&gt;"",$N19&lt;&gt;"Aucune"),IF(ISNA(VLOOKUP($C19&amp;"|"&amp;$N19,_Données!$A$132:$B$146,2,FALSE())),1,0),0)+IF(AND($O19&lt;&gt;"",$O19&lt;&gt;"Aucune"),IF(ISNA(VLOOKUP($C19&amp;"|"&amp;$O19,_Données!$A$132:$B$146,2,FALSE())),1,0),0)</f>
        <v>0</v>
      </c>
      <c r="AF19" t="str">
        <f t="shared" si="1"/>
        <v/>
      </c>
      <c r="AG19" t="str">
        <f t="shared" si="2"/>
        <v/>
      </c>
      <c r="AH19" t="str">
        <f t="shared" si="3"/>
        <v/>
      </c>
      <c r="AI19" t="str">
        <f t="shared" si="4"/>
        <v/>
      </c>
      <c r="AJ19" t="str">
        <f t="shared" si="5"/>
        <v/>
      </c>
      <c r="AK19" t="str">
        <f t="shared" si="6"/>
        <v/>
      </c>
      <c r="AL19" t="str">
        <f t="shared" si="7"/>
        <v/>
      </c>
      <c r="AM19" t="str">
        <f t="shared" si="8"/>
        <v/>
      </c>
    </row>
    <row r="20" spans="1:39" ht="111" customHeight="1" x14ac:dyDescent="0.25">
      <c r="A20" s="22">
        <v>7</v>
      </c>
      <c r="B20" s="17"/>
      <c r="C20" s="17"/>
      <c r="D20" s="17"/>
      <c r="E20" s="17"/>
      <c r="F20" s="17"/>
      <c r="G20" s="23"/>
      <c r="H20" s="23"/>
      <c r="I20" s="23"/>
      <c r="J20" s="24" t="str">
        <f>IF($C20="","",$C20&amp;" aluminium"&amp;IF(OR($G20="",$H20=""),"",", "&amp;$G20&amp;" × "&amp;$H20&amp;" mm")&amp;IF(OR(AND($G20&lt;&gt;"",IFERROR(VLOOKUP($C20,_Données!$A$196:$E$211,2,FALSE()),"")&lt;&gt;"",OR($G20&lt;IFERROR(VLOOKUP($C20,_Données!$A$196:$E$211,2,FALSE()),""),$G20&gt;IFERROR(VLOOKUP($C20,_Données!$A$196:$E$211,3,FALSE()),""))),AND($H20&lt;&gt;"",IFERROR(VLOOKUP($C20,_Données!$A$196:$E$211,4,FALSE()),"")&lt;&gt;"",OR($H20&lt;IFERROR(VLOOKUP($C20,_Données!$A$196:$E$211,4,FALSE()),""),$H20&gt;IFERROR(VLOOKUP($C20,_Données!$A$196:$E$211,5,FALSE()),"")))),CHAR(10)&amp;"⚠ Hors abaque (L "&amp;IFERROR(VLOOKUP($C20,_Données!$A$196:$E$211,2,FALSE()),"")&amp;"–"&amp;IFERROR(VLOOKUP($C20,_Données!$A$196:$E$211,3,FALSE()),"")&amp;" / H "&amp;IFERROR(VLOOKUP($C20,_Données!$A$196:$E$211,4,FALSE()),"")&amp;"–"&amp;IFERROR(VLOOKUP($C20,_Données!$A$196:$E$211,5,FALSE()),"")&amp;" mm)","")&amp;IF(IFERROR(VLOOKUP($C20,_Données!$A$158:$B$173,2,FALSE()),"")="","",CHAR(10)&amp;"Système : "&amp;VLOOKUP($C20,_Données!$A$158:$B$173,2,FALSE()))&amp;IF($D20="","",CHAR(10)&amp;"Traitement surface : "&amp;$D20)&amp;IF($E20="","",CHAR(10)&amp;"Vitrage : "&amp;$E20)&amp;IF($F20="","",CHAR(10)&amp;"Cadre : "&amp;$F20)&amp;IF(OR(IFERROR(VLOOKUP($C20,_Données!$A$177:$C$192,2,FALSE()),"")="",AND(OR($C20="Porte Lourde 1 vantail",$C20="Porte Lourde 2 vantaux"),OR(ISNUMBER(SEARCH("ventouse",$R20)),ISNUMBER(SEARCH("antipanique",$R20))))),"",CHAR(10)&amp;"Poignée : "&amp;IFERROR(VLOOKUP($C20,_Données!$A$177:$C$192,2,FALSE()),""))&amp;IF(OR(IFERROR(VLOOKUP($C20,_Données!$A$177:$C$192,3,FALSE()),"")="",AND(OR($C20="Porte Lourde 1 vantail",$C20="Porte Lourde 2 vantaux"),OR(ISNUMBER(SEARCH("ventouse",$R20)),ISNUMBER(SEARCH("antipanique",$R20))))),"",CHAR(10)&amp;"Fermeture : "&amp;IFERROR(VLOOKUP($C20,_Données!$A$177:$C$192,3,FALSE()),""))&amp;AL20&amp;AM20&amp;IF(AND($R20&lt;&gt;"",$R20&lt;&gt;"Aucune option"),CHAR(10)&amp;"Option : "&amp;$R20,"")&amp;IF($L20="OUI",CHAR(10)&amp;"Grille de ventilation","")&amp;IF(AND($P20&lt;&gt;"",$P20&lt;&gt;"Aucun"),CHAR(10)&amp;"Habillage extérieur : "&amp;$P20,"")&amp;IF(AND($Q20&lt;&gt;"",$Q20&lt;&gt;"Aucune"),CHAR(10)&amp;"Bavette : "&amp;$Q20,""))</f>
        <v/>
      </c>
      <c r="K20" s="37"/>
      <c r="L20" s="140"/>
      <c r="M20" s="17"/>
      <c r="N20" s="17"/>
      <c r="O20" s="17"/>
      <c r="P20" s="17"/>
      <c r="Q20" s="17"/>
      <c r="R20" s="17"/>
      <c r="S20" s="26" t="str">
        <f ca="1">IFERROR(IF(ISNUMBER(IFERROR(IF(ISNUMBER(IF(IFERROR(OR(AND($G20&lt;&gt;"",IFERROR(VLOOKUP($C20,_Données!$A$196:$E$211,2,FALSE()),"")&lt;&gt;"",OR($G20&lt;VLOOKUP($C20,_Données!$A$196:$E$211,2,FALSE()),$G20&gt;VLOOKUP($C20,_Données!$A$196:$E$211,3,FALSE()))),AND($H20&lt;&gt;"",IFERROR(VLOOKUP($C20,_Données!$A$196:$E$211,4,FALSE()),"")&lt;&gt;"",OR($H20&lt;VLOOKUP($C20,_Données!$A$196:$E$211,4,FALSE()),$H20&gt;VLOOKUP($C20,_Données!$A$196:$E$211,5,FALSE())))),FALSE),"",IFERROR(IF(AND($R20&lt;&gt;"",$R20&lt;&gt;"Aucune option",NOT(OR($C20="Porte Lourde 1 vantail",$C20="Porte Lourde 2 vantaux"))),"⚠ Option valable uniquement pour Porte Lourde",IF(AE20&gt;0,"⚠ Option T/M incompatible avec la gamme",IF(V20=0,IF(AC20&gt;0,AC20,""),IF(V20=-1,"⚠ Dimension non disponible",(V20+W20+X20+Z20+AA20+AB20+AD20)*(1-Paramètres!$B$2)+AC20)))),""))),IF(IFERROR(OR(AND($G20&lt;&gt;"",IFERROR(VLOOKUP($C20,_Données!$A$196:$E$211,2,FALSE()),"")&lt;&gt;"",OR($G20&lt;VLOOKUP($C20,_Données!$A$196:$E$211,2,FALSE()),$G20&gt;VLOOKUP($C20,_Données!$A$196:$E$211,3,FALSE()))),AND($H20&lt;&gt;"",IFERROR(VLOOKUP($C20,_Données!$A$196:$E$211,4,FALSE()),"")&lt;&gt;"",OR($H20&lt;VLOOKUP($C20,_Données!$A$196:$E$211,4,FALSE()),$H20&gt;VLOOKUP($C20,_Données!$A$196:$E$211,5,FALSE())))),FALSE),"",IFERROR(IF(AND($R20&lt;&gt;"",$R20&lt;&gt;"Aucune option",NOT(OR($C20="Porte Lourde 1 vantail",$C20="Porte Lourde 2 vantaux"))),"⚠ Option valable uniquement pour Porte Lourde",IF(AE20&gt;0,"⚠ Option T/M incompatible avec la gamme",IF(V20=0,IF(AC20&gt;0,AC20,""),IF(V20=-1,"⚠ Dimension non disponible",(V20+W20+X20+Z20+AA20+AB20+AD20)*(1-Paramètres!$B$2)+AC20)))),""))+IF($L20="OUI",25,0),IF(IFERROR(OR(AND($G20&lt;&gt;"",IFERROR(VLOOKUP($C20,_Données!$A$196:$E$211,2,FALSE()),"")&lt;&gt;"",OR($G20&lt;VLOOKUP($C20,_Données!$A$196:$E$211,2,FALSE()),$G20&gt;VLOOKUP($C20,_Données!$A$196:$E$211,3,FALSE()))),AND($H20&lt;&gt;"",IFERROR(VLOOKUP($C20,_Données!$A$196:$E$211,4,FALSE()),"")&lt;&gt;"",OR($H20&lt;VLOOKUP($C20,_Données!$A$196:$E$211,4,FALSE()),$H20&gt;VLOOKUP($C20,_Données!$A$196:$E$211,5,FALSE())))),FALSE),"",IFERROR(IF(AND($R20&lt;&gt;"",$R20&lt;&gt;"Aucune option",NOT(OR($C20="Porte Lourde 1 vantail",$C20="Porte Lourde 2 vantaux"))),"⚠ Option valable uniquement pour Porte Lourde",IF(AE20&gt;0,"⚠ Option T/M incompatible avec la gamme",IF(V20=0,IF(AC20&gt;0,AC20,""),IF(V20=-1,"⚠ Dimension non disponible",(V20+W20+X20+Z20+AA20+AB20+AD20)*(1-Paramètres!$B$2)+AC20)))),""))),"")),IFERROR(IF(ISNUMBER(IF(IFERROR(OR(AND($G20&lt;&gt;"",IFERROR(VLOOKUP($C20,_Données!$A$196:$E$211,2,FALSE()),"")&lt;&gt;"",OR($G20&lt;VLOOKUP($C20,_Données!$A$196:$E$211,2,FALSE()),$G20&gt;VLOOKUP($C20,_Données!$A$196:$E$211,3,FALSE()))),AND($H20&lt;&gt;"",IFERROR(VLOOKUP($C20,_Données!$A$196:$E$211,4,FALSE()),"")&lt;&gt;"",OR($H20&lt;VLOOKUP($C20,_Données!$A$196:$E$211,4,FALSE()),$H20&gt;VLOOKUP($C20,_Données!$A$196:$E$211,5,FALSE())))),FALSE),"",IFERROR(IF(AND($R20&lt;&gt;"",$R20&lt;&gt;"Aucune option",NOT(OR($C20="Porte Lourde 1 vantail",$C20="Porte Lourde 2 vantaux"))),"⚠ Option valable uniquement pour Porte Lourde",IF(AE20&gt;0,"⚠ Option T/M incompatible avec la gamme",IF(V20=0,IF(AC20&gt;0,AC20,""),IF(V20=-1,"⚠ Dimension non disponible",(V20+W20+X20+Z20+AA20+AB20+AD20)*(1-Paramètres!$B$2)+AC20)))),""))),IF(IFERROR(OR(AND($G20&lt;&gt;"",IFERROR(VLOOKUP($C20,_Données!$A$196:$E$211,2,FALSE()),"")&lt;&gt;"",OR($G20&lt;VLOOKUP($C20,_Données!$A$196:$E$211,2,FALSE()),$G20&gt;VLOOKUP($C20,_Données!$A$196:$E$211,3,FALSE()))),AND($H20&lt;&gt;"",IFERROR(VLOOKUP($C20,_Données!$A$196:$E$211,4,FALSE()),"")&lt;&gt;"",OR($H20&lt;VLOOKUP($C20,_Données!$A$196:$E$211,4,FALSE()),$H20&gt;VLOOKUP($C20,_Données!$A$196:$E$211,5,FALSE())))),FALSE),"",IFERROR(IF(AND($R20&lt;&gt;"",$R20&lt;&gt;"Aucune option",NOT(OR($C20="Porte Lourde 1 vantail",$C20="Porte Lourde 2 vantaux"))),"⚠ Option valable uniquement pour Porte Lourde",IF(AE20&gt;0,"⚠ Option T/M incompatible avec la gamme",IF(V20=0,IF(AC20&gt;0,AC20,""),IF(V20=-1,"⚠ Dimension non disponible",(V20+W20+X20+Z20+AA20+AB20+AD20)*(1-Paramètres!$B$2)+AC20)))),""))+IF($L20="OUI",25,0),IF(IFERROR(OR(AND($G20&lt;&gt;"",IFERROR(VLOOKUP($C20,_Données!$A$196:$E$211,2,FALSE()),"")&lt;&gt;"",OR($G20&lt;VLOOKUP($C20,_Données!$A$196:$E$211,2,FALSE()),$G20&gt;VLOOKUP($C20,_Données!$A$196:$E$211,3,FALSE()))),AND($H20&lt;&gt;"",IFERROR(VLOOKUP($C20,_Données!$A$196:$E$211,4,FALSE()),"")&lt;&gt;"",OR($H20&lt;VLOOKUP($C20,_Données!$A$196:$E$211,4,FALSE()),$H20&gt;VLOOKUP($C20,_Données!$A$196:$E$211,5,FALSE())))),FALSE),"",IFERROR(IF(AND($R20&lt;&gt;"",$R20&lt;&gt;"Aucune option",NOT(OR($C20="Porte Lourde 1 vantail",$C20="Porte Lourde 2 vantaux"))),"⚠ Option valable uniquement pour Porte Lourde",IF(AE20&gt;0,"⚠ Option T/M incompatible avec la gamme",IF(V20=0,IF(AC20&gt;0,AC20,""),IF(V20=-1,"⚠ Dimension non disponible",(V20+W20+X20+Z20+AA20+AB20+AD20)*(1-Paramètres!$B$2)+AC20)))),""))),"")+IFERROR(VLOOKUP($P20,_Données!$A$218:$B$229,2,FALSE())*($G20+2*$H20)/1000,0)+IFERROR(VLOOKUP($Q20,_Données!$A$232:$B$236,2,FALSE())*$G20/1000,0),IFERROR(IF(ISNUMBER(IF(IFERROR(OR(AND($G20&lt;&gt;"",IFERROR(VLOOKUP($C20,_Données!$A$196:$E$211,2,FALSE()),"")&lt;&gt;"",OR($G20&lt;VLOOKUP($C20,_Données!$A$196:$E$211,2,FALSE()),$G20&gt;VLOOKUP($C20,_Données!$A$196:$E$211,3,FALSE()))),AND($H20&lt;&gt;"",IFERROR(VLOOKUP($C20,_Données!$A$196:$E$211,4,FALSE()),"")&lt;&gt;"",OR($H20&lt;VLOOKUP($C20,_Données!$A$196:$E$211,4,FALSE()),$H20&gt;VLOOKUP($C20,_Données!$A$196:$E$211,5,FALSE())))),FALSE),"",IFERROR(IF(AND($R20&lt;&gt;"",$R20&lt;&gt;"Aucune option",NOT(OR($C20="Porte Lourde 1 vantail",$C20="Porte Lourde 2 vantaux"))),"⚠ Option valable uniquement pour Porte Lourde",IF(AE20&gt;0,"⚠ Option T/M incompatible avec la gamme",IF(V20=0,IF(AC20&gt;0,AC20,""),IF(V20=-1,"⚠ Dimension non disponible",(V20+W20+X20+Z20+AA20+AB20+AD20)*(1-Paramètres!$B$2)+AC20)))),""))),IF(IFERROR(OR(AND($G20&lt;&gt;"",IFERROR(VLOOKUP($C20,_Données!$A$196:$E$211,2,FALSE()),"")&lt;&gt;"",OR($G20&lt;VLOOKUP($C20,_Données!$A$196:$E$211,2,FALSE()),$G20&gt;VLOOKUP($C20,_Données!$A$196:$E$211,3,FALSE()))),AND($H20&lt;&gt;"",IFERROR(VLOOKUP($C20,_Données!$A$196:$E$211,4,FALSE()),"")&lt;&gt;"",OR($H20&lt;VLOOKUP($C20,_Données!$A$196:$E$211,4,FALSE()),$H20&gt;VLOOKUP($C20,_Données!$A$196:$E$211,5,FALSE())))),FALSE),"",IFERROR(IF(AND($R20&lt;&gt;"",$R20&lt;&gt;"Aucune option",NOT(OR($C20="Porte Lourde 1 vantail",$C20="Porte Lourde 2 vantaux"))),"⚠ Option valable uniquement pour Porte Lourde",IF(AE20&gt;0,"⚠ Option T/M incompatible avec la gamme",IF(V20=0,IF(AC20&gt;0,AC20,""),IF(V20=-1,"⚠ Dimension non disponible",(V20+W20+X20+Z20+AA20+AB20+AD20)*(1-Paramètres!$B$2)+AC20)))),""))+IF($L20="OUI",25,0),IF(IFERROR(OR(AND($G20&lt;&gt;"",IFERROR(VLOOKUP($C20,_Données!$A$196:$E$211,2,FALSE()),"")&lt;&gt;"",OR($G20&lt;VLOOKUP($C20,_Données!$A$196:$E$211,2,FALSE()),$G20&gt;VLOOKUP($C20,_Données!$A$196:$E$211,3,FALSE()))),AND($H20&lt;&gt;"",IFERROR(VLOOKUP($C20,_Données!$A$196:$E$211,4,FALSE()),"")&lt;&gt;"",OR($H20&lt;VLOOKUP($C20,_Données!$A$196:$E$211,4,FALSE()),$H20&gt;VLOOKUP($C20,_Données!$A$196:$E$211,5,FALSE())))),FALSE),"",IFERROR(IF(AND($R20&lt;&gt;"",$R20&lt;&gt;"Aucune option",NOT(OR($C20="Porte Lourde 1 vantail",$C20="Porte Lourde 2 vantaux"))),"⚠ Option valable uniquement pour Porte Lourde",IF(AE20&gt;0,"⚠ Option T/M incompatible avec la gamme",IF(V20=0,IF(AC20&gt;0,AC20,""),IF(V20=-1,"⚠ Dimension non disponible",(V20+W20+X20+Z20+AA20+AB20+AD20)*(1-Paramètres!$B$2)+AC20)))),""))),"")),"")</f>
        <v/>
      </c>
      <c r="T20" s="27" t="str">
        <f t="shared" ca="1" si="0"/>
        <v/>
      </c>
      <c r="V20" s="28">
        <f ca="1">IFERROR(IF(OR($C20="",$G20="",$H20=""),0,IF(INDIRECT("'"&amp;VLOOKUP($C20,_Données!$A$3:$V$18,2,FALSE())&amp;"'!"&amp;ADDRESS((VLOOKUP($C20,_Données!$A$3:$V$18,12,FALSE())+IFERROR(MATCH(MAX(VLOOKUP($C20,_Données!$A$3:$V$18,18,FALSE()),MIN(VLOOKUP($C20,_Données!$A$3:$V$18,6,FALSE()),(VLOOKUP($C20,_Données!$A$3:$V$18,18,FALSE())+ROUND(($H20-VLOOKUP($C20,_Données!$A$3:$V$18,18,FALSE()))/VLOOKUP($C20,_Données!$A$3:$V$18,19,FALSE()),0)*VLOOKUP($C20,_Données!$A$3:$V$18,19,FALSE())))),INDIRECT("'"&amp;VLOOKUP($C20,_Données!$A$3:$V$18,2,FALSE())&amp;"'!"&amp;ADDRESS(VLOOKUP($C20,_Données!$A$3:$V$18,12,FALSE()),1,4)&amp;":"&amp;ADDRESS(VLOOKUP($C20,_Données!$A$3:$V$18,12,FALSE())+VLOOKUP($C20,_Données!$A$3:$V$18,15,FALSE())-1,1,4)),0),MATCH(MAX(VLOOKUP($C20,_Données!$A$3:$V$18,18,FALSE()),MIN(VLOOKUP($C20,_Données!$A$3:$V$18,6,FALSE()),(VLOOKUP($C20,_Données!$A$3:$V$18,18,FALSE())+ROUND(($H20-VLOOKUP($C20,_Données!$A$3:$V$18,18,FALSE()))/VLOOKUP($C20,_Données!$A$3:$V$18,19,FALSE()),0)*VLOOKUP($C20,_Données!$A$3:$V$18,19,FALSE())))),INDIRECT("'"&amp;VLOOKUP($C20,_Données!$A$3:$V$18,2,FALSE())&amp;"'!"&amp;ADDRESS(VLOOKUP($C20,_Données!$A$3:$V$18,12,FALSE()),1,4)&amp;":"&amp;ADDRESS(VLOOKUP($C20,_Données!$A$3:$V$18,12,FALSE())+VLOOKUP($C20,_Données!$A$3:$V$18,15,FALSE())-1,1,4)),1))-1),(VLOOKUP($C20,_Données!$A$3:$V$18,13,FALSE())+IFERROR(MATCH(MAX(VLOOKUP($C20,_Données!$A$3:$V$18,16,FALSE()),MIN(VLOOKUP($C20,_Données!$A$3:$V$18,4,FALSE()),(VLOOKUP($C20,_Données!$A$3:$V$18,16,FALSE())+ROUND(($G20-VLOOKUP($C20,_Données!$A$3:$V$18,16,FALSE()))/VLOOKUP($C20,_Données!$A$3:$V$18,17,FALSE()),0)*VLOOKUP($C20,_Données!$A$3:$V$18,17,FALSE())))),INDIRECT("'"&amp;VLOOKUP($C20,_Données!$A$3:$V$18,2,FALSE())&amp;"'!"&amp;ADDRESS(VLOOKUP($C20,_Données!$A$3:$V$18,12,FALSE())-1,VLOOKUP($C20,_Données!$A$3:$V$18,13,FALSE()),4)&amp;":"&amp;ADDRESS(VLOOKUP($C20,_Données!$A$3:$V$18,12,FALSE())-1,VLOOKUP($C20,_Données!$A$3:$V$18,13,FALSE())+VLOOKUP($C20,_Données!$A$3:$V$18,14,FALSE())-1,4)),0),MATCH(MAX(VLOOKUP($C20,_Données!$A$3:$V$18,16,FALSE()),MIN(VLOOKUP($C20,_Données!$A$3:$V$18,4,FALSE()),(VLOOKUP($C20,_Données!$A$3:$V$18,16,FALSE())+ROUND(($G20-VLOOKUP($C20,_Données!$A$3:$V$18,16,FALSE()))/VLOOKUP($C20,_Données!$A$3:$V$18,17,FALSE()),0)*VLOOKUP($C20,_Données!$A$3:$V$18,17,FALSE())))),INDIRECT("'"&amp;VLOOKUP($C20,_Données!$A$3:$V$18,2,FALSE())&amp;"'!"&amp;ADDRESS(VLOOKUP($C20,_Données!$A$3:$V$18,12,FALSE())-1,VLOOKUP($C20,_Données!$A$3:$V$18,13,FALSE()),4)&amp;":"&amp;ADDRESS(VLOOKUP($C20,_Données!$A$3:$V$18,12,FALSE())-1,VLOOKUP($C20,_Données!$A$3:$V$18,13,FALSE())+VLOOKUP($C20,_Données!$A$3:$V$18,14,FALSE())-1,4)),1))-1),4))="",-1,INDIRECT("'"&amp;VLOOKUP($C20,_Données!$A$3:$V$18,2,FALSE())&amp;"'!"&amp;ADDRESS((VLOOKUP($C20,_Données!$A$3:$V$18,12,FALSE())+IFERROR(MATCH(MAX(VLOOKUP($C20,_Données!$A$3:$V$18,18,FALSE()),MIN(VLOOKUP($C20,_Données!$A$3:$V$18,6,FALSE()),(VLOOKUP($C20,_Données!$A$3:$V$18,18,FALSE())+ROUND(($H20-VLOOKUP($C20,_Données!$A$3:$V$18,18,FALSE()))/VLOOKUP($C20,_Données!$A$3:$V$18,19,FALSE()),0)*VLOOKUP($C20,_Données!$A$3:$V$18,19,FALSE())))),INDIRECT("'"&amp;VLOOKUP($C20,_Données!$A$3:$V$18,2,FALSE())&amp;"'!"&amp;ADDRESS(VLOOKUP($C20,_Données!$A$3:$V$18,12,FALSE()),1,4)&amp;":"&amp;ADDRESS(VLOOKUP($C20,_Données!$A$3:$V$18,12,FALSE())+VLOOKUP($C20,_Données!$A$3:$V$18,15,FALSE())-1,1,4)),0),MATCH(MAX(VLOOKUP($C20,_Données!$A$3:$V$18,18,FALSE()),MIN(VLOOKUP($C20,_Données!$A$3:$V$18,6,FALSE()),(VLOOKUP($C20,_Données!$A$3:$V$18,18,FALSE())+ROUND(($H20-VLOOKUP($C20,_Données!$A$3:$V$18,18,FALSE()))/VLOOKUP($C20,_Données!$A$3:$V$18,19,FALSE()),0)*VLOOKUP($C20,_Données!$A$3:$V$18,19,FALSE())))),INDIRECT("'"&amp;VLOOKUP($C20,_Données!$A$3:$V$18,2,FALSE())&amp;"'!"&amp;ADDRESS(VLOOKUP($C20,_Données!$A$3:$V$18,12,FALSE()),1,4)&amp;":"&amp;ADDRESS(VLOOKUP($C20,_Données!$A$3:$V$18,12,FALSE())+VLOOKUP($C20,_Données!$A$3:$V$18,15,FALSE())-1,1,4)),1))-1),(VLOOKUP($C20,_Données!$A$3:$V$18,13,FALSE())+IFERROR(MATCH(MAX(VLOOKUP($C20,_Données!$A$3:$V$18,16,FALSE()),MIN(VLOOKUP($C20,_Données!$A$3:$V$18,4,FALSE()),(VLOOKUP($C20,_Données!$A$3:$V$18,16,FALSE())+ROUND(($G20-VLOOKUP($C20,_Données!$A$3:$V$18,16,FALSE()))/VLOOKUP($C20,_Données!$A$3:$V$18,17,FALSE()),0)*VLOOKUP($C20,_Données!$A$3:$V$18,17,FALSE())))),INDIRECT("'"&amp;VLOOKUP($C20,_Données!$A$3:$V$18,2,FALSE())&amp;"'!"&amp;ADDRESS(VLOOKUP($C20,_Données!$A$3:$V$18,12,FALSE())-1,VLOOKUP($C20,_Données!$A$3:$V$18,13,FALSE()),4)&amp;":"&amp;ADDRESS(VLOOKUP($C20,_Données!$A$3:$V$18,12,FALSE())-1,VLOOKUP($C20,_Données!$A$3:$V$18,13,FALSE())+VLOOKUP($C20,_Données!$A$3:$V$18,14,FALSE())-1,4)),0),MATCH(MAX(VLOOKUP($C20,_Données!$A$3:$V$18,16,FALSE()),MIN(VLOOKUP($C20,_Données!$A$3:$V$18,4,FALSE()),(VLOOKUP($C20,_Données!$A$3:$V$18,16,FALSE())+ROUND(($G20-VLOOKUP($C20,_Données!$A$3:$V$18,16,FALSE()))/VLOOKUP($C20,_Données!$A$3:$V$18,17,FALSE()),0)*VLOOKUP($C20,_Données!$A$3:$V$18,17,FALSE())))),INDIRECT("'"&amp;VLOOKUP($C20,_Données!$A$3:$V$18,2,FALSE())&amp;"'!"&amp;ADDRESS(VLOOKUP($C20,_Données!$A$3:$V$18,12,FALSE())-1,VLOOKUP($C20,_Données!$A$3:$V$18,13,FALSE()),4)&amp;":"&amp;ADDRESS(VLOOKUP($C20,_Données!$A$3:$V$18,12,FALSE())-1,VLOOKUP($C20,_Données!$A$3:$V$18,13,FALSE())+VLOOKUP($C20,_Données!$A$3:$V$18,14,FALSE())-1,4)),1))-1),4)))),0)</f>
        <v>0</v>
      </c>
      <c r="W20" s="28">
        <f ca="1">IFERROR(IF(V20=0,0,IF(MAX(VLOOKUP($C20,_Données!$A$3:$V$18,18,FALSE()),MIN(VLOOKUP($C20,_Données!$A$3:$V$18,6,FALSE()),(VLOOKUP($C20,_Données!$A$3:$V$18,18,FALSE())+ROUND(($H20-VLOOKUP($C20,_Données!$A$3:$V$18,18,FALSE()))/VLOOKUP($C20,_Données!$A$3:$V$18,19,FALSE()),0)*VLOOKUP($C20,_Données!$A$3:$V$18,19,FALSE()))))&gt;=VLOOKUP($C20,_Données!$A$3:$V$18,10,FALSE()),V20*VLOOKUP($C20,_Données!$A$3:$V$18,11,FALSE()),0)),0)</f>
        <v>0</v>
      </c>
      <c r="X20" s="28">
        <f ca="1">IFERROR(IF(OR($D20="",V20=0),0,V20*VLOOKUP($D20,_Données!$A$21:$C$28,2,FALSE())),0)</f>
        <v>0</v>
      </c>
      <c r="Y20" s="28">
        <f>IFERROR(IF($D20="",0,VLOOKUP($D20,_Données!$A$21:$C$28,3,FALSE())),0)</f>
        <v>0</v>
      </c>
      <c r="Z20" s="28">
        <f>IFERROR(IF($E20="",0,VLOOKUP($E20,_Données!$A$48:$C$104,2,FALSE())),0)</f>
        <v>0</v>
      </c>
      <c r="AA20" s="28">
        <f>IFERROR(IF(OR($F20="",$G20="",$H20=""),0,VLOOKUP($F20,_Données!$A$33:$C$43,2,FALSE())*2*($G20+$H20)/1000),0)</f>
        <v>0</v>
      </c>
      <c r="AB20" s="28">
        <f ca="1">IFERROR(IF(OR($F20="",V20=0),0,V20*VLOOKUP($F20,_Données!$A$33:$C$43,3,FALSE())),0)</f>
        <v>0</v>
      </c>
      <c r="AC20" s="29">
        <f>IFERROR(IF(OR($R20="",$R20="Aucune option",NOT(OR($C20="Porte Lourde 1 vantail",$C20="Porte Lourde 2 vantaux"))),0,VLOOKUP($R20,_Données!$A$109:$C$125,2,FALSE())*0.75*IF(VLOOKUP($R20,_Données!$A$109:$C$125,3,FALSE())=1,IF($C20="Porte Lourde 1 vantail",1,IF($C20="Porte Lourde 2 vantaux",2,1)),1)*(1-Paramètres!$B$2)),0)</f>
        <v>0</v>
      </c>
      <c r="AD20">
        <f>IFERROR(IF(OR($M20="",$M20="Aucune"),0,VLOOKUP($C20&amp;"|"&amp;$M20,_Données!$A$132:$B$146,2,FALSE())*IF(LEFT($M20,8)="Traverse",$G20,$H20)/1000),0)+IFERROR(IF(OR($N20="",$N20="Aucune"),0,VLOOKUP($C20&amp;"|"&amp;$N20,_Données!$A$132:$B$146,2,FALSE())*IF(LEFT($N20,8)="Traverse",$G20,$H20)/1000),0)+IFERROR(IF(OR($O20="",$O20="Aucune"),0,VLOOKUP($C20&amp;"|"&amp;$O20,_Données!$A$132:$B$146,2,FALSE())*IF(LEFT($O20,8)="Traverse",$G20,$H20)/1000),0)</f>
        <v>0</v>
      </c>
      <c r="AE20">
        <f>IF(AND($M20&lt;&gt;"",$M20&lt;&gt;"Aucune"),IF(ISNA(VLOOKUP($C20&amp;"|"&amp;$M20,_Données!$A$132:$B$146,2,FALSE())),1,0),0)+IF(AND($N20&lt;&gt;"",$N20&lt;&gt;"Aucune"),IF(ISNA(VLOOKUP($C20&amp;"|"&amp;$N20,_Données!$A$132:$B$146,2,FALSE())),1,0),0)+IF(AND($O20&lt;&gt;"",$O20&lt;&gt;"Aucune"),IF(ISNA(VLOOKUP($C20&amp;"|"&amp;$O20,_Données!$A$132:$B$146,2,FALSE())),1,0),0)</f>
        <v>0</v>
      </c>
      <c r="AF20" t="str">
        <f t="shared" si="1"/>
        <v/>
      </c>
      <c r="AG20" t="str">
        <f t="shared" si="2"/>
        <v/>
      </c>
      <c r="AH20" t="str">
        <f t="shared" si="3"/>
        <v/>
      </c>
      <c r="AI20" t="str">
        <f t="shared" si="4"/>
        <v/>
      </c>
      <c r="AJ20" t="str">
        <f t="shared" si="5"/>
        <v/>
      </c>
      <c r="AK20" t="str">
        <f t="shared" si="6"/>
        <v/>
      </c>
      <c r="AL20" t="str">
        <f t="shared" si="7"/>
        <v/>
      </c>
      <c r="AM20" t="str">
        <f t="shared" si="8"/>
        <v/>
      </c>
    </row>
    <row r="21" spans="1:39" ht="111" customHeight="1" x14ac:dyDescent="0.25">
      <c r="A21" s="30">
        <v>8</v>
      </c>
      <c r="B21" s="31"/>
      <c r="C21" s="31"/>
      <c r="D21" s="31"/>
      <c r="E21" s="31"/>
      <c r="F21" s="31"/>
      <c r="G21" s="32"/>
      <c r="H21" s="32"/>
      <c r="I21" s="32"/>
      <c r="J21" s="33" t="str">
        <f>IF($C21="","",$C21&amp;" aluminium"&amp;IF(OR($G21="",$H21=""),"",", "&amp;$G21&amp;" × "&amp;$H21&amp;" mm")&amp;IF(OR(AND($G21&lt;&gt;"",IFERROR(VLOOKUP($C21,_Données!$A$196:$E$211,2,FALSE()),"")&lt;&gt;"",OR($G21&lt;IFERROR(VLOOKUP($C21,_Données!$A$196:$E$211,2,FALSE()),""),$G21&gt;IFERROR(VLOOKUP($C21,_Données!$A$196:$E$211,3,FALSE()),""))),AND($H21&lt;&gt;"",IFERROR(VLOOKUP($C21,_Données!$A$196:$E$211,4,FALSE()),"")&lt;&gt;"",OR($H21&lt;IFERROR(VLOOKUP($C21,_Données!$A$196:$E$211,4,FALSE()),""),$H21&gt;IFERROR(VLOOKUP($C21,_Données!$A$196:$E$211,5,FALSE()),"")))),CHAR(10)&amp;"⚠ Hors abaque (L "&amp;IFERROR(VLOOKUP($C21,_Données!$A$196:$E$211,2,FALSE()),"")&amp;"–"&amp;IFERROR(VLOOKUP($C21,_Données!$A$196:$E$211,3,FALSE()),"")&amp;" / H "&amp;IFERROR(VLOOKUP($C21,_Données!$A$196:$E$211,4,FALSE()),"")&amp;"–"&amp;IFERROR(VLOOKUP($C21,_Données!$A$196:$E$211,5,FALSE()),"")&amp;" mm)","")&amp;IF(IFERROR(VLOOKUP($C21,_Données!$A$158:$B$173,2,FALSE()),"")="","",CHAR(10)&amp;"Système : "&amp;VLOOKUP($C21,_Données!$A$158:$B$173,2,FALSE()))&amp;IF($D21="","",CHAR(10)&amp;"Traitement surface : "&amp;$D21)&amp;IF($E21="","",CHAR(10)&amp;"Vitrage : "&amp;$E21)&amp;IF($F21="","",CHAR(10)&amp;"Cadre : "&amp;$F21)&amp;IF(OR(IFERROR(VLOOKUP($C21,_Données!$A$177:$C$192,2,FALSE()),"")="",AND(OR($C21="Porte Lourde 1 vantail",$C21="Porte Lourde 2 vantaux"),OR(ISNUMBER(SEARCH("ventouse",$R21)),ISNUMBER(SEARCH("antipanique",$R21))))),"",CHAR(10)&amp;"Poignée : "&amp;IFERROR(VLOOKUP($C21,_Données!$A$177:$C$192,2,FALSE()),""))&amp;IF(OR(IFERROR(VLOOKUP($C21,_Données!$A$177:$C$192,3,FALSE()),"")="",AND(OR($C21="Porte Lourde 1 vantail",$C21="Porte Lourde 2 vantaux"),OR(ISNUMBER(SEARCH("ventouse",$R21)),ISNUMBER(SEARCH("antipanique",$R21))))),"",CHAR(10)&amp;"Fermeture : "&amp;IFERROR(VLOOKUP($C21,_Données!$A$177:$C$192,3,FALSE()),""))&amp;AL21&amp;AM21&amp;IF(AND($R21&lt;&gt;"",$R21&lt;&gt;"Aucune option"),CHAR(10)&amp;"Option : "&amp;$R21,"")&amp;IF($L21="OUI",CHAR(10)&amp;"Grille de ventilation","")&amp;IF(AND($P21&lt;&gt;"",$P21&lt;&gt;"Aucun"),CHAR(10)&amp;"Habillage extérieur : "&amp;$P21,"")&amp;IF(AND($Q21&lt;&gt;"",$Q21&lt;&gt;"Aucune"),CHAR(10)&amp;"Bavette : "&amp;$Q21,""))</f>
        <v/>
      </c>
      <c r="K21" s="34"/>
      <c r="L21" s="143"/>
      <c r="M21" s="31"/>
      <c r="N21" s="31"/>
      <c r="O21" s="31"/>
      <c r="P21" s="31"/>
      <c r="Q21" s="31"/>
      <c r="R21" s="31"/>
      <c r="S21" s="35" t="str">
        <f ca="1">IFERROR(IF(ISNUMBER(IFERROR(IF(ISNUMBER(IF(IFERROR(OR(AND($G21&lt;&gt;"",IFERROR(VLOOKUP($C21,_Données!$A$196:$E$211,2,FALSE()),"")&lt;&gt;"",OR($G21&lt;VLOOKUP($C21,_Données!$A$196:$E$211,2,FALSE()),$G21&gt;VLOOKUP($C21,_Données!$A$196:$E$211,3,FALSE()))),AND($H21&lt;&gt;"",IFERROR(VLOOKUP($C21,_Données!$A$196:$E$211,4,FALSE()),"")&lt;&gt;"",OR($H21&lt;VLOOKUP($C21,_Données!$A$196:$E$211,4,FALSE()),$H21&gt;VLOOKUP($C21,_Données!$A$196:$E$211,5,FALSE())))),FALSE),"",IFERROR(IF(AND($R21&lt;&gt;"",$R21&lt;&gt;"Aucune option",NOT(OR($C21="Porte Lourde 1 vantail",$C21="Porte Lourde 2 vantaux"))),"⚠ Option valable uniquement pour Porte Lourde",IF(AE21&gt;0,"⚠ Option T/M incompatible avec la gamme",IF(V21=0,IF(AC21&gt;0,AC21,""),IF(V21=-1,"⚠ Dimension non disponible",(V21+W21+X21+Z21+AA21+AB21+AD21)*(1-Paramètres!$B$2)+AC21)))),""))),IF(IFERROR(OR(AND($G21&lt;&gt;"",IFERROR(VLOOKUP($C21,_Données!$A$196:$E$211,2,FALSE()),"")&lt;&gt;"",OR($G21&lt;VLOOKUP($C21,_Données!$A$196:$E$211,2,FALSE()),$G21&gt;VLOOKUP($C21,_Données!$A$196:$E$211,3,FALSE()))),AND($H21&lt;&gt;"",IFERROR(VLOOKUP($C21,_Données!$A$196:$E$211,4,FALSE()),"")&lt;&gt;"",OR($H21&lt;VLOOKUP($C21,_Données!$A$196:$E$211,4,FALSE()),$H21&gt;VLOOKUP($C21,_Données!$A$196:$E$211,5,FALSE())))),FALSE),"",IFERROR(IF(AND($R21&lt;&gt;"",$R21&lt;&gt;"Aucune option",NOT(OR($C21="Porte Lourde 1 vantail",$C21="Porte Lourde 2 vantaux"))),"⚠ Option valable uniquement pour Porte Lourde",IF(AE21&gt;0,"⚠ Option T/M incompatible avec la gamme",IF(V21=0,IF(AC21&gt;0,AC21,""),IF(V21=-1,"⚠ Dimension non disponible",(V21+W21+X21+Z21+AA21+AB21+AD21)*(1-Paramètres!$B$2)+AC21)))),""))+IF($L21="OUI",25,0),IF(IFERROR(OR(AND($G21&lt;&gt;"",IFERROR(VLOOKUP($C21,_Données!$A$196:$E$211,2,FALSE()),"")&lt;&gt;"",OR($G21&lt;VLOOKUP($C21,_Données!$A$196:$E$211,2,FALSE()),$G21&gt;VLOOKUP($C21,_Données!$A$196:$E$211,3,FALSE()))),AND($H21&lt;&gt;"",IFERROR(VLOOKUP($C21,_Données!$A$196:$E$211,4,FALSE()),"")&lt;&gt;"",OR($H21&lt;VLOOKUP($C21,_Données!$A$196:$E$211,4,FALSE()),$H21&gt;VLOOKUP($C21,_Données!$A$196:$E$211,5,FALSE())))),FALSE),"",IFERROR(IF(AND($R21&lt;&gt;"",$R21&lt;&gt;"Aucune option",NOT(OR($C21="Porte Lourde 1 vantail",$C21="Porte Lourde 2 vantaux"))),"⚠ Option valable uniquement pour Porte Lourde",IF(AE21&gt;0,"⚠ Option T/M incompatible avec la gamme",IF(V21=0,IF(AC21&gt;0,AC21,""),IF(V21=-1,"⚠ Dimension non disponible",(V21+W21+X21+Z21+AA21+AB21+AD21)*(1-Paramètres!$B$2)+AC21)))),""))),"")),IFERROR(IF(ISNUMBER(IF(IFERROR(OR(AND($G21&lt;&gt;"",IFERROR(VLOOKUP($C21,_Données!$A$196:$E$211,2,FALSE()),"")&lt;&gt;"",OR($G21&lt;VLOOKUP($C21,_Données!$A$196:$E$211,2,FALSE()),$G21&gt;VLOOKUP($C21,_Données!$A$196:$E$211,3,FALSE()))),AND($H21&lt;&gt;"",IFERROR(VLOOKUP($C21,_Données!$A$196:$E$211,4,FALSE()),"")&lt;&gt;"",OR($H21&lt;VLOOKUP($C21,_Données!$A$196:$E$211,4,FALSE()),$H21&gt;VLOOKUP($C21,_Données!$A$196:$E$211,5,FALSE())))),FALSE),"",IFERROR(IF(AND($R21&lt;&gt;"",$R21&lt;&gt;"Aucune option",NOT(OR($C21="Porte Lourde 1 vantail",$C21="Porte Lourde 2 vantaux"))),"⚠ Option valable uniquement pour Porte Lourde",IF(AE21&gt;0,"⚠ Option T/M incompatible avec la gamme",IF(V21=0,IF(AC21&gt;0,AC21,""),IF(V21=-1,"⚠ Dimension non disponible",(V21+W21+X21+Z21+AA21+AB21+AD21)*(1-Paramètres!$B$2)+AC21)))),""))),IF(IFERROR(OR(AND($G21&lt;&gt;"",IFERROR(VLOOKUP($C21,_Données!$A$196:$E$211,2,FALSE()),"")&lt;&gt;"",OR($G21&lt;VLOOKUP($C21,_Données!$A$196:$E$211,2,FALSE()),$G21&gt;VLOOKUP($C21,_Données!$A$196:$E$211,3,FALSE()))),AND($H21&lt;&gt;"",IFERROR(VLOOKUP($C21,_Données!$A$196:$E$211,4,FALSE()),"")&lt;&gt;"",OR($H21&lt;VLOOKUP($C21,_Données!$A$196:$E$211,4,FALSE()),$H21&gt;VLOOKUP($C21,_Données!$A$196:$E$211,5,FALSE())))),FALSE),"",IFERROR(IF(AND($R21&lt;&gt;"",$R21&lt;&gt;"Aucune option",NOT(OR($C21="Porte Lourde 1 vantail",$C21="Porte Lourde 2 vantaux"))),"⚠ Option valable uniquement pour Porte Lourde",IF(AE21&gt;0,"⚠ Option T/M incompatible avec la gamme",IF(V21=0,IF(AC21&gt;0,AC21,""),IF(V21=-1,"⚠ Dimension non disponible",(V21+W21+X21+Z21+AA21+AB21+AD21)*(1-Paramètres!$B$2)+AC21)))),""))+IF($L21="OUI",25,0),IF(IFERROR(OR(AND($G21&lt;&gt;"",IFERROR(VLOOKUP($C21,_Données!$A$196:$E$211,2,FALSE()),"")&lt;&gt;"",OR($G21&lt;VLOOKUP($C21,_Données!$A$196:$E$211,2,FALSE()),$G21&gt;VLOOKUP($C21,_Données!$A$196:$E$211,3,FALSE()))),AND($H21&lt;&gt;"",IFERROR(VLOOKUP($C21,_Données!$A$196:$E$211,4,FALSE()),"")&lt;&gt;"",OR($H21&lt;VLOOKUP($C21,_Données!$A$196:$E$211,4,FALSE()),$H21&gt;VLOOKUP($C21,_Données!$A$196:$E$211,5,FALSE())))),FALSE),"",IFERROR(IF(AND($R21&lt;&gt;"",$R21&lt;&gt;"Aucune option",NOT(OR($C21="Porte Lourde 1 vantail",$C21="Porte Lourde 2 vantaux"))),"⚠ Option valable uniquement pour Porte Lourde",IF(AE21&gt;0,"⚠ Option T/M incompatible avec la gamme",IF(V21=0,IF(AC21&gt;0,AC21,""),IF(V21=-1,"⚠ Dimension non disponible",(V21+W21+X21+Z21+AA21+AB21+AD21)*(1-Paramètres!$B$2)+AC21)))),""))),"")+IFERROR(VLOOKUP($P21,_Données!$A$218:$B$229,2,FALSE())*($G21+2*$H21)/1000,0)+IFERROR(VLOOKUP($Q21,_Données!$A$232:$B$236,2,FALSE())*$G21/1000,0),IFERROR(IF(ISNUMBER(IF(IFERROR(OR(AND($G21&lt;&gt;"",IFERROR(VLOOKUP($C21,_Données!$A$196:$E$211,2,FALSE()),"")&lt;&gt;"",OR($G21&lt;VLOOKUP($C21,_Données!$A$196:$E$211,2,FALSE()),$G21&gt;VLOOKUP($C21,_Données!$A$196:$E$211,3,FALSE()))),AND($H21&lt;&gt;"",IFERROR(VLOOKUP($C21,_Données!$A$196:$E$211,4,FALSE()),"")&lt;&gt;"",OR($H21&lt;VLOOKUP($C21,_Données!$A$196:$E$211,4,FALSE()),$H21&gt;VLOOKUP($C21,_Données!$A$196:$E$211,5,FALSE())))),FALSE),"",IFERROR(IF(AND($R21&lt;&gt;"",$R21&lt;&gt;"Aucune option",NOT(OR($C21="Porte Lourde 1 vantail",$C21="Porte Lourde 2 vantaux"))),"⚠ Option valable uniquement pour Porte Lourde",IF(AE21&gt;0,"⚠ Option T/M incompatible avec la gamme",IF(V21=0,IF(AC21&gt;0,AC21,""),IF(V21=-1,"⚠ Dimension non disponible",(V21+W21+X21+Z21+AA21+AB21+AD21)*(1-Paramètres!$B$2)+AC21)))),""))),IF(IFERROR(OR(AND($G21&lt;&gt;"",IFERROR(VLOOKUP($C21,_Données!$A$196:$E$211,2,FALSE()),"")&lt;&gt;"",OR($G21&lt;VLOOKUP($C21,_Données!$A$196:$E$211,2,FALSE()),$G21&gt;VLOOKUP($C21,_Données!$A$196:$E$211,3,FALSE()))),AND($H21&lt;&gt;"",IFERROR(VLOOKUP($C21,_Données!$A$196:$E$211,4,FALSE()),"")&lt;&gt;"",OR($H21&lt;VLOOKUP($C21,_Données!$A$196:$E$211,4,FALSE()),$H21&gt;VLOOKUP($C21,_Données!$A$196:$E$211,5,FALSE())))),FALSE),"",IFERROR(IF(AND($R21&lt;&gt;"",$R21&lt;&gt;"Aucune option",NOT(OR($C21="Porte Lourde 1 vantail",$C21="Porte Lourde 2 vantaux"))),"⚠ Option valable uniquement pour Porte Lourde",IF(AE21&gt;0,"⚠ Option T/M incompatible avec la gamme",IF(V21=0,IF(AC21&gt;0,AC21,""),IF(V21=-1,"⚠ Dimension non disponible",(V21+W21+X21+Z21+AA21+AB21+AD21)*(1-Paramètres!$B$2)+AC21)))),""))+IF($L21="OUI",25,0),IF(IFERROR(OR(AND($G21&lt;&gt;"",IFERROR(VLOOKUP($C21,_Données!$A$196:$E$211,2,FALSE()),"")&lt;&gt;"",OR($G21&lt;VLOOKUP($C21,_Données!$A$196:$E$211,2,FALSE()),$G21&gt;VLOOKUP($C21,_Données!$A$196:$E$211,3,FALSE()))),AND($H21&lt;&gt;"",IFERROR(VLOOKUP($C21,_Données!$A$196:$E$211,4,FALSE()),"")&lt;&gt;"",OR($H21&lt;VLOOKUP($C21,_Données!$A$196:$E$211,4,FALSE()),$H21&gt;VLOOKUP($C21,_Données!$A$196:$E$211,5,FALSE())))),FALSE),"",IFERROR(IF(AND($R21&lt;&gt;"",$R21&lt;&gt;"Aucune option",NOT(OR($C21="Porte Lourde 1 vantail",$C21="Porte Lourde 2 vantaux"))),"⚠ Option valable uniquement pour Porte Lourde",IF(AE21&gt;0,"⚠ Option T/M incompatible avec la gamme",IF(V21=0,IF(AC21&gt;0,AC21,""),IF(V21=-1,"⚠ Dimension non disponible",(V21+W21+X21+Z21+AA21+AB21+AD21)*(1-Paramètres!$B$2)+AC21)))),""))),"")),"")</f>
        <v/>
      </c>
      <c r="T21" s="36" t="str">
        <f t="shared" ca="1" si="0"/>
        <v/>
      </c>
      <c r="V21" s="28">
        <f ca="1">IFERROR(IF(OR($C21="",$G21="",$H21=""),0,IF(INDIRECT("'"&amp;VLOOKUP($C21,_Données!$A$3:$V$18,2,FALSE())&amp;"'!"&amp;ADDRESS((VLOOKUP($C21,_Données!$A$3:$V$18,12,FALSE())+IFERROR(MATCH(MAX(VLOOKUP($C21,_Données!$A$3:$V$18,18,FALSE()),MIN(VLOOKUP($C21,_Données!$A$3:$V$18,6,FALSE()),(VLOOKUP($C21,_Données!$A$3:$V$18,18,FALSE())+ROUND(($H21-VLOOKUP($C21,_Données!$A$3:$V$18,18,FALSE()))/VLOOKUP($C21,_Données!$A$3:$V$18,19,FALSE()),0)*VLOOKUP($C21,_Données!$A$3:$V$18,19,FALSE())))),INDIRECT("'"&amp;VLOOKUP($C21,_Données!$A$3:$V$18,2,FALSE())&amp;"'!"&amp;ADDRESS(VLOOKUP($C21,_Données!$A$3:$V$18,12,FALSE()),1,4)&amp;":"&amp;ADDRESS(VLOOKUP($C21,_Données!$A$3:$V$18,12,FALSE())+VLOOKUP($C21,_Données!$A$3:$V$18,15,FALSE())-1,1,4)),0),MATCH(MAX(VLOOKUP($C21,_Données!$A$3:$V$18,18,FALSE()),MIN(VLOOKUP($C21,_Données!$A$3:$V$18,6,FALSE()),(VLOOKUP($C21,_Données!$A$3:$V$18,18,FALSE())+ROUND(($H21-VLOOKUP($C21,_Données!$A$3:$V$18,18,FALSE()))/VLOOKUP($C21,_Données!$A$3:$V$18,19,FALSE()),0)*VLOOKUP($C21,_Données!$A$3:$V$18,19,FALSE())))),INDIRECT("'"&amp;VLOOKUP($C21,_Données!$A$3:$V$18,2,FALSE())&amp;"'!"&amp;ADDRESS(VLOOKUP($C21,_Données!$A$3:$V$18,12,FALSE()),1,4)&amp;":"&amp;ADDRESS(VLOOKUP($C21,_Données!$A$3:$V$18,12,FALSE())+VLOOKUP($C21,_Données!$A$3:$V$18,15,FALSE())-1,1,4)),1))-1),(VLOOKUP($C21,_Données!$A$3:$V$18,13,FALSE())+IFERROR(MATCH(MAX(VLOOKUP($C21,_Données!$A$3:$V$18,16,FALSE()),MIN(VLOOKUP($C21,_Données!$A$3:$V$18,4,FALSE()),(VLOOKUP($C21,_Données!$A$3:$V$18,16,FALSE())+ROUND(($G21-VLOOKUP($C21,_Données!$A$3:$V$18,16,FALSE()))/VLOOKUP($C21,_Données!$A$3:$V$18,17,FALSE()),0)*VLOOKUP($C21,_Données!$A$3:$V$18,17,FALSE())))),INDIRECT("'"&amp;VLOOKUP($C21,_Données!$A$3:$V$18,2,FALSE())&amp;"'!"&amp;ADDRESS(VLOOKUP($C21,_Données!$A$3:$V$18,12,FALSE())-1,VLOOKUP($C21,_Données!$A$3:$V$18,13,FALSE()),4)&amp;":"&amp;ADDRESS(VLOOKUP($C21,_Données!$A$3:$V$18,12,FALSE())-1,VLOOKUP($C21,_Données!$A$3:$V$18,13,FALSE())+VLOOKUP($C21,_Données!$A$3:$V$18,14,FALSE())-1,4)),0),MATCH(MAX(VLOOKUP($C21,_Données!$A$3:$V$18,16,FALSE()),MIN(VLOOKUP($C21,_Données!$A$3:$V$18,4,FALSE()),(VLOOKUP($C21,_Données!$A$3:$V$18,16,FALSE())+ROUND(($G21-VLOOKUP($C21,_Données!$A$3:$V$18,16,FALSE()))/VLOOKUP($C21,_Données!$A$3:$V$18,17,FALSE()),0)*VLOOKUP($C21,_Données!$A$3:$V$18,17,FALSE())))),INDIRECT("'"&amp;VLOOKUP($C21,_Données!$A$3:$V$18,2,FALSE())&amp;"'!"&amp;ADDRESS(VLOOKUP($C21,_Données!$A$3:$V$18,12,FALSE())-1,VLOOKUP($C21,_Données!$A$3:$V$18,13,FALSE()),4)&amp;":"&amp;ADDRESS(VLOOKUP($C21,_Données!$A$3:$V$18,12,FALSE())-1,VLOOKUP($C21,_Données!$A$3:$V$18,13,FALSE())+VLOOKUP($C21,_Données!$A$3:$V$18,14,FALSE())-1,4)),1))-1),4))="",-1,INDIRECT("'"&amp;VLOOKUP($C21,_Données!$A$3:$V$18,2,FALSE())&amp;"'!"&amp;ADDRESS((VLOOKUP($C21,_Données!$A$3:$V$18,12,FALSE())+IFERROR(MATCH(MAX(VLOOKUP($C21,_Données!$A$3:$V$18,18,FALSE()),MIN(VLOOKUP($C21,_Données!$A$3:$V$18,6,FALSE()),(VLOOKUP($C21,_Données!$A$3:$V$18,18,FALSE())+ROUND(($H21-VLOOKUP($C21,_Données!$A$3:$V$18,18,FALSE()))/VLOOKUP($C21,_Données!$A$3:$V$18,19,FALSE()),0)*VLOOKUP($C21,_Données!$A$3:$V$18,19,FALSE())))),INDIRECT("'"&amp;VLOOKUP($C21,_Données!$A$3:$V$18,2,FALSE())&amp;"'!"&amp;ADDRESS(VLOOKUP($C21,_Données!$A$3:$V$18,12,FALSE()),1,4)&amp;":"&amp;ADDRESS(VLOOKUP($C21,_Données!$A$3:$V$18,12,FALSE())+VLOOKUP($C21,_Données!$A$3:$V$18,15,FALSE())-1,1,4)),0),MATCH(MAX(VLOOKUP($C21,_Données!$A$3:$V$18,18,FALSE()),MIN(VLOOKUP($C21,_Données!$A$3:$V$18,6,FALSE()),(VLOOKUP($C21,_Données!$A$3:$V$18,18,FALSE())+ROUND(($H21-VLOOKUP($C21,_Données!$A$3:$V$18,18,FALSE()))/VLOOKUP($C21,_Données!$A$3:$V$18,19,FALSE()),0)*VLOOKUP($C21,_Données!$A$3:$V$18,19,FALSE())))),INDIRECT("'"&amp;VLOOKUP($C21,_Données!$A$3:$V$18,2,FALSE())&amp;"'!"&amp;ADDRESS(VLOOKUP($C21,_Données!$A$3:$V$18,12,FALSE()),1,4)&amp;":"&amp;ADDRESS(VLOOKUP($C21,_Données!$A$3:$V$18,12,FALSE())+VLOOKUP($C21,_Données!$A$3:$V$18,15,FALSE())-1,1,4)),1))-1),(VLOOKUP($C21,_Données!$A$3:$V$18,13,FALSE())+IFERROR(MATCH(MAX(VLOOKUP($C21,_Données!$A$3:$V$18,16,FALSE()),MIN(VLOOKUP($C21,_Données!$A$3:$V$18,4,FALSE()),(VLOOKUP($C21,_Données!$A$3:$V$18,16,FALSE())+ROUND(($G21-VLOOKUP($C21,_Données!$A$3:$V$18,16,FALSE()))/VLOOKUP($C21,_Données!$A$3:$V$18,17,FALSE()),0)*VLOOKUP($C21,_Données!$A$3:$V$18,17,FALSE())))),INDIRECT("'"&amp;VLOOKUP($C21,_Données!$A$3:$V$18,2,FALSE())&amp;"'!"&amp;ADDRESS(VLOOKUP($C21,_Données!$A$3:$V$18,12,FALSE())-1,VLOOKUP($C21,_Données!$A$3:$V$18,13,FALSE()),4)&amp;":"&amp;ADDRESS(VLOOKUP($C21,_Données!$A$3:$V$18,12,FALSE())-1,VLOOKUP($C21,_Données!$A$3:$V$18,13,FALSE())+VLOOKUP($C21,_Données!$A$3:$V$18,14,FALSE())-1,4)),0),MATCH(MAX(VLOOKUP($C21,_Données!$A$3:$V$18,16,FALSE()),MIN(VLOOKUP($C21,_Données!$A$3:$V$18,4,FALSE()),(VLOOKUP($C21,_Données!$A$3:$V$18,16,FALSE())+ROUND(($G21-VLOOKUP($C21,_Données!$A$3:$V$18,16,FALSE()))/VLOOKUP($C21,_Données!$A$3:$V$18,17,FALSE()),0)*VLOOKUP($C21,_Données!$A$3:$V$18,17,FALSE())))),INDIRECT("'"&amp;VLOOKUP($C21,_Données!$A$3:$V$18,2,FALSE())&amp;"'!"&amp;ADDRESS(VLOOKUP($C21,_Données!$A$3:$V$18,12,FALSE())-1,VLOOKUP($C21,_Données!$A$3:$V$18,13,FALSE()),4)&amp;":"&amp;ADDRESS(VLOOKUP($C21,_Données!$A$3:$V$18,12,FALSE())-1,VLOOKUP($C21,_Données!$A$3:$V$18,13,FALSE())+VLOOKUP($C21,_Données!$A$3:$V$18,14,FALSE())-1,4)),1))-1),4)))),0)</f>
        <v>0</v>
      </c>
      <c r="W21" s="28">
        <f ca="1">IFERROR(IF(V21=0,0,IF(MAX(VLOOKUP($C21,_Données!$A$3:$V$18,18,FALSE()),MIN(VLOOKUP($C21,_Données!$A$3:$V$18,6,FALSE()),(VLOOKUP($C21,_Données!$A$3:$V$18,18,FALSE())+ROUND(($H21-VLOOKUP($C21,_Données!$A$3:$V$18,18,FALSE()))/VLOOKUP($C21,_Données!$A$3:$V$18,19,FALSE()),0)*VLOOKUP($C21,_Données!$A$3:$V$18,19,FALSE()))))&gt;=VLOOKUP($C21,_Données!$A$3:$V$18,10,FALSE()),V21*VLOOKUP($C21,_Données!$A$3:$V$18,11,FALSE()),0)),0)</f>
        <v>0</v>
      </c>
      <c r="X21" s="28">
        <f ca="1">IFERROR(IF(OR($D21="",V21=0),0,V21*VLOOKUP($D21,_Données!$A$21:$C$28,2,FALSE())),0)</f>
        <v>0</v>
      </c>
      <c r="Y21" s="28">
        <f>IFERROR(IF($D21="",0,VLOOKUP($D21,_Données!$A$21:$C$28,3,FALSE())),0)</f>
        <v>0</v>
      </c>
      <c r="Z21" s="28">
        <f>IFERROR(IF($E21="",0,VLOOKUP($E21,_Données!$A$48:$C$104,2,FALSE())),0)</f>
        <v>0</v>
      </c>
      <c r="AA21" s="28">
        <f>IFERROR(IF(OR($F21="",$G21="",$H21=""),0,VLOOKUP($F21,_Données!$A$33:$C$43,2,FALSE())*2*($G21+$H21)/1000),0)</f>
        <v>0</v>
      </c>
      <c r="AB21" s="28">
        <f ca="1">IFERROR(IF(OR($F21="",V21=0),0,V21*VLOOKUP($F21,_Données!$A$33:$C$43,3,FALSE())),0)</f>
        <v>0</v>
      </c>
      <c r="AC21" s="29">
        <f>IFERROR(IF(OR($R21="",$R21="Aucune option",NOT(OR($C21="Porte Lourde 1 vantail",$C21="Porte Lourde 2 vantaux"))),0,VLOOKUP($R21,_Données!$A$109:$C$125,2,FALSE())*0.75*IF(VLOOKUP($R21,_Données!$A$109:$C$125,3,FALSE())=1,IF($C21="Porte Lourde 1 vantail",1,IF($C21="Porte Lourde 2 vantaux",2,1)),1)*(1-Paramètres!$B$2)),0)</f>
        <v>0</v>
      </c>
      <c r="AD21">
        <f>IFERROR(IF(OR($M21="",$M21="Aucune"),0,VLOOKUP($C21&amp;"|"&amp;$M21,_Données!$A$132:$B$146,2,FALSE())*IF(LEFT($M21,8)="Traverse",$G21,$H21)/1000),0)+IFERROR(IF(OR($N21="",$N21="Aucune"),0,VLOOKUP($C21&amp;"|"&amp;$N21,_Données!$A$132:$B$146,2,FALSE())*IF(LEFT($N21,8)="Traverse",$G21,$H21)/1000),0)+IFERROR(IF(OR($O21="",$O21="Aucune"),0,VLOOKUP($C21&amp;"|"&amp;$O21,_Données!$A$132:$B$146,2,FALSE())*IF(LEFT($O21,8)="Traverse",$G21,$H21)/1000),0)</f>
        <v>0</v>
      </c>
      <c r="AE21">
        <f>IF(AND($M21&lt;&gt;"",$M21&lt;&gt;"Aucune"),IF(ISNA(VLOOKUP($C21&amp;"|"&amp;$M21,_Données!$A$132:$B$146,2,FALSE())),1,0),0)+IF(AND($N21&lt;&gt;"",$N21&lt;&gt;"Aucune"),IF(ISNA(VLOOKUP($C21&amp;"|"&amp;$N21,_Données!$A$132:$B$146,2,FALSE())),1,0),0)+IF(AND($O21&lt;&gt;"",$O21&lt;&gt;"Aucune"),IF(ISNA(VLOOKUP($C21&amp;"|"&amp;$O21,_Données!$A$132:$B$146,2,FALSE())),1,0),0)</f>
        <v>0</v>
      </c>
      <c r="AF21" t="str">
        <f t="shared" si="1"/>
        <v/>
      </c>
      <c r="AG21" t="str">
        <f t="shared" si="2"/>
        <v/>
      </c>
      <c r="AH21" t="str">
        <f t="shared" si="3"/>
        <v/>
      </c>
      <c r="AI21" t="str">
        <f t="shared" si="4"/>
        <v/>
      </c>
      <c r="AJ21" t="str">
        <f t="shared" si="5"/>
        <v/>
      </c>
      <c r="AK21" t="str">
        <f t="shared" si="6"/>
        <v/>
      </c>
      <c r="AL21" t="str">
        <f t="shared" si="7"/>
        <v/>
      </c>
      <c r="AM21" t="str">
        <f t="shared" si="8"/>
        <v/>
      </c>
    </row>
    <row r="22" spans="1:39" ht="111" customHeight="1" x14ac:dyDescent="0.25">
      <c r="A22" s="22">
        <v>9</v>
      </c>
      <c r="B22" s="17"/>
      <c r="C22" s="17"/>
      <c r="D22" s="17"/>
      <c r="E22" s="17"/>
      <c r="F22" s="17"/>
      <c r="G22" s="23"/>
      <c r="H22" s="23"/>
      <c r="I22" s="23"/>
      <c r="J22" s="24" t="str">
        <f>IF($C22="","",$C22&amp;" aluminium"&amp;IF(OR($G22="",$H22=""),"",", "&amp;$G22&amp;" × "&amp;$H22&amp;" mm")&amp;IF(OR(AND($G22&lt;&gt;"",IFERROR(VLOOKUP($C22,_Données!$A$196:$E$211,2,FALSE()),"")&lt;&gt;"",OR($G22&lt;IFERROR(VLOOKUP($C22,_Données!$A$196:$E$211,2,FALSE()),""),$G22&gt;IFERROR(VLOOKUP($C22,_Données!$A$196:$E$211,3,FALSE()),""))),AND($H22&lt;&gt;"",IFERROR(VLOOKUP($C22,_Données!$A$196:$E$211,4,FALSE()),"")&lt;&gt;"",OR($H22&lt;IFERROR(VLOOKUP($C22,_Données!$A$196:$E$211,4,FALSE()),""),$H22&gt;IFERROR(VLOOKUP($C22,_Données!$A$196:$E$211,5,FALSE()),"")))),CHAR(10)&amp;"⚠ Hors abaque (L "&amp;IFERROR(VLOOKUP($C22,_Données!$A$196:$E$211,2,FALSE()),"")&amp;"–"&amp;IFERROR(VLOOKUP($C22,_Données!$A$196:$E$211,3,FALSE()),"")&amp;" / H "&amp;IFERROR(VLOOKUP($C22,_Données!$A$196:$E$211,4,FALSE()),"")&amp;"–"&amp;IFERROR(VLOOKUP($C22,_Données!$A$196:$E$211,5,FALSE()),"")&amp;" mm)","")&amp;IF(IFERROR(VLOOKUP($C22,_Données!$A$158:$B$173,2,FALSE()),"")="","",CHAR(10)&amp;"Système : "&amp;VLOOKUP($C22,_Données!$A$158:$B$173,2,FALSE()))&amp;IF($D22="","",CHAR(10)&amp;"Traitement surface : "&amp;$D22)&amp;IF($E22="","",CHAR(10)&amp;"Vitrage : "&amp;$E22)&amp;IF($F22="","",CHAR(10)&amp;"Cadre : "&amp;$F22)&amp;IF(OR(IFERROR(VLOOKUP($C22,_Données!$A$177:$C$192,2,FALSE()),"")="",AND(OR($C22="Porte Lourde 1 vantail",$C22="Porte Lourde 2 vantaux"),OR(ISNUMBER(SEARCH("ventouse",$R22)),ISNUMBER(SEARCH("antipanique",$R22))))),"",CHAR(10)&amp;"Poignée : "&amp;IFERROR(VLOOKUP($C22,_Données!$A$177:$C$192,2,FALSE()),""))&amp;IF(OR(IFERROR(VLOOKUP($C22,_Données!$A$177:$C$192,3,FALSE()),"")="",AND(OR($C22="Porte Lourde 1 vantail",$C22="Porte Lourde 2 vantaux"),OR(ISNUMBER(SEARCH("ventouse",$R22)),ISNUMBER(SEARCH("antipanique",$R22))))),"",CHAR(10)&amp;"Fermeture : "&amp;IFERROR(VLOOKUP($C22,_Données!$A$177:$C$192,3,FALSE()),""))&amp;AL22&amp;AM22&amp;IF(AND($R22&lt;&gt;"",$R22&lt;&gt;"Aucune option"),CHAR(10)&amp;"Option : "&amp;$R22,"")&amp;IF($L22="OUI",CHAR(10)&amp;"Grille de ventilation","")&amp;IF(AND($P22&lt;&gt;"",$P22&lt;&gt;"Aucun"),CHAR(10)&amp;"Habillage extérieur : "&amp;$P22,"")&amp;IF(AND($Q22&lt;&gt;"",$Q22&lt;&gt;"Aucune"),CHAR(10)&amp;"Bavette : "&amp;$Q22,""))</f>
        <v/>
      </c>
      <c r="K22" s="37"/>
      <c r="L22" s="140"/>
      <c r="M22" s="17"/>
      <c r="N22" s="17"/>
      <c r="O22" s="17"/>
      <c r="P22" s="17"/>
      <c r="Q22" s="17"/>
      <c r="R22" s="17"/>
      <c r="S22" s="26" t="str">
        <f ca="1">IFERROR(IF(ISNUMBER(IFERROR(IF(ISNUMBER(IF(IFERROR(OR(AND($G22&lt;&gt;"",IFERROR(VLOOKUP($C22,_Données!$A$196:$E$211,2,FALSE()),"")&lt;&gt;"",OR($G22&lt;VLOOKUP($C22,_Données!$A$196:$E$211,2,FALSE()),$G22&gt;VLOOKUP($C22,_Données!$A$196:$E$211,3,FALSE()))),AND($H22&lt;&gt;"",IFERROR(VLOOKUP($C22,_Données!$A$196:$E$211,4,FALSE()),"")&lt;&gt;"",OR($H22&lt;VLOOKUP($C22,_Données!$A$196:$E$211,4,FALSE()),$H22&gt;VLOOKUP($C22,_Données!$A$196:$E$211,5,FALSE())))),FALSE),"",IFERROR(IF(AND($R22&lt;&gt;"",$R22&lt;&gt;"Aucune option",NOT(OR($C22="Porte Lourde 1 vantail",$C22="Porte Lourde 2 vantaux"))),"⚠ Option valable uniquement pour Porte Lourde",IF(AE22&gt;0,"⚠ Option T/M incompatible avec la gamme",IF(V22=0,IF(AC22&gt;0,AC22,""),IF(V22=-1,"⚠ Dimension non disponible",(V22+W22+X22+Z22+AA22+AB22+AD22)*(1-Paramètres!$B$2)+AC22)))),""))),IF(IFERROR(OR(AND($G22&lt;&gt;"",IFERROR(VLOOKUP($C22,_Données!$A$196:$E$211,2,FALSE()),"")&lt;&gt;"",OR($G22&lt;VLOOKUP($C22,_Données!$A$196:$E$211,2,FALSE()),$G22&gt;VLOOKUP($C22,_Données!$A$196:$E$211,3,FALSE()))),AND($H22&lt;&gt;"",IFERROR(VLOOKUP($C22,_Données!$A$196:$E$211,4,FALSE()),"")&lt;&gt;"",OR($H22&lt;VLOOKUP($C22,_Données!$A$196:$E$211,4,FALSE()),$H22&gt;VLOOKUP($C22,_Données!$A$196:$E$211,5,FALSE())))),FALSE),"",IFERROR(IF(AND($R22&lt;&gt;"",$R22&lt;&gt;"Aucune option",NOT(OR($C22="Porte Lourde 1 vantail",$C22="Porte Lourde 2 vantaux"))),"⚠ Option valable uniquement pour Porte Lourde",IF(AE22&gt;0,"⚠ Option T/M incompatible avec la gamme",IF(V22=0,IF(AC22&gt;0,AC22,""),IF(V22=-1,"⚠ Dimension non disponible",(V22+W22+X22+Z22+AA22+AB22+AD22)*(1-Paramètres!$B$2)+AC22)))),""))+IF($L22="OUI",25,0),IF(IFERROR(OR(AND($G22&lt;&gt;"",IFERROR(VLOOKUP($C22,_Données!$A$196:$E$211,2,FALSE()),"")&lt;&gt;"",OR($G22&lt;VLOOKUP($C22,_Données!$A$196:$E$211,2,FALSE()),$G22&gt;VLOOKUP($C22,_Données!$A$196:$E$211,3,FALSE()))),AND($H22&lt;&gt;"",IFERROR(VLOOKUP($C22,_Données!$A$196:$E$211,4,FALSE()),"")&lt;&gt;"",OR($H22&lt;VLOOKUP($C22,_Données!$A$196:$E$211,4,FALSE()),$H22&gt;VLOOKUP($C22,_Données!$A$196:$E$211,5,FALSE())))),FALSE),"",IFERROR(IF(AND($R22&lt;&gt;"",$R22&lt;&gt;"Aucune option",NOT(OR($C22="Porte Lourde 1 vantail",$C22="Porte Lourde 2 vantaux"))),"⚠ Option valable uniquement pour Porte Lourde",IF(AE22&gt;0,"⚠ Option T/M incompatible avec la gamme",IF(V22=0,IF(AC22&gt;0,AC22,""),IF(V22=-1,"⚠ Dimension non disponible",(V22+W22+X22+Z22+AA22+AB22+AD22)*(1-Paramètres!$B$2)+AC22)))),""))),"")),IFERROR(IF(ISNUMBER(IF(IFERROR(OR(AND($G22&lt;&gt;"",IFERROR(VLOOKUP($C22,_Données!$A$196:$E$211,2,FALSE()),"")&lt;&gt;"",OR($G22&lt;VLOOKUP($C22,_Données!$A$196:$E$211,2,FALSE()),$G22&gt;VLOOKUP($C22,_Données!$A$196:$E$211,3,FALSE()))),AND($H22&lt;&gt;"",IFERROR(VLOOKUP($C22,_Données!$A$196:$E$211,4,FALSE()),"")&lt;&gt;"",OR($H22&lt;VLOOKUP($C22,_Données!$A$196:$E$211,4,FALSE()),$H22&gt;VLOOKUP($C22,_Données!$A$196:$E$211,5,FALSE())))),FALSE),"",IFERROR(IF(AND($R22&lt;&gt;"",$R22&lt;&gt;"Aucune option",NOT(OR($C22="Porte Lourde 1 vantail",$C22="Porte Lourde 2 vantaux"))),"⚠ Option valable uniquement pour Porte Lourde",IF(AE22&gt;0,"⚠ Option T/M incompatible avec la gamme",IF(V22=0,IF(AC22&gt;0,AC22,""),IF(V22=-1,"⚠ Dimension non disponible",(V22+W22+X22+Z22+AA22+AB22+AD22)*(1-Paramètres!$B$2)+AC22)))),""))),IF(IFERROR(OR(AND($G22&lt;&gt;"",IFERROR(VLOOKUP($C22,_Données!$A$196:$E$211,2,FALSE()),"")&lt;&gt;"",OR($G22&lt;VLOOKUP($C22,_Données!$A$196:$E$211,2,FALSE()),$G22&gt;VLOOKUP($C22,_Données!$A$196:$E$211,3,FALSE()))),AND($H22&lt;&gt;"",IFERROR(VLOOKUP($C22,_Données!$A$196:$E$211,4,FALSE()),"")&lt;&gt;"",OR($H22&lt;VLOOKUP($C22,_Données!$A$196:$E$211,4,FALSE()),$H22&gt;VLOOKUP($C22,_Données!$A$196:$E$211,5,FALSE())))),FALSE),"",IFERROR(IF(AND($R22&lt;&gt;"",$R22&lt;&gt;"Aucune option",NOT(OR($C22="Porte Lourde 1 vantail",$C22="Porte Lourde 2 vantaux"))),"⚠ Option valable uniquement pour Porte Lourde",IF(AE22&gt;0,"⚠ Option T/M incompatible avec la gamme",IF(V22=0,IF(AC22&gt;0,AC22,""),IF(V22=-1,"⚠ Dimension non disponible",(V22+W22+X22+Z22+AA22+AB22+AD22)*(1-Paramètres!$B$2)+AC22)))),""))+IF($L22="OUI",25,0),IF(IFERROR(OR(AND($G22&lt;&gt;"",IFERROR(VLOOKUP($C22,_Données!$A$196:$E$211,2,FALSE()),"")&lt;&gt;"",OR($G22&lt;VLOOKUP($C22,_Données!$A$196:$E$211,2,FALSE()),$G22&gt;VLOOKUP($C22,_Données!$A$196:$E$211,3,FALSE()))),AND($H22&lt;&gt;"",IFERROR(VLOOKUP($C22,_Données!$A$196:$E$211,4,FALSE()),"")&lt;&gt;"",OR($H22&lt;VLOOKUP($C22,_Données!$A$196:$E$211,4,FALSE()),$H22&gt;VLOOKUP($C22,_Données!$A$196:$E$211,5,FALSE())))),FALSE),"",IFERROR(IF(AND($R22&lt;&gt;"",$R22&lt;&gt;"Aucune option",NOT(OR($C22="Porte Lourde 1 vantail",$C22="Porte Lourde 2 vantaux"))),"⚠ Option valable uniquement pour Porte Lourde",IF(AE22&gt;0,"⚠ Option T/M incompatible avec la gamme",IF(V22=0,IF(AC22&gt;0,AC22,""),IF(V22=-1,"⚠ Dimension non disponible",(V22+W22+X22+Z22+AA22+AB22+AD22)*(1-Paramètres!$B$2)+AC22)))),""))),"")+IFERROR(VLOOKUP($P22,_Données!$A$218:$B$229,2,FALSE())*($G22+2*$H22)/1000,0)+IFERROR(VLOOKUP($Q22,_Données!$A$232:$B$236,2,FALSE())*$G22/1000,0),IFERROR(IF(ISNUMBER(IF(IFERROR(OR(AND($G22&lt;&gt;"",IFERROR(VLOOKUP($C22,_Données!$A$196:$E$211,2,FALSE()),"")&lt;&gt;"",OR($G22&lt;VLOOKUP($C22,_Données!$A$196:$E$211,2,FALSE()),$G22&gt;VLOOKUP($C22,_Données!$A$196:$E$211,3,FALSE()))),AND($H22&lt;&gt;"",IFERROR(VLOOKUP($C22,_Données!$A$196:$E$211,4,FALSE()),"")&lt;&gt;"",OR($H22&lt;VLOOKUP($C22,_Données!$A$196:$E$211,4,FALSE()),$H22&gt;VLOOKUP($C22,_Données!$A$196:$E$211,5,FALSE())))),FALSE),"",IFERROR(IF(AND($R22&lt;&gt;"",$R22&lt;&gt;"Aucune option",NOT(OR($C22="Porte Lourde 1 vantail",$C22="Porte Lourde 2 vantaux"))),"⚠ Option valable uniquement pour Porte Lourde",IF(AE22&gt;0,"⚠ Option T/M incompatible avec la gamme",IF(V22=0,IF(AC22&gt;0,AC22,""),IF(V22=-1,"⚠ Dimension non disponible",(V22+W22+X22+Z22+AA22+AB22+AD22)*(1-Paramètres!$B$2)+AC22)))),""))),IF(IFERROR(OR(AND($G22&lt;&gt;"",IFERROR(VLOOKUP($C22,_Données!$A$196:$E$211,2,FALSE()),"")&lt;&gt;"",OR($G22&lt;VLOOKUP($C22,_Données!$A$196:$E$211,2,FALSE()),$G22&gt;VLOOKUP($C22,_Données!$A$196:$E$211,3,FALSE()))),AND($H22&lt;&gt;"",IFERROR(VLOOKUP($C22,_Données!$A$196:$E$211,4,FALSE()),"")&lt;&gt;"",OR($H22&lt;VLOOKUP($C22,_Données!$A$196:$E$211,4,FALSE()),$H22&gt;VLOOKUP($C22,_Données!$A$196:$E$211,5,FALSE())))),FALSE),"",IFERROR(IF(AND($R22&lt;&gt;"",$R22&lt;&gt;"Aucune option",NOT(OR($C22="Porte Lourde 1 vantail",$C22="Porte Lourde 2 vantaux"))),"⚠ Option valable uniquement pour Porte Lourde",IF(AE22&gt;0,"⚠ Option T/M incompatible avec la gamme",IF(V22=0,IF(AC22&gt;0,AC22,""),IF(V22=-1,"⚠ Dimension non disponible",(V22+W22+X22+Z22+AA22+AB22+AD22)*(1-Paramètres!$B$2)+AC22)))),""))+IF($L22="OUI",25,0),IF(IFERROR(OR(AND($G22&lt;&gt;"",IFERROR(VLOOKUP($C22,_Données!$A$196:$E$211,2,FALSE()),"")&lt;&gt;"",OR($G22&lt;VLOOKUP($C22,_Données!$A$196:$E$211,2,FALSE()),$G22&gt;VLOOKUP($C22,_Données!$A$196:$E$211,3,FALSE()))),AND($H22&lt;&gt;"",IFERROR(VLOOKUP($C22,_Données!$A$196:$E$211,4,FALSE()),"")&lt;&gt;"",OR($H22&lt;VLOOKUP($C22,_Données!$A$196:$E$211,4,FALSE()),$H22&gt;VLOOKUP($C22,_Données!$A$196:$E$211,5,FALSE())))),FALSE),"",IFERROR(IF(AND($R22&lt;&gt;"",$R22&lt;&gt;"Aucune option",NOT(OR($C22="Porte Lourde 1 vantail",$C22="Porte Lourde 2 vantaux"))),"⚠ Option valable uniquement pour Porte Lourde",IF(AE22&gt;0,"⚠ Option T/M incompatible avec la gamme",IF(V22=0,IF(AC22&gt;0,AC22,""),IF(V22=-1,"⚠ Dimension non disponible",(V22+W22+X22+Z22+AA22+AB22+AD22)*(1-Paramètres!$B$2)+AC22)))),""))),"")),"")</f>
        <v/>
      </c>
      <c r="T22" s="27" t="str">
        <f t="shared" ca="1" si="0"/>
        <v/>
      </c>
      <c r="V22" s="28">
        <f ca="1">IFERROR(IF(OR($C22="",$G22="",$H22=""),0,IF(INDIRECT("'"&amp;VLOOKUP($C22,_Données!$A$3:$V$18,2,FALSE())&amp;"'!"&amp;ADDRESS((VLOOKUP($C22,_Données!$A$3:$V$18,12,FALSE())+IFERROR(MATCH(MAX(VLOOKUP($C22,_Données!$A$3:$V$18,18,FALSE()),MIN(VLOOKUP($C22,_Données!$A$3:$V$18,6,FALSE()),(VLOOKUP($C22,_Données!$A$3:$V$18,18,FALSE())+ROUND(($H22-VLOOKUP($C22,_Données!$A$3:$V$18,18,FALSE()))/VLOOKUP($C22,_Données!$A$3:$V$18,19,FALSE()),0)*VLOOKUP($C22,_Données!$A$3:$V$18,19,FALSE())))),INDIRECT("'"&amp;VLOOKUP($C22,_Données!$A$3:$V$18,2,FALSE())&amp;"'!"&amp;ADDRESS(VLOOKUP($C22,_Données!$A$3:$V$18,12,FALSE()),1,4)&amp;":"&amp;ADDRESS(VLOOKUP($C22,_Données!$A$3:$V$18,12,FALSE())+VLOOKUP($C22,_Données!$A$3:$V$18,15,FALSE())-1,1,4)),0),MATCH(MAX(VLOOKUP($C22,_Données!$A$3:$V$18,18,FALSE()),MIN(VLOOKUP($C22,_Données!$A$3:$V$18,6,FALSE()),(VLOOKUP($C22,_Données!$A$3:$V$18,18,FALSE())+ROUND(($H22-VLOOKUP($C22,_Données!$A$3:$V$18,18,FALSE()))/VLOOKUP($C22,_Données!$A$3:$V$18,19,FALSE()),0)*VLOOKUP($C22,_Données!$A$3:$V$18,19,FALSE())))),INDIRECT("'"&amp;VLOOKUP($C22,_Données!$A$3:$V$18,2,FALSE())&amp;"'!"&amp;ADDRESS(VLOOKUP($C22,_Données!$A$3:$V$18,12,FALSE()),1,4)&amp;":"&amp;ADDRESS(VLOOKUP($C22,_Données!$A$3:$V$18,12,FALSE())+VLOOKUP($C22,_Données!$A$3:$V$18,15,FALSE())-1,1,4)),1))-1),(VLOOKUP($C22,_Données!$A$3:$V$18,13,FALSE())+IFERROR(MATCH(MAX(VLOOKUP($C22,_Données!$A$3:$V$18,16,FALSE()),MIN(VLOOKUP($C22,_Données!$A$3:$V$18,4,FALSE()),(VLOOKUP($C22,_Données!$A$3:$V$18,16,FALSE())+ROUND(($G22-VLOOKUP($C22,_Données!$A$3:$V$18,16,FALSE()))/VLOOKUP($C22,_Données!$A$3:$V$18,17,FALSE()),0)*VLOOKUP($C22,_Données!$A$3:$V$18,17,FALSE())))),INDIRECT("'"&amp;VLOOKUP($C22,_Données!$A$3:$V$18,2,FALSE())&amp;"'!"&amp;ADDRESS(VLOOKUP($C22,_Données!$A$3:$V$18,12,FALSE())-1,VLOOKUP($C22,_Données!$A$3:$V$18,13,FALSE()),4)&amp;":"&amp;ADDRESS(VLOOKUP($C22,_Données!$A$3:$V$18,12,FALSE())-1,VLOOKUP($C22,_Données!$A$3:$V$18,13,FALSE())+VLOOKUP($C22,_Données!$A$3:$V$18,14,FALSE())-1,4)),0),MATCH(MAX(VLOOKUP($C22,_Données!$A$3:$V$18,16,FALSE()),MIN(VLOOKUP($C22,_Données!$A$3:$V$18,4,FALSE()),(VLOOKUP($C22,_Données!$A$3:$V$18,16,FALSE())+ROUND(($G22-VLOOKUP($C22,_Données!$A$3:$V$18,16,FALSE()))/VLOOKUP($C22,_Données!$A$3:$V$18,17,FALSE()),0)*VLOOKUP($C22,_Données!$A$3:$V$18,17,FALSE())))),INDIRECT("'"&amp;VLOOKUP($C22,_Données!$A$3:$V$18,2,FALSE())&amp;"'!"&amp;ADDRESS(VLOOKUP($C22,_Données!$A$3:$V$18,12,FALSE())-1,VLOOKUP($C22,_Données!$A$3:$V$18,13,FALSE()),4)&amp;":"&amp;ADDRESS(VLOOKUP($C22,_Données!$A$3:$V$18,12,FALSE())-1,VLOOKUP($C22,_Données!$A$3:$V$18,13,FALSE())+VLOOKUP($C22,_Données!$A$3:$V$18,14,FALSE())-1,4)),1))-1),4))="",-1,INDIRECT("'"&amp;VLOOKUP($C22,_Données!$A$3:$V$18,2,FALSE())&amp;"'!"&amp;ADDRESS((VLOOKUP($C22,_Données!$A$3:$V$18,12,FALSE())+IFERROR(MATCH(MAX(VLOOKUP($C22,_Données!$A$3:$V$18,18,FALSE()),MIN(VLOOKUP($C22,_Données!$A$3:$V$18,6,FALSE()),(VLOOKUP($C22,_Données!$A$3:$V$18,18,FALSE())+ROUND(($H22-VLOOKUP($C22,_Données!$A$3:$V$18,18,FALSE()))/VLOOKUP($C22,_Données!$A$3:$V$18,19,FALSE()),0)*VLOOKUP($C22,_Données!$A$3:$V$18,19,FALSE())))),INDIRECT("'"&amp;VLOOKUP($C22,_Données!$A$3:$V$18,2,FALSE())&amp;"'!"&amp;ADDRESS(VLOOKUP($C22,_Données!$A$3:$V$18,12,FALSE()),1,4)&amp;":"&amp;ADDRESS(VLOOKUP($C22,_Données!$A$3:$V$18,12,FALSE())+VLOOKUP($C22,_Données!$A$3:$V$18,15,FALSE())-1,1,4)),0),MATCH(MAX(VLOOKUP($C22,_Données!$A$3:$V$18,18,FALSE()),MIN(VLOOKUP($C22,_Données!$A$3:$V$18,6,FALSE()),(VLOOKUP($C22,_Données!$A$3:$V$18,18,FALSE())+ROUND(($H22-VLOOKUP($C22,_Données!$A$3:$V$18,18,FALSE()))/VLOOKUP($C22,_Données!$A$3:$V$18,19,FALSE()),0)*VLOOKUP($C22,_Données!$A$3:$V$18,19,FALSE())))),INDIRECT("'"&amp;VLOOKUP($C22,_Données!$A$3:$V$18,2,FALSE())&amp;"'!"&amp;ADDRESS(VLOOKUP($C22,_Données!$A$3:$V$18,12,FALSE()),1,4)&amp;":"&amp;ADDRESS(VLOOKUP($C22,_Données!$A$3:$V$18,12,FALSE())+VLOOKUP($C22,_Données!$A$3:$V$18,15,FALSE())-1,1,4)),1))-1),(VLOOKUP($C22,_Données!$A$3:$V$18,13,FALSE())+IFERROR(MATCH(MAX(VLOOKUP($C22,_Données!$A$3:$V$18,16,FALSE()),MIN(VLOOKUP($C22,_Données!$A$3:$V$18,4,FALSE()),(VLOOKUP($C22,_Données!$A$3:$V$18,16,FALSE())+ROUND(($G22-VLOOKUP($C22,_Données!$A$3:$V$18,16,FALSE()))/VLOOKUP($C22,_Données!$A$3:$V$18,17,FALSE()),0)*VLOOKUP($C22,_Données!$A$3:$V$18,17,FALSE())))),INDIRECT("'"&amp;VLOOKUP($C22,_Données!$A$3:$V$18,2,FALSE())&amp;"'!"&amp;ADDRESS(VLOOKUP($C22,_Données!$A$3:$V$18,12,FALSE())-1,VLOOKUP($C22,_Données!$A$3:$V$18,13,FALSE()),4)&amp;":"&amp;ADDRESS(VLOOKUP($C22,_Données!$A$3:$V$18,12,FALSE())-1,VLOOKUP($C22,_Données!$A$3:$V$18,13,FALSE())+VLOOKUP($C22,_Données!$A$3:$V$18,14,FALSE())-1,4)),0),MATCH(MAX(VLOOKUP($C22,_Données!$A$3:$V$18,16,FALSE()),MIN(VLOOKUP($C22,_Données!$A$3:$V$18,4,FALSE()),(VLOOKUP($C22,_Données!$A$3:$V$18,16,FALSE())+ROUND(($G22-VLOOKUP($C22,_Données!$A$3:$V$18,16,FALSE()))/VLOOKUP($C22,_Données!$A$3:$V$18,17,FALSE()),0)*VLOOKUP($C22,_Données!$A$3:$V$18,17,FALSE())))),INDIRECT("'"&amp;VLOOKUP($C22,_Données!$A$3:$V$18,2,FALSE())&amp;"'!"&amp;ADDRESS(VLOOKUP($C22,_Données!$A$3:$V$18,12,FALSE())-1,VLOOKUP($C22,_Données!$A$3:$V$18,13,FALSE()),4)&amp;":"&amp;ADDRESS(VLOOKUP($C22,_Données!$A$3:$V$18,12,FALSE())-1,VLOOKUP($C22,_Données!$A$3:$V$18,13,FALSE())+VLOOKUP($C22,_Données!$A$3:$V$18,14,FALSE())-1,4)),1))-1),4)))),0)</f>
        <v>0</v>
      </c>
      <c r="W22" s="28">
        <f ca="1">IFERROR(IF(V22=0,0,IF(MAX(VLOOKUP($C22,_Données!$A$3:$V$18,18,FALSE()),MIN(VLOOKUP($C22,_Données!$A$3:$V$18,6,FALSE()),(VLOOKUP($C22,_Données!$A$3:$V$18,18,FALSE())+ROUND(($H22-VLOOKUP($C22,_Données!$A$3:$V$18,18,FALSE()))/VLOOKUP($C22,_Données!$A$3:$V$18,19,FALSE()),0)*VLOOKUP($C22,_Données!$A$3:$V$18,19,FALSE()))))&gt;=VLOOKUP($C22,_Données!$A$3:$V$18,10,FALSE()),V22*VLOOKUP($C22,_Données!$A$3:$V$18,11,FALSE()),0)),0)</f>
        <v>0</v>
      </c>
      <c r="X22" s="28">
        <f ca="1">IFERROR(IF(OR($D22="",V22=0),0,V22*VLOOKUP($D22,_Données!$A$21:$C$28,2,FALSE())),0)</f>
        <v>0</v>
      </c>
      <c r="Y22" s="28">
        <f>IFERROR(IF($D22="",0,VLOOKUP($D22,_Données!$A$21:$C$28,3,FALSE())),0)</f>
        <v>0</v>
      </c>
      <c r="Z22" s="28">
        <f>IFERROR(IF($E22="",0,VLOOKUP($E22,_Données!$A$48:$C$104,2,FALSE())),0)</f>
        <v>0</v>
      </c>
      <c r="AA22" s="28">
        <f>IFERROR(IF(OR($F22="",$G22="",$H22=""),0,VLOOKUP($F22,_Données!$A$33:$C$43,2,FALSE())*2*($G22+$H22)/1000),0)</f>
        <v>0</v>
      </c>
      <c r="AB22" s="28">
        <f ca="1">IFERROR(IF(OR($F22="",V22=0),0,V22*VLOOKUP($F22,_Données!$A$33:$C$43,3,FALSE())),0)</f>
        <v>0</v>
      </c>
      <c r="AC22" s="29">
        <f>IFERROR(IF(OR($R22="",$R22="Aucune option",NOT(OR($C22="Porte Lourde 1 vantail",$C22="Porte Lourde 2 vantaux"))),0,VLOOKUP($R22,_Données!$A$109:$C$125,2,FALSE())*0.75*IF(VLOOKUP($R22,_Données!$A$109:$C$125,3,FALSE())=1,IF($C22="Porte Lourde 1 vantail",1,IF($C22="Porte Lourde 2 vantaux",2,1)),1)*(1-Paramètres!$B$2)),0)</f>
        <v>0</v>
      </c>
      <c r="AD22">
        <f>IFERROR(IF(OR($M22="",$M22="Aucune"),0,VLOOKUP($C22&amp;"|"&amp;$M22,_Données!$A$132:$B$146,2,FALSE())*IF(LEFT($M22,8)="Traverse",$G22,$H22)/1000),0)+IFERROR(IF(OR($N22="",$N22="Aucune"),0,VLOOKUP($C22&amp;"|"&amp;$N22,_Données!$A$132:$B$146,2,FALSE())*IF(LEFT($N22,8)="Traverse",$G22,$H22)/1000),0)+IFERROR(IF(OR($O22="",$O22="Aucune"),0,VLOOKUP($C22&amp;"|"&amp;$O22,_Données!$A$132:$B$146,2,FALSE())*IF(LEFT($O22,8)="Traverse",$G22,$H22)/1000),0)</f>
        <v>0</v>
      </c>
      <c r="AE22">
        <f>IF(AND($M22&lt;&gt;"",$M22&lt;&gt;"Aucune"),IF(ISNA(VLOOKUP($C22&amp;"|"&amp;$M22,_Données!$A$132:$B$146,2,FALSE())),1,0),0)+IF(AND($N22&lt;&gt;"",$N22&lt;&gt;"Aucune"),IF(ISNA(VLOOKUP($C22&amp;"|"&amp;$N22,_Données!$A$132:$B$146,2,FALSE())),1,0),0)+IF(AND($O22&lt;&gt;"",$O22&lt;&gt;"Aucune"),IF(ISNA(VLOOKUP($C22&amp;"|"&amp;$O22,_Données!$A$132:$B$146,2,FALSE())),1,0),0)</f>
        <v>0</v>
      </c>
      <c r="AF22" t="str">
        <f t="shared" si="1"/>
        <v/>
      </c>
      <c r="AG22" t="str">
        <f t="shared" si="2"/>
        <v/>
      </c>
      <c r="AH22" t="str">
        <f t="shared" si="3"/>
        <v/>
      </c>
      <c r="AI22" t="str">
        <f t="shared" si="4"/>
        <v/>
      </c>
      <c r="AJ22" t="str">
        <f t="shared" si="5"/>
        <v/>
      </c>
      <c r="AK22" t="str">
        <f t="shared" si="6"/>
        <v/>
      </c>
      <c r="AL22" t="str">
        <f t="shared" si="7"/>
        <v/>
      </c>
      <c r="AM22" t="str">
        <f t="shared" si="8"/>
        <v/>
      </c>
    </row>
    <row r="23" spans="1:39" ht="111" customHeight="1" x14ac:dyDescent="0.25">
      <c r="A23" s="30">
        <v>10</v>
      </c>
      <c r="B23" s="31"/>
      <c r="C23" s="31"/>
      <c r="D23" s="31"/>
      <c r="E23" s="31"/>
      <c r="F23" s="31"/>
      <c r="G23" s="32"/>
      <c r="H23" s="32"/>
      <c r="I23" s="32"/>
      <c r="J23" s="33" t="str">
        <f>IF($C23="","",$C23&amp;" aluminium"&amp;IF(OR($G23="",$H23=""),"",", "&amp;$G23&amp;" × "&amp;$H23&amp;" mm")&amp;IF(OR(AND($G23&lt;&gt;"",IFERROR(VLOOKUP($C23,_Données!$A$196:$E$211,2,FALSE()),"")&lt;&gt;"",OR($G23&lt;IFERROR(VLOOKUP($C23,_Données!$A$196:$E$211,2,FALSE()),""),$G23&gt;IFERROR(VLOOKUP($C23,_Données!$A$196:$E$211,3,FALSE()),""))),AND($H23&lt;&gt;"",IFERROR(VLOOKUP($C23,_Données!$A$196:$E$211,4,FALSE()),"")&lt;&gt;"",OR($H23&lt;IFERROR(VLOOKUP($C23,_Données!$A$196:$E$211,4,FALSE()),""),$H23&gt;IFERROR(VLOOKUP($C23,_Données!$A$196:$E$211,5,FALSE()),"")))),CHAR(10)&amp;"⚠ Hors abaque (L "&amp;IFERROR(VLOOKUP($C23,_Données!$A$196:$E$211,2,FALSE()),"")&amp;"–"&amp;IFERROR(VLOOKUP($C23,_Données!$A$196:$E$211,3,FALSE()),"")&amp;" / H "&amp;IFERROR(VLOOKUP($C23,_Données!$A$196:$E$211,4,FALSE()),"")&amp;"–"&amp;IFERROR(VLOOKUP($C23,_Données!$A$196:$E$211,5,FALSE()),"")&amp;" mm)","")&amp;IF(IFERROR(VLOOKUP($C23,_Données!$A$158:$B$173,2,FALSE()),"")="","",CHAR(10)&amp;"Système : "&amp;VLOOKUP($C23,_Données!$A$158:$B$173,2,FALSE()))&amp;IF($D23="","",CHAR(10)&amp;"Traitement surface : "&amp;$D23)&amp;IF($E23="","",CHAR(10)&amp;"Vitrage : "&amp;$E23)&amp;IF($F23="","",CHAR(10)&amp;"Cadre : "&amp;$F23)&amp;IF(OR(IFERROR(VLOOKUP($C23,_Données!$A$177:$C$192,2,FALSE()),"")="",AND(OR($C23="Porte Lourde 1 vantail",$C23="Porte Lourde 2 vantaux"),OR(ISNUMBER(SEARCH("ventouse",$R23)),ISNUMBER(SEARCH("antipanique",$R23))))),"",CHAR(10)&amp;"Poignée : "&amp;IFERROR(VLOOKUP($C23,_Données!$A$177:$C$192,2,FALSE()),""))&amp;IF(OR(IFERROR(VLOOKUP($C23,_Données!$A$177:$C$192,3,FALSE()),"")="",AND(OR($C23="Porte Lourde 1 vantail",$C23="Porte Lourde 2 vantaux"),OR(ISNUMBER(SEARCH("ventouse",$R23)),ISNUMBER(SEARCH("antipanique",$R23))))),"",CHAR(10)&amp;"Fermeture : "&amp;IFERROR(VLOOKUP($C23,_Données!$A$177:$C$192,3,FALSE()),""))&amp;AL23&amp;AM23&amp;IF(AND($R23&lt;&gt;"",$R23&lt;&gt;"Aucune option"),CHAR(10)&amp;"Option : "&amp;$R23,"")&amp;IF($L23="OUI",CHAR(10)&amp;"Grille de ventilation","")&amp;IF(AND($P23&lt;&gt;"",$P23&lt;&gt;"Aucun"),CHAR(10)&amp;"Habillage extérieur : "&amp;$P23,"")&amp;IF(AND($Q23&lt;&gt;"",$Q23&lt;&gt;"Aucune"),CHAR(10)&amp;"Bavette : "&amp;$Q23,""))</f>
        <v/>
      </c>
      <c r="K23" s="34"/>
      <c r="L23" s="143"/>
      <c r="M23" s="31"/>
      <c r="N23" s="31"/>
      <c r="O23" s="31"/>
      <c r="P23" s="31"/>
      <c r="Q23" s="31"/>
      <c r="R23" s="31"/>
      <c r="S23" s="35" t="str">
        <f ca="1">IFERROR(IF(ISNUMBER(IFERROR(IF(ISNUMBER(IF(IFERROR(OR(AND($G23&lt;&gt;"",IFERROR(VLOOKUP($C23,_Données!$A$196:$E$211,2,FALSE()),"")&lt;&gt;"",OR($G23&lt;VLOOKUP($C23,_Données!$A$196:$E$211,2,FALSE()),$G23&gt;VLOOKUP($C23,_Données!$A$196:$E$211,3,FALSE()))),AND($H23&lt;&gt;"",IFERROR(VLOOKUP($C23,_Données!$A$196:$E$211,4,FALSE()),"")&lt;&gt;"",OR($H23&lt;VLOOKUP($C23,_Données!$A$196:$E$211,4,FALSE()),$H23&gt;VLOOKUP($C23,_Données!$A$196:$E$211,5,FALSE())))),FALSE),"",IFERROR(IF(AND($R23&lt;&gt;"",$R23&lt;&gt;"Aucune option",NOT(OR($C23="Porte Lourde 1 vantail",$C23="Porte Lourde 2 vantaux"))),"⚠ Option valable uniquement pour Porte Lourde",IF(AE23&gt;0,"⚠ Option T/M incompatible avec la gamme",IF(V23=0,IF(AC23&gt;0,AC23,""),IF(V23=-1,"⚠ Dimension non disponible",(V23+W23+X23+Z23+AA23+AB23+AD23)*(1-Paramètres!$B$2)+AC23)))),""))),IF(IFERROR(OR(AND($G23&lt;&gt;"",IFERROR(VLOOKUP($C23,_Données!$A$196:$E$211,2,FALSE()),"")&lt;&gt;"",OR($G23&lt;VLOOKUP($C23,_Données!$A$196:$E$211,2,FALSE()),$G23&gt;VLOOKUP($C23,_Données!$A$196:$E$211,3,FALSE()))),AND($H23&lt;&gt;"",IFERROR(VLOOKUP($C23,_Données!$A$196:$E$211,4,FALSE()),"")&lt;&gt;"",OR($H23&lt;VLOOKUP($C23,_Données!$A$196:$E$211,4,FALSE()),$H23&gt;VLOOKUP($C23,_Données!$A$196:$E$211,5,FALSE())))),FALSE),"",IFERROR(IF(AND($R23&lt;&gt;"",$R23&lt;&gt;"Aucune option",NOT(OR($C23="Porte Lourde 1 vantail",$C23="Porte Lourde 2 vantaux"))),"⚠ Option valable uniquement pour Porte Lourde",IF(AE23&gt;0,"⚠ Option T/M incompatible avec la gamme",IF(V23=0,IF(AC23&gt;0,AC23,""),IF(V23=-1,"⚠ Dimension non disponible",(V23+W23+X23+Z23+AA23+AB23+AD23)*(1-Paramètres!$B$2)+AC23)))),""))+IF($L23="OUI",25,0),IF(IFERROR(OR(AND($G23&lt;&gt;"",IFERROR(VLOOKUP($C23,_Données!$A$196:$E$211,2,FALSE()),"")&lt;&gt;"",OR($G23&lt;VLOOKUP($C23,_Données!$A$196:$E$211,2,FALSE()),$G23&gt;VLOOKUP($C23,_Données!$A$196:$E$211,3,FALSE()))),AND($H23&lt;&gt;"",IFERROR(VLOOKUP($C23,_Données!$A$196:$E$211,4,FALSE()),"")&lt;&gt;"",OR($H23&lt;VLOOKUP($C23,_Données!$A$196:$E$211,4,FALSE()),$H23&gt;VLOOKUP($C23,_Données!$A$196:$E$211,5,FALSE())))),FALSE),"",IFERROR(IF(AND($R23&lt;&gt;"",$R23&lt;&gt;"Aucune option",NOT(OR($C23="Porte Lourde 1 vantail",$C23="Porte Lourde 2 vantaux"))),"⚠ Option valable uniquement pour Porte Lourde",IF(AE23&gt;0,"⚠ Option T/M incompatible avec la gamme",IF(V23=0,IF(AC23&gt;0,AC23,""),IF(V23=-1,"⚠ Dimension non disponible",(V23+W23+X23+Z23+AA23+AB23+AD23)*(1-Paramètres!$B$2)+AC23)))),""))),"")),IFERROR(IF(ISNUMBER(IF(IFERROR(OR(AND($G23&lt;&gt;"",IFERROR(VLOOKUP($C23,_Données!$A$196:$E$211,2,FALSE()),"")&lt;&gt;"",OR($G23&lt;VLOOKUP($C23,_Données!$A$196:$E$211,2,FALSE()),$G23&gt;VLOOKUP($C23,_Données!$A$196:$E$211,3,FALSE()))),AND($H23&lt;&gt;"",IFERROR(VLOOKUP($C23,_Données!$A$196:$E$211,4,FALSE()),"")&lt;&gt;"",OR($H23&lt;VLOOKUP($C23,_Données!$A$196:$E$211,4,FALSE()),$H23&gt;VLOOKUP($C23,_Données!$A$196:$E$211,5,FALSE())))),FALSE),"",IFERROR(IF(AND($R23&lt;&gt;"",$R23&lt;&gt;"Aucune option",NOT(OR($C23="Porte Lourde 1 vantail",$C23="Porte Lourde 2 vantaux"))),"⚠ Option valable uniquement pour Porte Lourde",IF(AE23&gt;0,"⚠ Option T/M incompatible avec la gamme",IF(V23=0,IF(AC23&gt;0,AC23,""),IF(V23=-1,"⚠ Dimension non disponible",(V23+W23+X23+Z23+AA23+AB23+AD23)*(1-Paramètres!$B$2)+AC23)))),""))),IF(IFERROR(OR(AND($G23&lt;&gt;"",IFERROR(VLOOKUP($C23,_Données!$A$196:$E$211,2,FALSE()),"")&lt;&gt;"",OR($G23&lt;VLOOKUP($C23,_Données!$A$196:$E$211,2,FALSE()),$G23&gt;VLOOKUP($C23,_Données!$A$196:$E$211,3,FALSE()))),AND($H23&lt;&gt;"",IFERROR(VLOOKUP($C23,_Données!$A$196:$E$211,4,FALSE()),"")&lt;&gt;"",OR($H23&lt;VLOOKUP($C23,_Données!$A$196:$E$211,4,FALSE()),$H23&gt;VLOOKUP($C23,_Données!$A$196:$E$211,5,FALSE())))),FALSE),"",IFERROR(IF(AND($R23&lt;&gt;"",$R23&lt;&gt;"Aucune option",NOT(OR($C23="Porte Lourde 1 vantail",$C23="Porte Lourde 2 vantaux"))),"⚠ Option valable uniquement pour Porte Lourde",IF(AE23&gt;0,"⚠ Option T/M incompatible avec la gamme",IF(V23=0,IF(AC23&gt;0,AC23,""),IF(V23=-1,"⚠ Dimension non disponible",(V23+W23+X23+Z23+AA23+AB23+AD23)*(1-Paramètres!$B$2)+AC23)))),""))+IF($L23="OUI",25,0),IF(IFERROR(OR(AND($G23&lt;&gt;"",IFERROR(VLOOKUP($C23,_Données!$A$196:$E$211,2,FALSE()),"")&lt;&gt;"",OR($G23&lt;VLOOKUP($C23,_Données!$A$196:$E$211,2,FALSE()),$G23&gt;VLOOKUP($C23,_Données!$A$196:$E$211,3,FALSE()))),AND($H23&lt;&gt;"",IFERROR(VLOOKUP($C23,_Données!$A$196:$E$211,4,FALSE()),"")&lt;&gt;"",OR($H23&lt;VLOOKUP($C23,_Données!$A$196:$E$211,4,FALSE()),$H23&gt;VLOOKUP($C23,_Données!$A$196:$E$211,5,FALSE())))),FALSE),"",IFERROR(IF(AND($R23&lt;&gt;"",$R23&lt;&gt;"Aucune option",NOT(OR($C23="Porte Lourde 1 vantail",$C23="Porte Lourde 2 vantaux"))),"⚠ Option valable uniquement pour Porte Lourde",IF(AE23&gt;0,"⚠ Option T/M incompatible avec la gamme",IF(V23=0,IF(AC23&gt;0,AC23,""),IF(V23=-1,"⚠ Dimension non disponible",(V23+W23+X23+Z23+AA23+AB23+AD23)*(1-Paramètres!$B$2)+AC23)))),""))),"")+IFERROR(VLOOKUP($P23,_Données!$A$218:$B$229,2,FALSE())*($G23+2*$H23)/1000,0)+IFERROR(VLOOKUP($Q23,_Données!$A$232:$B$236,2,FALSE())*$G23/1000,0),IFERROR(IF(ISNUMBER(IF(IFERROR(OR(AND($G23&lt;&gt;"",IFERROR(VLOOKUP($C23,_Données!$A$196:$E$211,2,FALSE()),"")&lt;&gt;"",OR($G23&lt;VLOOKUP($C23,_Données!$A$196:$E$211,2,FALSE()),$G23&gt;VLOOKUP($C23,_Données!$A$196:$E$211,3,FALSE()))),AND($H23&lt;&gt;"",IFERROR(VLOOKUP($C23,_Données!$A$196:$E$211,4,FALSE()),"")&lt;&gt;"",OR($H23&lt;VLOOKUP($C23,_Données!$A$196:$E$211,4,FALSE()),$H23&gt;VLOOKUP($C23,_Données!$A$196:$E$211,5,FALSE())))),FALSE),"",IFERROR(IF(AND($R23&lt;&gt;"",$R23&lt;&gt;"Aucune option",NOT(OR($C23="Porte Lourde 1 vantail",$C23="Porte Lourde 2 vantaux"))),"⚠ Option valable uniquement pour Porte Lourde",IF(AE23&gt;0,"⚠ Option T/M incompatible avec la gamme",IF(V23=0,IF(AC23&gt;0,AC23,""),IF(V23=-1,"⚠ Dimension non disponible",(V23+W23+X23+Z23+AA23+AB23+AD23)*(1-Paramètres!$B$2)+AC23)))),""))),IF(IFERROR(OR(AND($G23&lt;&gt;"",IFERROR(VLOOKUP($C23,_Données!$A$196:$E$211,2,FALSE()),"")&lt;&gt;"",OR($G23&lt;VLOOKUP($C23,_Données!$A$196:$E$211,2,FALSE()),$G23&gt;VLOOKUP($C23,_Données!$A$196:$E$211,3,FALSE()))),AND($H23&lt;&gt;"",IFERROR(VLOOKUP($C23,_Données!$A$196:$E$211,4,FALSE()),"")&lt;&gt;"",OR($H23&lt;VLOOKUP($C23,_Données!$A$196:$E$211,4,FALSE()),$H23&gt;VLOOKUP($C23,_Données!$A$196:$E$211,5,FALSE())))),FALSE),"",IFERROR(IF(AND($R23&lt;&gt;"",$R23&lt;&gt;"Aucune option",NOT(OR($C23="Porte Lourde 1 vantail",$C23="Porte Lourde 2 vantaux"))),"⚠ Option valable uniquement pour Porte Lourde",IF(AE23&gt;0,"⚠ Option T/M incompatible avec la gamme",IF(V23=0,IF(AC23&gt;0,AC23,""),IF(V23=-1,"⚠ Dimension non disponible",(V23+W23+X23+Z23+AA23+AB23+AD23)*(1-Paramètres!$B$2)+AC23)))),""))+IF($L23="OUI",25,0),IF(IFERROR(OR(AND($G23&lt;&gt;"",IFERROR(VLOOKUP($C23,_Données!$A$196:$E$211,2,FALSE()),"")&lt;&gt;"",OR($G23&lt;VLOOKUP($C23,_Données!$A$196:$E$211,2,FALSE()),$G23&gt;VLOOKUP($C23,_Données!$A$196:$E$211,3,FALSE()))),AND($H23&lt;&gt;"",IFERROR(VLOOKUP($C23,_Données!$A$196:$E$211,4,FALSE()),"")&lt;&gt;"",OR($H23&lt;VLOOKUP($C23,_Données!$A$196:$E$211,4,FALSE()),$H23&gt;VLOOKUP($C23,_Données!$A$196:$E$211,5,FALSE())))),FALSE),"",IFERROR(IF(AND($R23&lt;&gt;"",$R23&lt;&gt;"Aucune option",NOT(OR($C23="Porte Lourde 1 vantail",$C23="Porte Lourde 2 vantaux"))),"⚠ Option valable uniquement pour Porte Lourde",IF(AE23&gt;0,"⚠ Option T/M incompatible avec la gamme",IF(V23=0,IF(AC23&gt;0,AC23,""),IF(V23=-1,"⚠ Dimension non disponible",(V23+W23+X23+Z23+AA23+AB23+AD23)*(1-Paramètres!$B$2)+AC23)))),""))),"")),"")</f>
        <v/>
      </c>
      <c r="T23" s="36" t="str">
        <f t="shared" ca="1" si="0"/>
        <v/>
      </c>
      <c r="V23" s="28">
        <f ca="1">IFERROR(IF(OR($C23="",$G23="",$H23=""),0,IF(INDIRECT("'"&amp;VLOOKUP($C23,_Données!$A$3:$V$18,2,FALSE())&amp;"'!"&amp;ADDRESS((VLOOKUP($C23,_Données!$A$3:$V$18,12,FALSE())+IFERROR(MATCH(MAX(VLOOKUP($C23,_Données!$A$3:$V$18,18,FALSE()),MIN(VLOOKUP($C23,_Données!$A$3:$V$18,6,FALSE()),(VLOOKUP($C23,_Données!$A$3:$V$18,18,FALSE())+ROUND(($H23-VLOOKUP($C23,_Données!$A$3:$V$18,18,FALSE()))/VLOOKUP($C23,_Données!$A$3:$V$18,19,FALSE()),0)*VLOOKUP($C23,_Données!$A$3:$V$18,19,FALSE())))),INDIRECT("'"&amp;VLOOKUP($C23,_Données!$A$3:$V$18,2,FALSE())&amp;"'!"&amp;ADDRESS(VLOOKUP($C23,_Données!$A$3:$V$18,12,FALSE()),1,4)&amp;":"&amp;ADDRESS(VLOOKUP($C23,_Données!$A$3:$V$18,12,FALSE())+VLOOKUP($C23,_Données!$A$3:$V$18,15,FALSE())-1,1,4)),0),MATCH(MAX(VLOOKUP($C23,_Données!$A$3:$V$18,18,FALSE()),MIN(VLOOKUP($C23,_Données!$A$3:$V$18,6,FALSE()),(VLOOKUP($C23,_Données!$A$3:$V$18,18,FALSE())+ROUND(($H23-VLOOKUP($C23,_Données!$A$3:$V$18,18,FALSE()))/VLOOKUP($C23,_Données!$A$3:$V$18,19,FALSE()),0)*VLOOKUP($C23,_Données!$A$3:$V$18,19,FALSE())))),INDIRECT("'"&amp;VLOOKUP($C23,_Données!$A$3:$V$18,2,FALSE())&amp;"'!"&amp;ADDRESS(VLOOKUP($C23,_Données!$A$3:$V$18,12,FALSE()),1,4)&amp;":"&amp;ADDRESS(VLOOKUP($C23,_Données!$A$3:$V$18,12,FALSE())+VLOOKUP($C23,_Données!$A$3:$V$18,15,FALSE())-1,1,4)),1))-1),(VLOOKUP($C23,_Données!$A$3:$V$18,13,FALSE())+IFERROR(MATCH(MAX(VLOOKUP($C23,_Données!$A$3:$V$18,16,FALSE()),MIN(VLOOKUP($C23,_Données!$A$3:$V$18,4,FALSE()),(VLOOKUP($C23,_Données!$A$3:$V$18,16,FALSE())+ROUND(($G23-VLOOKUP($C23,_Données!$A$3:$V$18,16,FALSE()))/VLOOKUP($C23,_Données!$A$3:$V$18,17,FALSE()),0)*VLOOKUP($C23,_Données!$A$3:$V$18,17,FALSE())))),INDIRECT("'"&amp;VLOOKUP($C23,_Données!$A$3:$V$18,2,FALSE())&amp;"'!"&amp;ADDRESS(VLOOKUP($C23,_Données!$A$3:$V$18,12,FALSE())-1,VLOOKUP($C23,_Données!$A$3:$V$18,13,FALSE()),4)&amp;":"&amp;ADDRESS(VLOOKUP($C23,_Données!$A$3:$V$18,12,FALSE())-1,VLOOKUP($C23,_Données!$A$3:$V$18,13,FALSE())+VLOOKUP($C23,_Données!$A$3:$V$18,14,FALSE())-1,4)),0),MATCH(MAX(VLOOKUP($C23,_Données!$A$3:$V$18,16,FALSE()),MIN(VLOOKUP($C23,_Données!$A$3:$V$18,4,FALSE()),(VLOOKUP($C23,_Données!$A$3:$V$18,16,FALSE())+ROUND(($G23-VLOOKUP($C23,_Données!$A$3:$V$18,16,FALSE()))/VLOOKUP($C23,_Données!$A$3:$V$18,17,FALSE()),0)*VLOOKUP($C23,_Données!$A$3:$V$18,17,FALSE())))),INDIRECT("'"&amp;VLOOKUP($C23,_Données!$A$3:$V$18,2,FALSE())&amp;"'!"&amp;ADDRESS(VLOOKUP($C23,_Données!$A$3:$V$18,12,FALSE())-1,VLOOKUP($C23,_Données!$A$3:$V$18,13,FALSE()),4)&amp;":"&amp;ADDRESS(VLOOKUP($C23,_Données!$A$3:$V$18,12,FALSE())-1,VLOOKUP($C23,_Données!$A$3:$V$18,13,FALSE())+VLOOKUP($C23,_Données!$A$3:$V$18,14,FALSE())-1,4)),1))-1),4))="",-1,INDIRECT("'"&amp;VLOOKUP($C23,_Données!$A$3:$V$18,2,FALSE())&amp;"'!"&amp;ADDRESS((VLOOKUP($C23,_Données!$A$3:$V$18,12,FALSE())+IFERROR(MATCH(MAX(VLOOKUP($C23,_Données!$A$3:$V$18,18,FALSE()),MIN(VLOOKUP($C23,_Données!$A$3:$V$18,6,FALSE()),(VLOOKUP($C23,_Données!$A$3:$V$18,18,FALSE())+ROUND(($H23-VLOOKUP($C23,_Données!$A$3:$V$18,18,FALSE()))/VLOOKUP($C23,_Données!$A$3:$V$18,19,FALSE()),0)*VLOOKUP($C23,_Données!$A$3:$V$18,19,FALSE())))),INDIRECT("'"&amp;VLOOKUP($C23,_Données!$A$3:$V$18,2,FALSE())&amp;"'!"&amp;ADDRESS(VLOOKUP($C23,_Données!$A$3:$V$18,12,FALSE()),1,4)&amp;":"&amp;ADDRESS(VLOOKUP($C23,_Données!$A$3:$V$18,12,FALSE())+VLOOKUP($C23,_Données!$A$3:$V$18,15,FALSE())-1,1,4)),0),MATCH(MAX(VLOOKUP($C23,_Données!$A$3:$V$18,18,FALSE()),MIN(VLOOKUP($C23,_Données!$A$3:$V$18,6,FALSE()),(VLOOKUP($C23,_Données!$A$3:$V$18,18,FALSE())+ROUND(($H23-VLOOKUP($C23,_Données!$A$3:$V$18,18,FALSE()))/VLOOKUP($C23,_Données!$A$3:$V$18,19,FALSE()),0)*VLOOKUP($C23,_Données!$A$3:$V$18,19,FALSE())))),INDIRECT("'"&amp;VLOOKUP($C23,_Données!$A$3:$V$18,2,FALSE())&amp;"'!"&amp;ADDRESS(VLOOKUP($C23,_Données!$A$3:$V$18,12,FALSE()),1,4)&amp;":"&amp;ADDRESS(VLOOKUP($C23,_Données!$A$3:$V$18,12,FALSE())+VLOOKUP($C23,_Données!$A$3:$V$18,15,FALSE())-1,1,4)),1))-1),(VLOOKUP($C23,_Données!$A$3:$V$18,13,FALSE())+IFERROR(MATCH(MAX(VLOOKUP($C23,_Données!$A$3:$V$18,16,FALSE()),MIN(VLOOKUP($C23,_Données!$A$3:$V$18,4,FALSE()),(VLOOKUP($C23,_Données!$A$3:$V$18,16,FALSE())+ROUND(($G23-VLOOKUP($C23,_Données!$A$3:$V$18,16,FALSE()))/VLOOKUP($C23,_Données!$A$3:$V$18,17,FALSE()),0)*VLOOKUP($C23,_Données!$A$3:$V$18,17,FALSE())))),INDIRECT("'"&amp;VLOOKUP($C23,_Données!$A$3:$V$18,2,FALSE())&amp;"'!"&amp;ADDRESS(VLOOKUP($C23,_Données!$A$3:$V$18,12,FALSE())-1,VLOOKUP($C23,_Données!$A$3:$V$18,13,FALSE()),4)&amp;":"&amp;ADDRESS(VLOOKUP($C23,_Données!$A$3:$V$18,12,FALSE())-1,VLOOKUP($C23,_Données!$A$3:$V$18,13,FALSE())+VLOOKUP($C23,_Données!$A$3:$V$18,14,FALSE())-1,4)),0),MATCH(MAX(VLOOKUP($C23,_Données!$A$3:$V$18,16,FALSE()),MIN(VLOOKUP($C23,_Données!$A$3:$V$18,4,FALSE()),(VLOOKUP($C23,_Données!$A$3:$V$18,16,FALSE())+ROUND(($G23-VLOOKUP($C23,_Données!$A$3:$V$18,16,FALSE()))/VLOOKUP($C23,_Données!$A$3:$V$18,17,FALSE()),0)*VLOOKUP($C23,_Données!$A$3:$V$18,17,FALSE())))),INDIRECT("'"&amp;VLOOKUP($C23,_Données!$A$3:$V$18,2,FALSE())&amp;"'!"&amp;ADDRESS(VLOOKUP($C23,_Données!$A$3:$V$18,12,FALSE())-1,VLOOKUP($C23,_Données!$A$3:$V$18,13,FALSE()),4)&amp;":"&amp;ADDRESS(VLOOKUP($C23,_Données!$A$3:$V$18,12,FALSE())-1,VLOOKUP($C23,_Données!$A$3:$V$18,13,FALSE())+VLOOKUP($C23,_Données!$A$3:$V$18,14,FALSE())-1,4)),1))-1),4)))),0)</f>
        <v>0</v>
      </c>
      <c r="W23" s="28">
        <f ca="1">IFERROR(IF(V23=0,0,IF(MAX(VLOOKUP($C23,_Données!$A$3:$V$18,18,FALSE()),MIN(VLOOKUP($C23,_Données!$A$3:$V$18,6,FALSE()),(VLOOKUP($C23,_Données!$A$3:$V$18,18,FALSE())+ROUND(($H23-VLOOKUP($C23,_Données!$A$3:$V$18,18,FALSE()))/VLOOKUP($C23,_Données!$A$3:$V$18,19,FALSE()),0)*VLOOKUP($C23,_Données!$A$3:$V$18,19,FALSE()))))&gt;=VLOOKUP($C23,_Données!$A$3:$V$18,10,FALSE()),V23*VLOOKUP($C23,_Données!$A$3:$V$18,11,FALSE()),0)),0)</f>
        <v>0</v>
      </c>
      <c r="X23" s="28">
        <f ca="1">IFERROR(IF(OR($D23="",V23=0),0,V23*VLOOKUP($D23,_Données!$A$21:$C$28,2,FALSE())),0)</f>
        <v>0</v>
      </c>
      <c r="Y23" s="28">
        <f>IFERROR(IF($D23="",0,VLOOKUP($D23,_Données!$A$21:$C$28,3,FALSE())),0)</f>
        <v>0</v>
      </c>
      <c r="Z23" s="28">
        <f>IFERROR(IF($E23="",0,VLOOKUP($E23,_Données!$A$48:$C$104,2,FALSE())),0)</f>
        <v>0</v>
      </c>
      <c r="AA23" s="28">
        <f>IFERROR(IF(OR($F23="",$G23="",$H23=""),0,VLOOKUP($F23,_Données!$A$33:$C$43,2,FALSE())*2*($G23+$H23)/1000),0)</f>
        <v>0</v>
      </c>
      <c r="AB23" s="28">
        <f ca="1">IFERROR(IF(OR($F23="",V23=0),0,V23*VLOOKUP($F23,_Données!$A$33:$C$43,3,FALSE())),0)</f>
        <v>0</v>
      </c>
      <c r="AC23" s="29">
        <f>IFERROR(IF(OR($R23="",$R23="Aucune option",NOT(OR($C23="Porte Lourde 1 vantail",$C23="Porte Lourde 2 vantaux"))),0,VLOOKUP($R23,_Données!$A$109:$C$125,2,FALSE())*0.75*IF(VLOOKUP($R23,_Données!$A$109:$C$125,3,FALSE())=1,IF($C23="Porte Lourde 1 vantail",1,IF($C23="Porte Lourde 2 vantaux",2,1)),1)*(1-Paramètres!$B$2)),0)</f>
        <v>0</v>
      </c>
      <c r="AD23">
        <f>IFERROR(IF(OR($M23="",$M23="Aucune"),0,VLOOKUP($C23&amp;"|"&amp;$M23,_Données!$A$132:$B$146,2,FALSE())*IF(LEFT($M23,8)="Traverse",$G23,$H23)/1000),0)+IFERROR(IF(OR($N23="",$N23="Aucune"),0,VLOOKUP($C23&amp;"|"&amp;$N23,_Données!$A$132:$B$146,2,FALSE())*IF(LEFT($N23,8)="Traverse",$G23,$H23)/1000),0)+IFERROR(IF(OR($O23="",$O23="Aucune"),0,VLOOKUP($C23&amp;"|"&amp;$O23,_Données!$A$132:$B$146,2,FALSE())*IF(LEFT($O23,8)="Traverse",$G23,$H23)/1000),0)</f>
        <v>0</v>
      </c>
      <c r="AE23">
        <f>IF(AND($M23&lt;&gt;"",$M23&lt;&gt;"Aucune"),IF(ISNA(VLOOKUP($C23&amp;"|"&amp;$M23,_Données!$A$132:$B$146,2,FALSE())),1,0),0)+IF(AND($N23&lt;&gt;"",$N23&lt;&gt;"Aucune"),IF(ISNA(VLOOKUP($C23&amp;"|"&amp;$N23,_Données!$A$132:$B$146,2,FALSE())),1,0),0)+IF(AND($O23&lt;&gt;"",$O23&lt;&gt;"Aucune"),IF(ISNA(VLOOKUP($C23&amp;"|"&amp;$O23,_Données!$A$132:$B$146,2,FALSE())),1,0),0)</f>
        <v>0</v>
      </c>
      <c r="AF23" t="str">
        <f t="shared" si="1"/>
        <v/>
      </c>
      <c r="AG23" t="str">
        <f t="shared" si="2"/>
        <v/>
      </c>
      <c r="AH23" t="str">
        <f t="shared" si="3"/>
        <v/>
      </c>
      <c r="AI23" t="str">
        <f t="shared" si="4"/>
        <v/>
      </c>
      <c r="AJ23" t="str">
        <f t="shared" si="5"/>
        <v/>
      </c>
      <c r="AK23" t="str">
        <f t="shared" si="6"/>
        <v/>
      </c>
      <c r="AL23" t="str">
        <f t="shared" si="7"/>
        <v/>
      </c>
      <c r="AM23" t="str">
        <f t="shared" si="8"/>
        <v/>
      </c>
    </row>
    <row r="24" spans="1:39" ht="7.5" customHeight="1" x14ac:dyDescent="0.25">
      <c r="A24" s="16"/>
      <c r="B24" s="16"/>
      <c r="C24" s="16"/>
      <c r="D24" s="16"/>
      <c r="E24" s="16"/>
      <c r="F24" s="16"/>
      <c r="G24" s="16"/>
      <c r="H24" s="16"/>
      <c r="I24" s="16"/>
      <c r="J24" s="16"/>
      <c r="K24" s="16"/>
      <c r="L24" s="16"/>
      <c r="M24" s="16"/>
      <c r="N24" s="16"/>
      <c r="O24" s="16"/>
      <c r="P24" s="16"/>
      <c r="Q24" s="16"/>
      <c r="R24" s="16"/>
      <c r="S24" s="16"/>
      <c r="T24" s="16"/>
    </row>
    <row r="25" spans="1:39" ht="21.75" customHeight="1" x14ac:dyDescent="0.25">
      <c r="A25" s="107"/>
      <c r="B25" s="108"/>
      <c r="C25" s="108"/>
      <c r="D25" s="108"/>
      <c r="E25" s="108"/>
      <c r="F25" s="108"/>
      <c r="G25" s="108"/>
      <c r="H25" s="108"/>
      <c r="I25" s="108"/>
      <c r="J25" s="108"/>
      <c r="K25" s="108"/>
      <c r="L25" s="108"/>
      <c r="M25" s="108"/>
      <c r="N25" s="108"/>
      <c r="O25" s="108"/>
      <c r="P25" s="108"/>
      <c r="Q25" s="108"/>
      <c r="R25" s="108"/>
      <c r="S25" s="107"/>
      <c r="T25" s="39">
        <f ca="1">SUM(T14:T23)</f>
        <v>1198.931</v>
      </c>
    </row>
    <row r="26" spans="1:39" ht="21.75" customHeight="1" x14ac:dyDescent="0.25">
      <c r="A26" s="107"/>
      <c r="B26" s="108"/>
      <c r="C26" s="108"/>
      <c r="D26" s="108"/>
      <c r="E26" s="108"/>
      <c r="F26" s="108"/>
      <c r="G26" s="108"/>
      <c r="H26" s="108"/>
      <c r="I26" s="108"/>
      <c r="J26" s="108"/>
      <c r="K26" s="108"/>
      <c r="L26" s="108"/>
      <c r="M26" s="108"/>
      <c r="N26" s="108"/>
      <c r="O26" s="108"/>
      <c r="P26" s="108"/>
      <c r="Q26" s="108"/>
      <c r="R26" s="108"/>
      <c r="S26" s="107"/>
      <c r="T26" s="39">
        <f>MAX(Y14:Y23)*(1-Paramètres!$B$2)</f>
        <v>0</v>
      </c>
    </row>
    <row r="27" spans="1:39" ht="36" customHeight="1" x14ac:dyDescent="0.25">
      <c r="A27" s="110"/>
      <c r="B27" s="111"/>
      <c r="C27" s="111"/>
      <c r="D27" s="111"/>
      <c r="E27" s="111"/>
      <c r="F27" s="111"/>
      <c r="G27" s="111"/>
      <c r="H27" s="111"/>
      <c r="I27" s="111"/>
      <c r="J27" s="111"/>
      <c r="K27" s="111"/>
      <c r="L27" s="111"/>
      <c r="M27" s="111"/>
      <c r="N27" s="111"/>
      <c r="O27" s="111"/>
      <c r="P27" s="111"/>
      <c r="Q27" s="111"/>
      <c r="R27" s="111"/>
      <c r="S27" s="110"/>
      <c r="T27" s="40">
        <f ca="1">T25+T26</f>
        <v>1198.931</v>
      </c>
    </row>
    <row r="28" spans="1:39" ht="18" customHeight="1" x14ac:dyDescent="0.25">
      <c r="A28" s="93"/>
      <c r="B28" s="93"/>
      <c r="C28" s="93"/>
      <c r="D28" s="93"/>
      <c r="E28" s="93"/>
      <c r="F28" s="93"/>
      <c r="G28" s="93"/>
      <c r="H28" s="93"/>
      <c r="I28" s="93"/>
      <c r="J28" s="93"/>
      <c r="K28" s="93"/>
      <c r="L28" s="93"/>
      <c r="M28" s="93"/>
      <c r="N28" s="93"/>
      <c r="O28" s="93"/>
      <c r="P28" s="93"/>
      <c r="Q28" s="93"/>
      <c r="R28" s="93"/>
      <c r="S28" s="93"/>
      <c r="T28" s="41">
        <f>Paramètres!$B$2</f>
        <v>0.51500000000000001</v>
      </c>
    </row>
    <row r="29" spans="1:39" ht="15" hidden="1" customHeight="1" x14ac:dyDescent="0.25"/>
    <row r="30" spans="1:39" ht="13.5" hidden="1" customHeight="1" x14ac:dyDescent="0.25">
      <c r="A30" s="99" t="s">
        <v>68</v>
      </c>
      <c r="B30" s="93"/>
      <c r="C30" s="93"/>
      <c r="D30" s="93"/>
      <c r="E30" s="93"/>
      <c r="F30" s="93"/>
      <c r="G30" s="93"/>
      <c r="H30" s="93"/>
      <c r="I30" s="93"/>
      <c r="J30" s="93"/>
      <c r="K30" s="93"/>
      <c r="L30" s="93"/>
      <c r="M30" s="93"/>
    </row>
    <row r="31" spans="1:39" ht="13.5" hidden="1" customHeight="1" x14ac:dyDescent="0.25">
      <c r="A31" s="99" t="s">
        <v>69</v>
      </c>
      <c r="B31" s="93"/>
      <c r="C31" s="93"/>
      <c r="D31" s="93"/>
      <c r="E31" s="93"/>
      <c r="F31" s="93"/>
      <c r="G31" s="93"/>
      <c r="H31" s="93"/>
      <c r="I31" s="93"/>
      <c r="J31" s="93"/>
      <c r="K31" s="93"/>
      <c r="L31" s="93"/>
      <c r="M31" s="93"/>
    </row>
    <row r="32" spans="1:39" ht="13.5" hidden="1" customHeight="1" x14ac:dyDescent="0.25">
      <c r="A32" s="99" t="s">
        <v>70</v>
      </c>
      <c r="B32" s="93"/>
      <c r="C32" s="93"/>
      <c r="D32" s="93"/>
      <c r="E32" s="93"/>
      <c r="F32" s="93"/>
      <c r="G32" s="93"/>
      <c r="H32" s="93"/>
      <c r="I32" s="93"/>
      <c r="J32" s="93"/>
      <c r="K32" s="93"/>
      <c r="L32" s="93"/>
      <c r="M32" s="93"/>
    </row>
    <row r="33" spans="1:14" ht="13.5" hidden="1" customHeight="1" x14ac:dyDescent="0.25">
      <c r="A33" s="99" t="s">
        <v>71</v>
      </c>
      <c r="B33" s="93"/>
      <c r="C33" s="93"/>
      <c r="D33" s="93"/>
      <c r="E33" s="93"/>
      <c r="F33" s="93"/>
      <c r="G33" s="93"/>
      <c r="H33" s="93"/>
      <c r="I33" s="93"/>
      <c r="J33" s="93"/>
      <c r="K33" s="93"/>
      <c r="L33" s="93"/>
      <c r="M33" s="93"/>
    </row>
    <row r="34" spans="1:14" ht="13.5" hidden="1" customHeight="1" x14ac:dyDescent="0.25">
      <c r="A34" s="99" t="s">
        <v>72</v>
      </c>
      <c r="B34" s="93"/>
      <c r="C34" s="93"/>
      <c r="D34" s="93"/>
      <c r="E34" s="93"/>
      <c r="F34" s="93"/>
      <c r="G34" s="93"/>
      <c r="H34" s="93"/>
      <c r="I34" s="93"/>
      <c r="J34" s="93"/>
      <c r="K34" s="93"/>
      <c r="L34" s="93"/>
      <c r="M34" s="93"/>
    </row>
    <row r="35" spans="1:14" ht="13.5" hidden="1" customHeight="1" x14ac:dyDescent="0.25">
      <c r="A35" s="99" t="s">
        <v>73</v>
      </c>
      <c r="B35" s="93"/>
      <c r="C35" s="93"/>
      <c r="D35" s="93"/>
      <c r="E35" s="93"/>
      <c r="F35" s="93"/>
      <c r="G35" s="93"/>
      <c r="H35" s="93"/>
      <c r="I35" s="93"/>
      <c r="J35" s="93"/>
      <c r="K35" s="93"/>
      <c r="L35" s="93"/>
      <c r="M35" s="93"/>
    </row>
    <row r="37" spans="1:14" ht="21.75" customHeight="1" x14ac:dyDescent="0.25">
      <c r="A37" s="109" t="s">
        <v>74</v>
      </c>
      <c r="B37" s="93"/>
      <c r="C37" s="93"/>
      <c r="D37" s="93"/>
      <c r="E37" s="93"/>
      <c r="F37" s="93"/>
      <c r="G37" s="93"/>
      <c r="H37" s="93"/>
      <c r="I37" s="93"/>
      <c r="J37" s="93"/>
      <c r="K37" s="93"/>
      <c r="L37" s="93"/>
      <c r="M37" s="93"/>
    </row>
    <row r="38" spans="1:14" ht="15.75" customHeight="1" x14ac:dyDescent="0.25">
      <c r="A38" s="99" t="s">
        <v>75</v>
      </c>
      <c r="B38" s="93"/>
      <c r="C38" s="93"/>
      <c r="D38" s="93"/>
      <c r="E38" s="93"/>
      <c r="F38" s="93"/>
      <c r="G38" s="93"/>
      <c r="H38" s="93"/>
      <c r="I38" s="93"/>
      <c r="J38" s="93"/>
      <c r="K38" s="93"/>
      <c r="L38" s="93"/>
      <c r="M38" s="93"/>
    </row>
    <row r="39" spans="1:14" ht="15.75" customHeight="1" x14ac:dyDescent="0.25">
      <c r="A39" s="89" t="s">
        <v>76</v>
      </c>
      <c r="B39" s="90"/>
      <c r="C39" s="91"/>
      <c r="D39" s="101" t="s">
        <v>77</v>
      </c>
      <c r="E39" s="90"/>
      <c r="F39" s="90"/>
      <c r="G39" s="90"/>
      <c r="H39" s="90"/>
      <c r="I39" s="90"/>
      <c r="J39" s="90"/>
      <c r="K39" s="90"/>
      <c r="L39" s="90"/>
      <c r="M39" s="91"/>
    </row>
    <row r="40" spans="1:14" ht="15.75" customHeight="1" x14ac:dyDescent="0.25">
      <c r="A40" s="98" t="s">
        <v>78</v>
      </c>
      <c r="B40" s="90"/>
      <c r="C40" s="91"/>
      <c r="D40" s="103" t="s">
        <v>79</v>
      </c>
      <c r="E40" s="90"/>
      <c r="F40" s="90"/>
      <c r="G40" s="90"/>
      <c r="H40" s="90"/>
      <c r="I40" s="90"/>
      <c r="J40" s="90"/>
      <c r="K40" s="90"/>
      <c r="L40" s="90"/>
      <c r="M40" s="91"/>
    </row>
    <row r="41" spans="1:14" ht="15.75" customHeight="1" x14ac:dyDescent="0.25">
      <c r="A41" s="89" t="s">
        <v>80</v>
      </c>
      <c r="B41" s="90"/>
      <c r="C41" s="91"/>
      <c r="D41" s="101" t="s">
        <v>81</v>
      </c>
      <c r="E41" s="90"/>
      <c r="F41" s="90"/>
      <c r="G41" s="90"/>
      <c r="H41" s="90"/>
      <c r="I41" s="90"/>
      <c r="J41" s="90"/>
      <c r="K41" s="90"/>
      <c r="L41" s="90"/>
      <c r="M41" s="91"/>
    </row>
    <row r="42" spans="1:14" ht="15.75" customHeight="1" x14ac:dyDescent="0.25">
      <c r="A42" s="98" t="s">
        <v>82</v>
      </c>
      <c r="B42" s="90"/>
      <c r="C42" s="91"/>
      <c r="D42" s="103" t="s">
        <v>83</v>
      </c>
      <c r="E42" s="90"/>
      <c r="F42" s="90"/>
      <c r="G42" s="90"/>
      <c r="H42" s="90"/>
      <c r="I42" s="90"/>
      <c r="J42" s="90"/>
      <c r="K42" s="90"/>
      <c r="L42" s="90"/>
      <c r="M42" s="91"/>
    </row>
    <row r="43" spans="1:14" ht="15.75" customHeight="1" x14ac:dyDescent="0.25">
      <c r="A43" s="89" t="s">
        <v>84</v>
      </c>
      <c r="B43" s="90"/>
      <c r="C43" s="91"/>
      <c r="D43" s="101" t="s">
        <v>85</v>
      </c>
      <c r="E43" s="90"/>
      <c r="F43" s="90"/>
      <c r="G43" s="90"/>
      <c r="H43" s="90"/>
      <c r="I43" s="90"/>
      <c r="J43" s="90"/>
      <c r="K43" s="90"/>
      <c r="L43" s="90"/>
      <c r="M43" s="91"/>
    </row>
    <row r="44" spans="1:14" ht="15.75" customHeight="1" x14ac:dyDescent="0.25">
      <c r="A44" s="98" t="s">
        <v>86</v>
      </c>
      <c r="B44" s="90"/>
      <c r="C44" s="91"/>
      <c r="D44" s="103" t="s">
        <v>87</v>
      </c>
      <c r="E44" s="90"/>
      <c r="F44" s="90"/>
      <c r="G44" s="90"/>
      <c r="H44" s="90"/>
      <c r="I44" s="90"/>
      <c r="J44" s="90"/>
      <c r="K44" s="90"/>
      <c r="L44" s="90"/>
      <c r="M44" s="91"/>
    </row>
    <row r="45" spans="1:14" ht="15.75" customHeight="1" x14ac:dyDescent="0.25">
      <c r="A45" s="89" t="s">
        <v>88</v>
      </c>
      <c r="B45" s="90"/>
      <c r="C45" s="91"/>
      <c r="D45" s="101" t="s">
        <v>89</v>
      </c>
      <c r="E45" s="90"/>
      <c r="F45" s="90"/>
      <c r="G45" s="90"/>
      <c r="H45" s="90"/>
      <c r="I45" s="90"/>
      <c r="J45" s="90"/>
      <c r="K45" s="90"/>
      <c r="L45" s="90"/>
      <c r="M45" s="91"/>
    </row>
    <row r="46" spans="1:14" ht="15.75" customHeight="1" x14ac:dyDescent="0.25">
      <c r="A46" s="98" t="s">
        <v>90</v>
      </c>
      <c r="B46" s="90"/>
      <c r="C46" s="91"/>
      <c r="D46" s="103" t="s">
        <v>91</v>
      </c>
      <c r="E46" s="90"/>
      <c r="F46" s="90"/>
      <c r="G46" s="90"/>
      <c r="H46" s="90"/>
      <c r="I46" s="90"/>
      <c r="J46" s="90"/>
      <c r="K46" s="90"/>
      <c r="L46" s="90"/>
      <c r="M46" s="91"/>
      <c r="N46" s="42"/>
    </row>
    <row r="48" spans="1:14" ht="13.5" customHeight="1" x14ac:dyDescent="0.25">
      <c r="A48" s="99" t="s">
        <v>92</v>
      </c>
      <c r="B48" s="93"/>
      <c r="C48" s="93"/>
      <c r="D48" s="93"/>
      <c r="E48" s="93"/>
      <c r="F48" s="93"/>
      <c r="G48" s="93"/>
      <c r="H48" s="93"/>
      <c r="I48" s="93"/>
      <c r="J48" s="93"/>
      <c r="K48" s="93"/>
      <c r="L48" s="93"/>
      <c r="M48" s="93"/>
    </row>
  </sheetData>
  <mergeCells count="59">
    <mergeCell ref="N1:T4"/>
    <mergeCell ref="M8:N8"/>
    <mergeCell ref="G11:I11"/>
    <mergeCell ref="A25:S25"/>
    <mergeCell ref="O10:T10"/>
    <mergeCell ref="C9:F9"/>
    <mergeCell ref="J10:L10"/>
    <mergeCell ref="O9:T9"/>
    <mergeCell ref="A10:B10"/>
    <mergeCell ref="G8:I8"/>
    <mergeCell ref="C11:F11"/>
    <mergeCell ref="A9:B9"/>
    <mergeCell ref="A7:F7"/>
    <mergeCell ref="G7:L7"/>
    <mergeCell ref="M7:T7"/>
    <mergeCell ref="A44:C44"/>
    <mergeCell ref="D46:M46"/>
    <mergeCell ref="D40:M40"/>
    <mergeCell ref="D45:M45"/>
    <mergeCell ref="A40:C40"/>
    <mergeCell ref="G9:I9"/>
    <mergeCell ref="J8:L8"/>
    <mergeCell ref="A39:C39"/>
    <mergeCell ref="C10:F10"/>
    <mergeCell ref="A8:B8"/>
    <mergeCell ref="D41:M41"/>
    <mergeCell ref="A37:M37"/>
    <mergeCell ref="A45:C45"/>
    <mergeCell ref="A27:S27"/>
    <mergeCell ref="D43:M43"/>
    <mergeCell ref="A48:M48"/>
    <mergeCell ref="A30:M30"/>
    <mergeCell ref="A43:C43"/>
    <mergeCell ref="O11:T11"/>
    <mergeCell ref="O8:T8"/>
    <mergeCell ref="A26:S26"/>
    <mergeCell ref="A33:M33"/>
    <mergeCell ref="M11:N11"/>
    <mergeCell ref="A28:S28"/>
    <mergeCell ref="A31:M31"/>
    <mergeCell ref="M10:N10"/>
    <mergeCell ref="D44:M44"/>
    <mergeCell ref="A34:M34"/>
    <mergeCell ref="A41:C41"/>
    <mergeCell ref="F1:L4"/>
    <mergeCell ref="G10:I10"/>
    <mergeCell ref="C8:F8"/>
    <mergeCell ref="A46:C46"/>
    <mergeCell ref="A32:M32"/>
    <mergeCell ref="A11:B11"/>
    <mergeCell ref="A35:M35"/>
    <mergeCell ref="D39:M39"/>
    <mergeCell ref="M9:N9"/>
    <mergeCell ref="J9:L9"/>
    <mergeCell ref="A38:M38"/>
    <mergeCell ref="A1:D4"/>
    <mergeCell ref="D42:M42"/>
    <mergeCell ref="J11:L11"/>
    <mergeCell ref="A42:C42"/>
  </mergeCells>
  <dataValidations count="1">
    <dataValidation type="list" allowBlank="1" sqref="L14:L23" xr:uid="{00000000-0002-0000-0300-000006000000}">
      <formula1>"OUI,NON"</formula1>
      <formula2>0</formula2>
    </dataValidation>
  </dataValidations>
  <printOptions horizontalCentered="1"/>
  <pageMargins left="0.3" right="0.3" top="0.4" bottom="0.4" header="0.511811023622047" footer="0.511811023622047"/>
  <pageSetup paperSize="9"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expression" priority="1" id="{00000000-000E-0000-0300-000002000000}">
            <xm:f>AND($C14&lt;&gt;"",$G14&lt;&gt;"",IFERROR(VLOOKUP($C14,_Données!$A$196:$E$211,2,FALSE()),"")&lt;&gt;"",OR($G14&lt;VLOOKUP($C14,_Données!$A$196:$E$211,2,FALSE()),$G14&gt;VLOOKUP($C14,_Données!$A$196:$E$211,3,FALSE())))</xm:f>
            <x14:dxf>
              <font>
                <b/>
                <color rgb="FF9C0006"/>
              </font>
              <fill>
                <patternFill>
                  <bgColor rgb="FFFFC7CE"/>
                </patternFill>
              </fill>
            </x14:dxf>
          </x14:cfRule>
          <xm:sqref>G14:G23</xm:sqref>
        </x14:conditionalFormatting>
        <x14:conditionalFormatting xmlns:xm="http://schemas.microsoft.com/office/excel/2006/main">
          <x14:cfRule type="expression" priority="2" id="{00000000-000E-0000-0300-000003000000}">
            <xm:f>AND($C14&lt;&gt;"",$H14&lt;&gt;"",IFERROR(VLOOKUP($C14,_Données!$A$196:$E$211,4,FALSE()),"")&lt;&gt;"",OR($H14&lt;VLOOKUP($C14,_Données!$A$196:$E$211,4,FALSE()),$H14&gt;VLOOKUP($C14,_Données!$A$196:$E$211,5,FALSE())))</xm:f>
            <x14:dxf>
              <font>
                <b/>
                <color rgb="FF9C0006"/>
              </font>
              <fill>
                <patternFill>
                  <bgColor rgb="FFFFC7CE"/>
                </patternFill>
              </fill>
            </x14:dxf>
          </x14:cfRule>
          <xm:sqref>H14:H23</xm:sqref>
        </x14:conditionalFormatting>
      </x14:conditionalFormattings>
    </ext>
    <ext xmlns:x14="http://schemas.microsoft.com/office/spreadsheetml/2009/9/main" uri="{CCE6A557-97BC-4b89-ADB6-D9C93CAAB3DF}">
      <x14:dataValidations xmlns:xm="http://schemas.microsoft.com/office/excel/2006/main" count="8">
        <x14:dataValidation type="list" allowBlank="1" xr:uid="{00000000-0002-0000-0300-000000000000}">
          <x14:formula1>
            <xm:f>_Données!$A$3:$A$18</xm:f>
          </x14:formula1>
          <x14:formula2>
            <xm:f>0</xm:f>
          </x14:formula2>
          <xm:sqref>C14:C23</xm:sqref>
        </x14:dataValidation>
        <x14:dataValidation type="list" allowBlank="1" xr:uid="{00000000-0002-0000-0300-000001000000}">
          <x14:formula1>
            <xm:f>_Données!$A$21:$A$28</xm:f>
          </x14:formula1>
          <x14:formula2>
            <xm:f>0</xm:f>
          </x14:formula2>
          <xm:sqref>D14:D23</xm:sqref>
        </x14:dataValidation>
        <x14:dataValidation type="list" allowBlank="1" xr:uid="{00000000-0002-0000-0300-000002000000}">
          <x14:formula1>
            <xm:f>_Données!$A$48:$A$104</xm:f>
          </x14:formula1>
          <x14:formula2>
            <xm:f>0</xm:f>
          </x14:formula2>
          <xm:sqref>E14:E23</xm:sqref>
        </x14:dataValidation>
        <x14:dataValidation type="list" allowBlank="1" xr:uid="{00000000-0002-0000-0300-000003000000}">
          <x14:formula1>
            <xm:f>_Données!$A$33:$A$43</xm:f>
          </x14:formula1>
          <x14:formula2>
            <xm:f>0</xm:f>
          </x14:formula2>
          <xm:sqref>F14:F23</xm:sqref>
        </x14:dataValidation>
        <x14:dataValidation type="list" allowBlank="1" xr:uid="{00000000-0002-0000-0300-000004000000}">
          <x14:formula1>
            <xm:f>_Données!$A$109:$A$125</xm:f>
          </x14:formula1>
          <x14:formula2>
            <xm:f>0</xm:f>
          </x14:formula2>
          <xm:sqref>R14:R23</xm:sqref>
        </x14:dataValidation>
        <x14:dataValidation type="list" allowBlank="1" xr:uid="{00000000-0002-0000-0300-000005000000}">
          <x14:formula1>
            <xm:f>_Données!$A$149:$A$154</xm:f>
          </x14:formula1>
          <x14:formula2>
            <xm:f>0</xm:f>
          </x14:formula2>
          <xm:sqref>M14:O23</xm:sqref>
        </x14:dataValidation>
        <x14:dataValidation type="list" allowBlank="1" xr:uid="{00000000-0002-0000-0300-000007000000}">
          <x14:formula1>
            <xm:f>_Données!$A$218:$A$229</xm:f>
          </x14:formula1>
          <x14:formula2>
            <xm:f>0</xm:f>
          </x14:formula2>
          <xm:sqref>P14:P23</xm:sqref>
        </x14:dataValidation>
        <x14:dataValidation type="list" allowBlank="1" xr:uid="{00000000-0002-0000-0300-000008000000}">
          <x14:formula1>
            <xm:f>_Données!$A$232:$A$236</xm:f>
          </x14:formula1>
          <x14:formula2>
            <xm:f>0</xm:f>
          </x14:formula2>
          <xm:sqref>Q14:Q23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76"/>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29" width="9" customWidth="1"/>
  </cols>
  <sheetData>
    <row r="1" spans="1:29" ht="24" customHeight="1" x14ac:dyDescent="0.25">
      <c r="A1" s="126" t="s">
        <v>258</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row>
    <row r="3" spans="1:29" ht="15" customHeight="1" x14ac:dyDescent="0.25">
      <c r="A3" s="121" t="s">
        <v>259</v>
      </c>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row>
    <row r="4" spans="1:29" ht="15" customHeight="1" x14ac:dyDescent="0.25">
      <c r="A4" s="43" t="s">
        <v>260</v>
      </c>
      <c r="B4" s="43">
        <v>800</v>
      </c>
      <c r="C4" s="43">
        <v>900</v>
      </c>
      <c r="D4" s="43">
        <v>1000</v>
      </c>
      <c r="E4" s="43">
        <v>1100</v>
      </c>
      <c r="F4" s="43">
        <v>1200</v>
      </c>
      <c r="G4" s="43">
        <v>1300</v>
      </c>
      <c r="H4" s="43">
        <v>1400</v>
      </c>
      <c r="I4" s="43">
        <v>1500</v>
      </c>
      <c r="J4" s="43">
        <v>1600</v>
      </c>
      <c r="K4" s="43">
        <v>1700</v>
      </c>
      <c r="L4" s="43">
        <v>1800</v>
      </c>
      <c r="M4" s="43">
        <v>1900</v>
      </c>
      <c r="N4" s="43">
        <v>2000</v>
      </c>
      <c r="O4" s="43">
        <v>2100</v>
      </c>
      <c r="P4" s="43">
        <v>2200</v>
      </c>
      <c r="Q4" s="43">
        <v>2300</v>
      </c>
      <c r="R4" s="43">
        <v>2400</v>
      </c>
      <c r="S4" s="43">
        <v>2500</v>
      </c>
      <c r="T4" s="43">
        <v>2600</v>
      </c>
      <c r="U4" s="43">
        <v>2700</v>
      </c>
      <c r="V4" s="43">
        <v>2800</v>
      </c>
      <c r="W4" s="43">
        <v>2900</v>
      </c>
      <c r="X4" s="43">
        <v>3000</v>
      </c>
      <c r="Y4" s="43">
        <v>3100</v>
      </c>
      <c r="Z4" s="43">
        <v>3200</v>
      </c>
      <c r="AA4" s="43">
        <v>3300</v>
      </c>
      <c r="AB4" s="43">
        <v>3400</v>
      </c>
      <c r="AC4" s="43">
        <v>3500</v>
      </c>
    </row>
    <row r="5" spans="1:29" ht="15" customHeight="1" x14ac:dyDescent="0.25">
      <c r="A5" s="43">
        <v>750</v>
      </c>
      <c r="B5" s="44">
        <v>1299</v>
      </c>
      <c r="C5" s="44">
        <v>1316</v>
      </c>
      <c r="D5" s="44">
        <v>1355</v>
      </c>
      <c r="E5" s="44">
        <v>1392</v>
      </c>
      <c r="F5" s="44">
        <v>1430</v>
      </c>
      <c r="G5" s="44">
        <v>1470</v>
      </c>
      <c r="H5" s="44">
        <v>1507</v>
      </c>
      <c r="I5" s="44">
        <v>1544</v>
      </c>
      <c r="J5" s="44">
        <v>1582</v>
      </c>
      <c r="K5" s="44">
        <v>1619</v>
      </c>
      <c r="L5" s="44">
        <v>1658</v>
      </c>
      <c r="M5" s="44">
        <v>1698</v>
      </c>
      <c r="N5" s="44">
        <v>1735</v>
      </c>
      <c r="O5" s="44">
        <v>1774</v>
      </c>
      <c r="P5" s="44">
        <v>1811</v>
      </c>
      <c r="Q5" s="44">
        <v>1849</v>
      </c>
      <c r="R5" s="44">
        <v>1884</v>
      </c>
      <c r="S5" s="44">
        <v>1922</v>
      </c>
      <c r="T5" s="44">
        <v>1963</v>
      </c>
      <c r="U5" s="44">
        <v>1998</v>
      </c>
      <c r="V5" s="44">
        <v>2037</v>
      </c>
      <c r="W5" s="44">
        <v>2076</v>
      </c>
      <c r="X5" s="44">
        <v>2113</v>
      </c>
      <c r="Y5" s="44">
        <v>2317</v>
      </c>
      <c r="Z5" s="44">
        <v>2356</v>
      </c>
      <c r="AA5" s="44">
        <v>2391</v>
      </c>
      <c r="AB5" s="44">
        <v>2431</v>
      </c>
      <c r="AC5" s="44">
        <v>2469</v>
      </c>
    </row>
    <row r="6" spans="1:29" ht="15" customHeight="1" x14ac:dyDescent="0.25">
      <c r="A6" s="43">
        <v>850</v>
      </c>
      <c r="B6" s="44">
        <v>1299</v>
      </c>
      <c r="C6" s="44">
        <v>1316</v>
      </c>
      <c r="D6" s="44">
        <v>1355</v>
      </c>
      <c r="E6" s="44">
        <v>1392</v>
      </c>
      <c r="F6" s="44">
        <v>1430</v>
      </c>
      <c r="G6" s="44">
        <v>1470</v>
      </c>
      <c r="H6" s="44">
        <v>1507</v>
      </c>
      <c r="I6" s="44">
        <v>1544</v>
      </c>
      <c r="J6" s="44">
        <v>1582</v>
      </c>
      <c r="K6" s="44">
        <v>1619</v>
      </c>
      <c r="L6" s="44">
        <v>1658</v>
      </c>
      <c r="M6" s="44">
        <v>1698</v>
      </c>
      <c r="N6" s="44">
        <v>1735</v>
      </c>
      <c r="O6" s="44">
        <v>1774</v>
      </c>
      <c r="P6" s="44">
        <v>1811</v>
      </c>
      <c r="Q6" s="44">
        <v>1849</v>
      </c>
      <c r="R6" s="44">
        <v>1884</v>
      </c>
      <c r="S6" s="44">
        <v>1922</v>
      </c>
      <c r="T6" s="44">
        <v>1963</v>
      </c>
      <c r="U6" s="44">
        <v>1998</v>
      </c>
      <c r="V6" s="44">
        <v>2037</v>
      </c>
      <c r="W6" s="44">
        <v>2076</v>
      </c>
      <c r="X6" s="44">
        <v>2113</v>
      </c>
      <c r="Y6" s="44">
        <v>2317</v>
      </c>
      <c r="Z6" s="44">
        <v>2356</v>
      </c>
      <c r="AA6" s="44">
        <v>2391</v>
      </c>
      <c r="AB6" s="44">
        <v>2431</v>
      </c>
      <c r="AC6" s="44">
        <v>2469</v>
      </c>
    </row>
    <row r="7" spans="1:29" ht="15" customHeight="1" x14ac:dyDescent="0.25">
      <c r="A7" s="43">
        <v>950</v>
      </c>
      <c r="B7" s="44">
        <v>1404</v>
      </c>
      <c r="C7" s="44">
        <v>1427</v>
      </c>
      <c r="D7" s="44">
        <v>1468</v>
      </c>
      <c r="E7" s="44">
        <v>1507</v>
      </c>
      <c r="F7" s="44">
        <v>1547</v>
      </c>
      <c r="G7" s="44">
        <v>1589</v>
      </c>
      <c r="H7" s="44">
        <v>1629</v>
      </c>
      <c r="I7" s="44">
        <v>1670</v>
      </c>
      <c r="J7" s="44">
        <v>1712</v>
      </c>
      <c r="K7" s="44">
        <v>1754</v>
      </c>
      <c r="L7" s="44">
        <v>1793</v>
      </c>
      <c r="M7" s="44">
        <v>1835</v>
      </c>
      <c r="N7" s="44">
        <v>1875</v>
      </c>
      <c r="O7" s="44">
        <v>1916</v>
      </c>
      <c r="P7" s="44">
        <v>1960</v>
      </c>
      <c r="Q7" s="44">
        <v>1998</v>
      </c>
      <c r="R7" s="44">
        <v>2040</v>
      </c>
      <c r="S7" s="44">
        <v>2080</v>
      </c>
      <c r="T7" s="44">
        <v>2121</v>
      </c>
      <c r="U7" s="44">
        <v>2161</v>
      </c>
      <c r="V7" s="44">
        <v>2203</v>
      </c>
      <c r="W7" s="44">
        <v>2247</v>
      </c>
      <c r="X7" s="44">
        <v>2285</v>
      </c>
      <c r="Y7" s="44">
        <v>2494</v>
      </c>
      <c r="Z7" s="44">
        <v>2536</v>
      </c>
      <c r="AA7" s="44">
        <v>2578</v>
      </c>
      <c r="AB7" s="44">
        <v>2616</v>
      </c>
      <c r="AC7" s="44">
        <v>2658</v>
      </c>
    </row>
    <row r="8" spans="1:29" ht="15" customHeight="1" x14ac:dyDescent="0.25">
      <c r="A8" s="43">
        <v>1050</v>
      </c>
      <c r="B8" s="44">
        <v>1456</v>
      </c>
      <c r="C8" s="44">
        <v>1479</v>
      </c>
      <c r="D8" s="44">
        <v>1522</v>
      </c>
      <c r="E8" s="44">
        <v>1563</v>
      </c>
      <c r="F8" s="44">
        <v>1606</v>
      </c>
      <c r="G8" s="44">
        <v>1651</v>
      </c>
      <c r="H8" s="44">
        <v>1694</v>
      </c>
      <c r="I8" s="44">
        <v>1735</v>
      </c>
      <c r="J8" s="44">
        <v>1778</v>
      </c>
      <c r="K8" s="44">
        <v>1822</v>
      </c>
      <c r="L8" s="44">
        <v>1861</v>
      </c>
      <c r="M8" s="44">
        <v>1905</v>
      </c>
      <c r="N8" s="44">
        <v>1948</v>
      </c>
      <c r="O8" s="44">
        <v>1989</v>
      </c>
      <c r="P8" s="44">
        <v>2032</v>
      </c>
      <c r="Q8" s="44">
        <v>2075</v>
      </c>
      <c r="R8" s="44">
        <v>2116</v>
      </c>
      <c r="S8" s="44">
        <v>2158</v>
      </c>
      <c r="T8" s="44">
        <v>2202</v>
      </c>
      <c r="U8" s="44">
        <v>2244</v>
      </c>
      <c r="V8" s="44">
        <v>2287</v>
      </c>
      <c r="W8" s="44">
        <v>2329</v>
      </c>
      <c r="X8" s="44">
        <v>2373</v>
      </c>
      <c r="Y8" s="44">
        <v>2582</v>
      </c>
      <c r="Z8" s="44">
        <v>2626</v>
      </c>
      <c r="AA8" s="44">
        <v>2669</v>
      </c>
      <c r="AB8" s="44">
        <v>2710</v>
      </c>
      <c r="AC8" s="44">
        <v>2754</v>
      </c>
    </row>
    <row r="9" spans="1:29" ht="15" customHeight="1" x14ac:dyDescent="0.25">
      <c r="A9" s="43">
        <v>1150</v>
      </c>
      <c r="B9" s="44">
        <v>1513</v>
      </c>
      <c r="C9" s="44">
        <v>1532</v>
      </c>
      <c r="D9" s="44">
        <v>1577</v>
      </c>
      <c r="E9" s="44">
        <v>1621</v>
      </c>
      <c r="F9" s="44">
        <v>1664</v>
      </c>
      <c r="G9" s="44">
        <v>1710</v>
      </c>
      <c r="H9" s="44">
        <v>1754</v>
      </c>
      <c r="I9" s="44">
        <v>1799</v>
      </c>
      <c r="J9" s="44">
        <v>1840</v>
      </c>
      <c r="K9" s="44">
        <v>1885</v>
      </c>
      <c r="L9" s="44">
        <v>1930</v>
      </c>
      <c r="M9" s="44">
        <v>1973</v>
      </c>
      <c r="N9" s="44">
        <v>2020</v>
      </c>
      <c r="O9" s="44">
        <v>2060</v>
      </c>
      <c r="P9" s="44">
        <v>2108</v>
      </c>
      <c r="Q9" s="44">
        <v>2150</v>
      </c>
      <c r="R9" s="44">
        <v>2195</v>
      </c>
      <c r="S9" s="44">
        <v>2240</v>
      </c>
      <c r="T9" s="44">
        <v>2282</v>
      </c>
      <c r="U9" s="44">
        <v>2327</v>
      </c>
      <c r="V9" s="44">
        <v>2372</v>
      </c>
      <c r="W9" s="44">
        <v>2414</v>
      </c>
      <c r="X9" s="44">
        <v>2460</v>
      </c>
      <c r="Y9" s="44">
        <v>2671</v>
      </c>
      <c r="Z9" s="44">
        <v>2716</v>
      </c>
      <c r="AA9" s="44">
        <v>2762</v>
      </c>
      <c r="AB9" s="44">
        <v>2802</v>
      </c>
      <c r="AC9" s="44">
        <v>2848</v>
      </c>
    </row>
    <row r="10" spans="1:29" ht="15" customHeight="1" x14ac:dyDescent="0.25">
      <c r="A10" s="43">
        <v>1250</v>
      </c>
      <c r="B10" s="44">
        <v>1563</v>
      </c>
      <c r="C10" s="44">
        <v>1585</v>
      </c>
      <c r="D10" s="44">
        <v>1633</v>
      </c>
      <c r="E10" s="44">
        <v>1678</v>
      </c>
      <c r="F10" s="44">
        <v>1723</v>
      </c>
      <c r="G10" s="44">
        <v>1768</v>
      </c>
      <c r="H10" s="44">
        <v>1817</v>
      </c>
      <c r="I10" s="44">
        <v>1862</v>
      </c>
      <c r="J10" s="44">
        <v>1908</v>
      </c>
      <c r="K10" s="44">
        <v>1952</v>
      </c>
      <c r="L10" s="44">
        <v>1997</v>
      </c>
      <c r="M10" s="44">
        <v>2043</v>
      </c>
      <c r="N10" s="44">
        <v>2090</v>
      </c>
      <c r="O10" s="44">
        <v>2136</v>
      </c>
      <c r="P10" s="44">
        <v>2181</v>
      </c>
      <c r="Q10" s="44">
        <v>2225</v>
      </c>
      <c r="R10" s="44">
        <v>2270</v>
      </c>
      <c r="S10" s="44">
        <v>2317</v>
      </c>
      <c r="T10" s="44">
        <v>2364</v>
      </c>
      <c r="U10" s="44">
        <v>2410</v>
      </c>
      <c r="V10" s="44">
        <v>2454</v>
      </c>
      <c r="W10" s="44">
        <v>2499</v>
      </c>
      <c r="X10" s="44">
        <v>2545</v>
      </c>
      <c r="Y10" s="44">
        <v>2760</v>
      </c>
      <c r="Z10" s="44">
        <v>2803</v>
      </c>
      <c r="AA10" s="44">
        <v>2851</v>
      </c>
      <c r="AB10" s="44">
        <v>2894</v>
      </c>
      <c r="AC10" s="44">
        <v>2941</v>
      </c>
    </row>
    <row r="11" spans="1:29" ht="15" customHeight="1" x14ac:dyDescent="0.25">
      <c r="A11" s="43">
        <v>1350</v>
      </c>
      <c r="B11" s="44">
        <v>1617</v>
      </c>
      <c r="C11" s="44">
        <v>1643</v>
      </c>
      <c r="D11" s="44">
        <v>1692</v>
      </c>
      <c r="E11" s="44">
        <v>1736</v>
      </c>
      <c r="F11" s="44">
        <v>1783</v>
      </c>
      <c r="G11" s="44">
        <v>1830</v>
      </c>
      <c r="H11" s="44">
        <v>1877</v>
      </c>
      <c r="I11" s="44">
        <v>1924</v>
      </c>
      <c r="J11" s="44">
        <v>1972</v>
      </c>
      <c r="K11" s="44">
        <v>2020</v>
      </c>
      <c r="L11" s="44">
        <v>2067</v>
      </c>
      <c r="M11" s="44">
        <v>2117</v>
      </c>
      <c r="N11" s="44">
        <v>2163</v>
      </c>
      <c r="O11" s="44">
        <v>2206</v>
      </c>
      <c r="P11" s="44">
        <v>2256</v>
      </c>
      <c r="Q11" s="44">
        <v>2303</v>
      </c>
      <c r="R11" s="44">
        <v>2350</v>
      </c>
      <c r="S11" s="44">
        <v>2397</v>
      </c>
      <c r="T11" s="44">
        <v>2442</v>
      </c>
      <c r="U11" s="44">
        <v>2491</v>
      </c>
      <c r="V11" s="44">
        <v>2538</v>
      </c>
      <c r="W11" s="44">
        <v>2585</v>
      </c>
      <c r="X11" s="44">
        <v>2632</v>
      </c>
      <c r="Y11" s="44">
        <v>2847</v>
      </c>
      <c r="Z11" s="44">
        <v>2893</v>
      </c>
      <c r="AA11" s="44">
        <v>2941</v>
      </c>
      <c r="AB11" s="44">
        <v>2985</v>
      </c>
      <c r="AC11" s="44">
        <v>3034</v>
      </c>
    </row>
    <row r="12" spans="1:29" ht="15" customHeight="1" x14ac:dyDescent="0.25">
      <c r="A12" s="43">
        <v>1450</v>
      </c>
      <c r="B12" s="44">
        <v>1671</v>
      </c>
      <c r="C12" s="44">
        <v>1698</v>
      </c>
      <c r="D12" s="44">
        <v>1745</v>
      </c>
      <c r="E12" s="44">
        <v>1791</v>
      </c>
      <c r="F12" s="44">
        <v>1840</v>
      </c>
      <c r="G12" s="44">
        <v>1891</v>
      </c>
      <c r="H12" s="44">
        <v>1940</v>
      </c>
      <c r="I12" s="44">
        <v>1987</v>
      </c>
      <c r="J12" s="44">
        <v>2036</v>
      </c>
      <c r="K12" s="44">
        <v>2087</v>
      </c>
      <c r="L12" s="44">
        <v>2136</v>
      </c>
      <c r="M12" s="44">
        <v>2183</v>
      </c>
      <c r="N12" s="44">
        <v>2228</v>
      </c>
      <c r="O12" s="44">
        <v>2279</v>
      </c>
      <c r="P12" s="44">
        <v>2328</v>
      </c>
      <c r="Q12" s="44">
        <v>2377</v>
      </c>
      <c r="R12" s="44">
        <v>2426</v>
      </c>
      <c r="S12" s="44">
        <v>2474</v>
      </c>
      <c r="T12" s="44">
        <v>2525</v>
      </c>
      <c r="U12" s="44">
        <v>2572</v>
      </c>
      <c r="V12" s="44">
        <v>2620</v>
      </c>
      <c r="W12" s="44">
        <v>2671</v>
      </c>
      <c r="X12" s="44">
        <v>2718</v>
      </c>
      <c r="Y12" s="44">
        <v>2933</v>
      </c>
      <c r="Z12" s="44">
        <v>2982</v>
      </c>
      <c r="AA12" s="44">
        <v>3031</v>
      </c>
      <c r="AB12" s="44">
        <v>3080</v>
      </c>
      <c r="AC12" s="44">
        <v>3129</v>
      </c>
    </row>
    <row r="13" spans="1:29" ht="15" customHeight="1" x14ac:dyDescent="0.25">
      <c r="A13" s="43">
        <v>1550</v>
      </c>
      <c r="B13" s="44">
        <v>1723</v>
      </c>
      <c r="C13" s="44">
        <v>1749</v>
      </c>
      <c r="D13" s="44">
        <v>1800</v>
      </c>
      <c r="E13" s="44">
        <v>1850</v>
      </c>
      <c r="F13" s="44">
        <v>1902</v>
      </c>
      <c r="G13" s="44">
        <v>1950</v>
      </c>
      <c r="H13" s="44">
        <v>1999</v>
      </c>
      <c r="I13" s="44">
        <v>2051</v>
      </c>
      <c r="J13" s="44">
        <v>2100</v>
      </c>
      <c r="K13" s="44">
        <v>2151</v>
      </c>
      <c r="L13" s="44">
        <v>2202</v>
      </c>
      <c r="M13" s="44">
        <v>2253</v>
      </c>
      <c r="N13" s="44">
        <v>2304</v>
      </c>
      <c r="O13" s="44">
        <v>2353</v>
      </c>
      <c r="P13" s="44">
        <v>2403</v>
      </c>
      <c r="Q13" s="44">
        <v>2453</v>
      </c>
      <c r="R13" s="44">
        <v>2502</v>
      </c>
      <c r="S13" s="44">
        <v>2552</v>
      </c>
      <c r="T13" s="44">
        <v>2603</v>
      </c>
      <c r="U13" s="44">
        <v>2652</v>
      </c>
      <c r="V13" s="44">
        <v>2703</v>
      </c>
      <c r="W13" s="44">
        <v>2755</v>
      </c>
      <c r="X13" s="44">
        <v>2805</v>
      </c>
      <c r="Y13" s="44">
        <v>3024</v>
      </c>
      <c r="Z13" s="44">
        <v>3074</v>
      </c>
      <c r="AA13" s="44">
        <v>3122</v>
      </c>
      <c r="AB13" s="44">
        <v>3172</v>
      </c>
      <c r="AC13" s="44">
        <v>3221</v>
      </c>
    </row>
    <row r="14" spans="1:29" ht="15" customHeight="1" x14ac:dyDescent="0.25">
      <c r="A14" s="43">
        <v>1650</v>
      </c>
      <c r="B14" s="44">
        <v>1779</v>
      </c>
      <c r="C14" s="44">
        <v>1803</v>
      </c>
      <c r="D14" s="44">
        <v>1857</v>
      </c>
      <c r="E14" s="44">
        <v>1908</v>
      </c>
      <c r="F14" s="44">
        <v>1960</v>
      </c>
      <c r="G14" s="44">
        <v>2011</v>
      </c>
      <c r="H14" s="44">
        <v>2064</v>
      </c>
      <c r="I14" s="44">
        <v>2114</v>
      </c>
      <c r="J14" s="44">
        <v>2166</v>
      </c>
      <c r="K14" s="44">
        <v>2218</v>
      </c>
      <c r="L14" s="44">
        <v>2269</v>
      </c>
      <c r="M14" s="44">
        <v>2322</v>
      </c>
      <c r="N14" s="44">
        <v>2374</v>
      </c>
      <c r="O14" s="44">
        <v>2425</v>
      </c>
      <c r="P14" s="44">
        <v>2478</v>
      </c>
      <c r="Q14" s="44">
        <v>2529</v>
      </c>
      <c r="R14" s="44">
        <v>2581</v>
      </c>
      <c r="S14" s="44">
        <v>2632</v>
      </c>
      <c r="T14" s="44">
        <v>2684</v>
      </c>
      <c r="U14" s="44">
        <v>2735</v>
      </c>
      <c r="V14" s="44">
        <v>2787</v>
      </c>
      <c r="W14" s="44">
        <v>2841</v>
      </c>
      <c r="X14" s="44">
        <v>2891</v>
      </c>
      <c r="Y14" s="44">
        <v>3110</v>
      </c>
      <c r="Z14" s="44">
        <v>3161</v>
      </c>
      <c r="AA14" s="44">
        <v>3213</v>
      </c>
      <c r="AB14" s="44">
        <v>3266</v>
      </c>
      <c r="AC14" s="44">
        <v>3318</v>
      </c>
    </row>
    <row r="15" spans="1:29" ht="15" customHeight="1" x14ac:dyDescent="0.25">
      <c r="A15" s="43">
        <v>1750</v>
      </c>
      <c r="B15" s="44">
        <v>1831</v>
      </c>
      <c r="C15" s="44">
        <v>1859</v>
      </c>
      <c r="D15" s="44">
        <v>1911</v>
      </c>
      <c r="E15" s="44">
        <v>1964</v>
      </c>
      <c r="F15" s="44">
        <v>2020</v>
      </c>
      <c r="G15" s="44">
        <v>2073</v>
      </c>
      <c r="H15" s="44">
        <v>2127</v>
      </c>
      <c r="I15" s="44">
        <v>2179</v>
      </c>
      <c r="J15" s="44">
        <v>2228</v>
      </c>
      <c r="K15" s="44">
        <v>2283</v>
      </c>
      <c r="L15" s="44">
        <v>2337</v>
      </c>
      <c r="M15" s="44">
        <v>2389</v>
      </c>
      <c r="N15" s="44">
        <v>2443</v>
      </c>
      <c r="O15" s="44">
        <v>2496</v>
      </c>
      <c r="P15" s="44">
        <v>2550</v>
      </c>
      <c r="Q15" s="44">
        <v>2604</v>
      </c>
      <c r="R15" s="44">
        <v>2658</v>
      </c>
      <c r="S15" s="44">
        <v>2711</v>
      </c>
      <c r="T15" s="44">
        <v>2764</v>
      </c>
      <c r="U15" s="44">
        <v>2817</v>
      </c>
      <c r="V15" s="44">
        <v>2870</v>
      </c>
      <c r="W15" s="44">
        <v>2925</v>
      </c>
      <c r="X15" s="44">
        <v>2977</v>
      </c>
      <c r="Y15" s="44">
        <v>3198</v>
      </c>
      <c r="Z15" s="44">
        <v>3252</v>
      </c>
      <c r="AA15" s="44">
        <v>3304</v>
      </c>
      <c r="AB15" s="44">
        <v>3801</v>
      </c>
      <c r="AC15" s="44">
        <v>3869</v>
      </c>
    </row>
    <row r="16" spans="1:29" ht="15" customHeight="1" x14ac:dyDescent="0.25">
      <c r="A16" s="43">
        <v>1850</v>
      </c>
      <c r="B16" s="44">
        <v>1884</v>
      </c>
      <c r="C16" s="44">
        <v>1913</v>
      </c>
      <c r="D16" s="44">
        <v>1967</v>
      </c>
      <c r="E16" s="44">
        <v>2022</v>
      </c>
      <c r="F16" s="44">
        <v>2077</v>
      </c>
      <c r="G16" s="44">
        <v>2134</v>
      </c>
      <c r="H16" s="44">
        <v>2186</v>
      </c>
      <c r="I16" s="44">
        <v>2243</v>
      </c>
      <c r="J16" s="44">
        <v>2293</v>
      </c>
      <c r="K16" s="44">
        <v>2351</v>
      </c>
      <c r="L16" s="44">
        <v>2406</v>
      </c>
      <c r="M16" s="44">
        <v>2462</v>
      </c>
      <c r="N16" s="44">
        <v>2514</v>
      </c>
      <c r="O16" s="44">
        <v>2571</v>
      </c>
      <c r="P16" s="44">
        <v>2626</v>
      </c>
      <c r="Q16" s="44">
        <v>2681</v>
      </c>
      <c r="R16" s="44">
        <v>2735</v>
      </c>
      <c r="S16" s="44">
        <v>2794</v>
      </c>
      <c r="T16" s="44">
        <v>2845</v>
      </c>
      <c r="U16" s="44">
        <v>2900</v>
      </c>
      <c r="V16" s="44">
        <v>2954</v>
      </c>
      <c r="W16" s="44">
        <v>3009</v>
      </c>
      <c r="X16" s="44">
        <v>3063</v>
      </c>
      <c r="Y16" s="44">
        <v>3286</v>
      </c>
      <c r="Z16" s="44">
        <v>3783</v>
      </c>
      <c r="AA16" s="44">
        <v>3852</v>
      </c>
      <c r="AB16" s="44">
        <v>3920</v>
      </c>
      <c r="AC16" s="44">
        <v>3988</v>
      </c>
    </row>
    <row r="17" spans="1:29" ht="15" customHeight="1" x14ac:dyDescent="0.25">
      <c r="A17" s="43">
        <v>1950</v>
      </c>
      <c r="B17" s="44">
        <v>1940</v>
      </c>
      <c r="C17" s="44">
        <v>1967</v>
      </c>
      <c r="D17" s="44">
        <v>2023</v>
      </c>
      <c r="E17" s="44">
        <v>2079</v>
      </c>
      <c r="F17" s="44">
        <v>2137</v>
      </c>
      <c r="G17" s="44">
        <v>2193</v>
      </c>
      <c r="H17" s="44">
        <v>2249</v>
      </c>
      <c r="I17" s="44">
        <v>2305</v>
      </c>
      <c r="J17" s="44">
        <v>2363</v>
      </c>
      <c r="K17" s="44">
        <v>2418</v>
      </c>
      <c r="L17" s="44">
        <v>2474</v>
      </c>
      <c r="M17" s="44">
        <v>2531</v>
      </c>
      <c r="N17" s="44">
        <v>2588</v>
      </c>
      <c r="O17" s="44">
        <v>2642</v>
      </c>
      <c r="P17" s="44">
        <v>2698</v>
      </c>
      <c r="Q17" s="44">
        <v>2756</v>
      </c>
      <c r="R17" s="44">
        <v>2811</v>
      </c>
      <c r="S17" s="44">
        <v>2867</v>
      </c>
      <c r="T17" s="44">
        <v>2925</v>
      </c>
      <c r="U17" s="44">
        <v>2981</v>
      </c>
      <c r="V17" s="44">
        <v>3036</v>
      </c>
      <c r="W17" s="44">
        <v>3093</v>
      </c>
      <c r="X17" s="44">
        <v>3587</v>
      </c>
      <c r="Y17" s="44">
        <v>3826</v>
      </c>
      <c r="Z17" s="44">
        <v>3896</v>
      </c>
      <c r="AA17" s="44">
        <v>3966</v>
      </c>
      <c r="AB17" s="44">
        <v>4038</v>
      </c>
      <c r="AC17" s="44">
        <v>4107</v>
      </c>
    </row>
    <row r="18" spans="1:29" ht="15" customHeight="1" x14ac:dyDescent="0.25">
      <c r="A18" s="43">
        <v>2050</v>
      </c>
      <c r="B18" s="44">
        <v>1990</v>
      </c>
      <c r="C18" s="44">
        <v>2022</v>
      </c>
      <c r="D18" s="44">
        <v>2079</v>
      </c>
      <c r="E18" s="44">
        <v>2137</v>
      </c>
      <c r="F18" s="44">
        <v>2195</v>
      </c>
      <c r="G18" s="44">
        <v>2253</v>
      </c>
      <c r="H18" s="44">
        <v>2309</v>
      </c>
      <c r="I18" s="44">
        <v>2369</v>
      </c>
      <c r="J18" s="44">
        <v>2425</v>
      </c>
      <c r="K18" s="44">
        <v>2485</v>
      </c>
      <c r="L18" s="44">
        <v>2543</v>
      </c>
      <c r="M18" s="44">
        <v>2599</v>
      </c>
      <c r="N18" s="44">
        <v>2658</v>
      </c>
      <c r="O18" s="44">
        <v>2716</v>
      </c>
      <c r="P18" s="44">
        <v>2773</v>
      </c>
      <c r="Q18" s="44">
        <v>2831</v>
      </c>
      <c r="R18" s="44">
        <v>2890</v>
      </c>
      <c r="S18" s="44">
        <v>2947</v>
      </c>
      <c r="T18" s="44">
        <v>3004</v>
      </c>
      <c r="U18" s="44">
        <v>3063</v>
      </c>
      <c r="V18" s="44">
        <v>3119</v>
      </c>
      <c r="W18" s="44">
        <v>3621</v>
      </c>
      <c r="X18" s="44">
        <v>3696</v>
      </c>
      <c r="Y18" s="44">
        <v>3936</v>
      </c>
      <c r="Z18" s="44">
        <v>4010</v>
      </c>
      <c r="AA18" s="44">
        <v>4084</v>
      </c>
      <c r="AB18" s="44">
        <v>4153</v>
      </c>
      <c r="AC18" s="44">
        <v>4227</v>
      </c>
    </row>
    <row r="19" spans="1:29" ht="15" customHeight="1" x14ac:dyDescent="0.25">
      <c r="A19" s="43">
        <v>2150</v>
      </c>
      <c r="B19" s="44">
        <v>2045</v>
      </c>
      <c r="C19" s="44">
        <v>2075</v>
      </c>
      <c r="D19" s="44">
        <v>2136</v>
      </c>
      <c r="E19" s="44">
        <v>2195</v>
      </c>
      <c r="F19" s="44">
        <v>2253</v>
      </c>
      <c r="G19" s="44">
        <v>2311</v>
      </c>
      <c r="H19" s="44">
        <v>2373</v>
      </c>
      <c r="I19" s="44">
        <v>2430</v>
      </c>
      <c r="J19" s="44">
        <v>2491</v>
      </c>
      <c r="K19" s="44">
        <v>2550</v>
      </c>
      <c r="L19" s="44">
        <v>2611</v>
      </c>
      <c r="M19" s="44">
        <v>2670</v>
      </c>
      <c r="N19" s="44">
        <v>2728</v>
      </c>
      <c r="O19" s="44">
        <v>2788</v>
      </c>
      <c r="P19" s="44">
        <v>2848</v>
      </c>
      <c r="Q19" s="44">
        <v>2906</v>
      </c>
      <c r="R19" s="44">
        <v>2969</v>
      </c>
      <c r="S19" s="44">
        <v>3028</v>
      </c>
      <c r="T19" s="44">
        <v>3086</v>
      </c>
      <c r="U19" s="44">
        <v>3577</v>
      </c>
      <c r="V19" s="44">
        <v>3654</v>
      </c>
      <c r="W19" s="44">
        <v>3727</v>
      </c>
      <c r="X19" s="44">
        <v>3804</v>
      </c>
      <c r="Y19" s="44">
        <v>4046</v>
      </c>
      <c r="Z19" s="44">
        <v>4122</v>
      </c>
      <c r="AA19" s="44">
        <v>4197</v>
      </c>
      <c r="AB19" s="44">
        <v>4273</v>
      </c>
      <c r="AC19" s="44">
        <v>4347</v>
      </c>
    </row>
    <row r="20" spans="1:29" ht="15" customHeight="1" x14ac:dyDescent="0.25">
      <c r="A20" s="43">
        <v>2250</v>
      </c>
      <c r="B20" s="44">
        <v>2098</v>
      </c>
      <c r="C20" s="44">
        <v>2131</v>
      </c>
      <c r="D20" s="44">
        <v>2192</v>
      </c>
      <c r="E20" s="44">
        <v>2252</v>
      </c>
      <c r="F20" s="44">
        <v>2310</v>
      </c>
      <c r="G20" s="44">
        <v>2373</v>
      </c>
      <c r="H20" s="44">
        <v>2433</v>
      </c>
      <c r="I20" s="44">
        <v>2494</v>
      </c>
      <c r="J20" s="44">
        <v>2554</v>
      </c>
      <c r="K20" s="44">
        <v>2616</v>
      </c>
      <c r="L20" s="44">
        <v>2676</v>
      </c>
      <c r="M20" s="44">
        <v>2738</v>
      </c>
      <c r="N20" s="44">
        <v>2800</v>
      </c>
      <c r="O20" s="44">
        <v>2859</v>
      </c>
      <c r="P20" s="44">
        <v>2923</v>
      </c>
      <c r="Q20" s="44">
        <v>2982</v>
      </c>
      <c r="R20" s="44">
        <v>3042</v>
      </c>
      <c r="S20" s="44">
        <v>3108</v>
      </c>
      <c r="T20" s="44">
        <v>3601</v>
      </c>
      <c r="U20" s="44">
        <v>3679</v>
      </c>
      <c r="V20" s="44">
        <v>3759</v>
      </c>
      <c r="W20" s="44">
        <v>3836</v>
      </c>
      <c r="X20" s="44">
        <v>3913</v>
      </c>
      <c r="Y20" s="44">
        <v>4157</v>
      </c>
      <c r="Z20" s="44">
        <v>4233</v>
      </c>
      <c r="AA20" s="44">
        <v>4313</v>
      </c>
      <c r="AB20" s="44">
        <v>4390</v>
      </c>
      <c r="AC20" s="44">
        <v>4470</v>
      </c>
    </row>
    <row r="21" spans="1:29" ht="15" customHeight="1" x14ac:dyDescent="0.25">
      <c r="A21" s="43">
        <v>2350</v>
      </c>
      <c r="B21" s="44">
        <v>2204</v>
      </c>
      <c r="C21" s="44">
        <v>2240</v>
      </c>
      <c r="D21" s="44">
        <v>2303</v>
      </c>
      <c r="E21" s="44">
        <v>2365</v>
      </c>
      <c r="F21" s="44">
        <v>2424</v>
      </c>
      <c r="G21" s="44">
        <v>2489</v>
      </c>
      <c r="H21" s="44">
        <v>2550</v>
      </c>
      <c r="I21" s="44">
        <v>2613</v>
      </c>
      <c r="J21" s="44">
        <v>2675</v>
      </c>
      <c r="K21" s="44">
        <v>2738</v>
      </c>
      <c r="L21" s="44">
        <v>2801</v>
      </c>
      <c r="M21" s="44">
        <v>2863</v>
      </c>
      <c r="N21" s="44">
        <v>2926</v>
      </c>
      <c r="O21" s="44">
        <v>2988</v>
      </c>
      <c r="P21" s="44">
        <v>3051</v>
      </c>
      <c r="Q21" s="44">
        <v>3114</v>
      </c>
      <c r="R21" s="44">
        <v>3175</v>
      </c>
      <c r="S21" s="44">
        <v>3677</v>
      </c>
      <c r="T21" s="44">
        <v>3757</v>
      </c>
      <c r="U21" s="44">
        <v>3837</v>
      </c>
      <c r="V21" s="44">
        <v>3917</v>
      </c>
      <c r="W21" s="44">
        <v>3997</v>
      </c>
      <c r="X21" s="44">
        <v>4078</v>
      </c>
      <c r="Y21" s="44">
        <v>4325</v>
      </c>
      <c r="Z21" s="44">
        <v>4405</v>
      </c>
      <c r="AA21" s="44">
        <v>4485</v>
      </c>
      <c r="AB21" s="44">
        <v>4565</v>
      </c>
      <c r="AC21" s="44">
        <v>5117</v>
      </c>
    </row>
    <row r="22" spans="1:29" ht="15" customHeight="1" x14ac:dyDescent="0.25">
      <c r="A22" s="43">
        <v>2450</v>
      </c>
      <c r="B22" s="44">
        <v>2259</v>
      </c>
      <c r="C22" s="44">
        <v>2294</v>
      </c>
      <c r="D22" s="44">
        <v>2357</v>
      </c>
      <c r="E22" s="44">
        <v>2422</v>
      </c>
      <c r="F22" s="44">
        <v>2486</v>
      </c>
      <c r="G22" s="44">
        <v>2548</v>
      </c>
      <c r="H22" s="44">
        <v>2612</v>
      </c>
      <c r="I22" s="44">
        <v>2676</v>
      </c>
      <c r="J22" s="44">
        <v>2740</v>
      </c>
      <c r="K22" s="44">
        <v>2805</v>
      </c>
      <c r="L22" s="44">
        <v>2867</v>
      </c>
      <c r="M22" s="44">
        <v>2932</v>
      </c>
      <c r="N22" s="44">
        <v>2997</v>
      </c>
      <c r="O22" s="44">
        <v>3061</v>
      </c>
      <c r="P22" s="44">
        <v>3125</v>
      </c>
      <c r="Q22" s="44">
        <v>3191</v>
      </c>
      <c r="R22" s="44">
        <v>3692</v>
      </c>
      <c r="S22" s="44">
        <v>3775</v>
      </c>
      <c r="T22" s="44">
        <v>3858</v>
      </c>
      <c r="U22" s="44">
        <v>3940</v>
      </c>
      <c r="V22" s="44">
        <v>4022</v>
      </c>
      <c r="W22" s="44">
        <v>4102</v>
      </c>
      <c r="X22" s="44">
        <v>4185</v>
      </c>
      <c r="Y22" s="44">
        <v>4435</v>
      </c>
      <c r="Z22" s="44">
        <v>4521</v>
      </c>
      <c r="AA22" s="44">
        <v>4601</v>
      </c>
      <c r="AB22" s="44">
        <v>5159</v>
      </c>
      <c r="AC22" s="44">
        <v>5257</v>
      </c>
    </row>
    <row r="23" spans="1:29" ht="15" customHeight="1" x14ac:dyDescent="0.25">
      <c r="A23" s="43">
        <v>2550</v>
      </c>
      <c r="B23" s="44">
        <v>2311</v>
      </c>
      <c r="C23" s="44">
        <v>2348</v>
      </c>
      <c r="D23" s="44">
        <v>2412</v>
      </c>
      <c r="E23" s="44">
        <v>2479</v>
      </c>
      <c r="F23" s="44">
        <v>2544</v>
      </c>
      <c r="G23" s="44">
        <v>2608</v>
      </c>
      <c r="H23" s="44">
        <v>2674</v>
      </c>
      <c r="I23" s="44">
        <v>2740</v>
      </c>
      <c r="J23" s="44">
        <v>2806</v>
      </c>
      <c r="K23" s="44">
        <v>2870</v>
      </c>
      <c r="L23" s="44">
        <v>2935</v>
      </c>
      <c r="M23" s="44">
        <v>3003</v>
      </c>
      <c r="N23" s="44">
        <v>3071</v>
      </c>
      <c r="O23" s="44">
        <v>3134</v>
      </c>
      <c r="P23" s="44">
        <v>3200</v>
      </c>
      <c r="Q23" s="44">
        <v>3703</v>
      </c>
      <c r="R23" s="44">
        <v>3787</v>
      </c>
      <c r="S23" s="44">
        <v>3872</v>
      </c>
      <c r="T23" s="44">
        <v>3956</v>
      </c>
      <c r="U23" s="44">
        <v>4042</v>
      </c>
      <c r="V23" s="44">
        <v>4125</v>
      </c>
      <c r="W23" s="44">
        <v>4212</v>
      </c>
      <c r="X23" s="44">
        <v>4297</v>
      </c>
      <c r="Y23" s="44">
        <v>4546</v>
      </c>
      <c r="Z23" s="44">
        <v>4631</v>
      </c>
      <c r="AA23" s="44">
        <v>5199</v>
      </c>
      <c r="AB23" s="44">
        <v>5297</v>
      </c>
      <c r="AC23" s="44">
        <v>5397</v>
      </c>
    </row>
    <row r="24" spans="1:29" ht="15" customHeight="1" x14ac:dyDescent="0.25">
      <c r="A24" s="43">
        <v>2650</v>
      </c>
      <c r="B24" s="44">
        <v>2392</v>
      </c>
      <c r="C24" s="44">
        <v>2430</v>
      </c>
      <c r="D24" s="44">
        <v>2495</v>
      </c>
      <c r="E24" s="44">
        <v>2564</v>
      </c>
      <c r="F24" s="44">
        <v>2632</v>
      </c>
      <c r="G24" s="44">
        <v>2696</v>
      </c>
      <c r="H24" s="44">
        <v>2764</v>
      </c>
      <c r="I24" s="44">
        <v>2831</v>
      </c>
      <c r="J24" s="44">
        <v>2899</v>
      </c>
      <c r="K24" s="44">
        <v>2965</v>
      </c>
      <c r="L24" s="44">
        <v>3031</v>
      </c>
      <c r="M24" s="44">
        <v>3101</v>
      </c>
      <c r="N24" s="44">
        <v>3170</v>
      </c>
      <c r="O24" s="44">
        <v>3235</v>
      </c>
      <c r="P24" s="44">
        <v>3713</v>
      </c>
      <c r="Q24" s="44">
        <v>3795</v>
      </c>
      <c r="R24" s="44">
        <v>3882</v>
      </c>
      <c r="S24" s="44">
        <v>3970</v>
      </c>
      <c r="T24" s="44">
        <v>4056</v>
      </c>
      <c r="U24" s="44">
        <v>4145</v>
      </c>
      <c r="V24" s="44">
        <v>4229</v>
      </c>
      <c r="W24" s="44">
        <v>4316</v>
      </c>
      <c r="X24" s="44">
        <v>4406</v>
      </c>
      <c r="Y24" s="44">
        <v>4657</v>
      </c>
      <c r="Z24" s="44">
        <v>5237</v>
      </c>
      <c r="AA24" s="44">
        <v>5337</v>
      </c>
      <c r="AB24" s="44">
        <v>5435</v>
      </c>
      <c r="AC24" s="44">
        <v>5537</v>
      </c>
    </row>
    <row r="25" spans="1:29" ht="15" customHeight="1" x14ac:dyDescent="0.25">
      <c r="A25" s="43">
        <v>2700</v>
      </c>
      <c r="B25" s="44">
        <v>2500</v>
      </c>
      <c r="C25" s="44">
        <v>2540</v>
      </c>
      <c r="D25" s="44">
        <v>2566</v>
      </c>
      <c r="E25" s="44">
        <v>2638</v>
      </c>
      <c r="F25" s="44">
        <v>2709</v>
      </c>
      <c r="G25" s="44">
        <v>2772</v>
      </c>
      <c r="H25" s="44">
        <v>2842</v>
      </c>
      <c r="I25" s="44">
        <v>2912</v>
      </c>
      <c r="J25" s="44">
        <v>2982</v>
      </c>
      <c r="K25" s="44">
        <v>3048</v>
      </c>
      <c r="L25" s="44">
        <v>3115</v>
      </c>
      <c r="M25" s="44">
        <v>3187</v>
      </c>
      <c r="N25" s="44">
        <v>3258</v>
      </c>
      <c r="O25" s="44">
        <v>3804</v>
      </c>
      <c r="P25" s="44">
        <v>3859</v>
      </c>
      <c r="Q25" s="44">
        <v>3887</v>
      </c>
      <c r="R25" s="44">
        <v>3977</v>
      </c>
      <c r="S25" s="44">
        <v>4068</v>
      </c>
      <c r="T25" s="44">
        <v>4156</v>
      </c>
      <c r="U25" s="44">
        <v>4248</v>
      </c>
      <c r="V25" s="44">
        <v>4334</v>
      </c>
      <c r="W25" s="44">
        <v>4427</v>
      </c>
      <c r="X25" s="44">
        <v>4516</v>
      </c>
      <c r="Y25" s="44">
        <v>5254</v>
      </c>
      <c r="Z25" s="44">
        <v>5367</v>
      </c>
      <c r="AA25" s="44">
        <v>5475</v>
      </c>
      <c r="AB25" s="44">
        <v>5573</v>
      </c>
      <c r="AC25" s="44">
        <v>5677</v>
      </c>
    </row>
    <row r="27" spans="1:29" ht="15" customHeight="1" x14ac:dyDescent="0.25">
      <c r="A27" s="121" t="s">
        <v>261</v>
      </c>
      <c r="B27" s="93"/>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row>
    <row r="28" spans="1:29" ht="15" customHeight="1" x14ac:dyDescent="0.25">
      <c r="A28" s="43" t="s">
        <v>260</v>
      </c>
      <c r="B28" s="43">
        <v>800</v>
      </c>
      <c r="C28" s="43">
        <v>900</v>
      </c>
      <c r="D28" s="43">
        <v>1000</v>
      </c>
      <c r="E28" s="43">
        <v>1100</v>
      </c>
      <c r="F28" s="43">
        <v>1200</v>
      </c>
      <c r="G28" s="43">
        <v>1300</v>
      </c>
      <c r="H28" s="43">
        <v>1400</v>
      </c>
      <c r="I28" s="43">
        <v>1500</v>
      </c>
      <c r="J28" s="43">
        <v>1600</v>
      </c>
      <c r="K28" s="43">
        <v>1700</v>
      </c>
      <c r="L28" s="43">
        <v>1800</v>
      </c>
      <c r="M28" s="43">
        <v>1900</v>
      </c>
      <c r="N28" s="43">
        <v>2000</v>
      </c>
      <c r="O28" s="43">
        <v>2100</v>
      </c>
      <c r="P28" s="43">
        <v>2200</v>
      </c>
      <c r="Q28" s="43">
        <v>2300</v>
      </c>
      <c r="R28" s="43">
        <v>2400</v>
      </c>
      <c r="S28" s="43">
        <v>2500</v>
      </c>
      <c r="T28" s="43">
        <v>2600</v>
      </c>
      <c r="U28" s="43">
        <v>2700</v>
      </c>
      <c r="V28" s="43">
        <v>2800</v>
      </c>
      <c r="W28" s="43">
        <v>2900</v>
      </c>
      <c r="X28" s="43">
        <v>3000</v>
      </c>
      <c r="Y28" s="43">
        <v>3100</v>
      </c>
      <c r="Z28" s="43">
        <v>3200</v>
      </c>
      <c r="AA28" s="43">
        <v>3300</v>
      </c>
      <c r="AB28" s="43">
        <v>3400</v>
      </c>
      <c r="AC28" s="43">
        <v>3500</v>
      </c>
    </row>
    <row r="29" spans="1:29" ht="15" customHeight="1" x14ac:dyDescent="0.25">
      <c r="A29" s="43">
        <v>750</v>
      </c>
      <c r="B29" s="45">
        <v>0.5</v>
      </c>
      <c r="C29" s="45">
        <v>0.5</v>
      </c>
      <c r="D29" s="45">
        <v>0.5</v>
      </c>
      <c r="E29" s="45">
        <v>0.5</v>
      </c>
      <c r="F29" s="45">
        <v>0.56000000000000005</v>
      </c>
      <c r="G29" s="45">
        <v>0.61</v>
      </c>
      <c r="H29" s="45">
        <v>0.67</v>
      </c>
      <c r="I29" s="45">
        <v>0.73</v>
      </c>
      <c r="J29" s="45">
        <v>0.78</v>
      </c>
      <c r="K29" s="45">
        <v>0.84</v>
      </c>
      <c r="L29" s="45">
        <v>0.89</v>
      </c>
      <c r="M29" s="45">
        <v>0.95</v>
      </c>
      <c r="N29" s="45">
        <v>1.01</v>
      </c>
      <c r="O29" s="45">
        <v>1.06</v>
      </c>
      <c r="P29" s="45">
        <v>1.1200000000000001</v>
      </c>
      <c r="Q29" s="45">
        <v>1.18</v>
      </c>
      <c r="R29" s="45">
        <v>1.23</v>
      </c>
      <c r="S29" s="45">
        <v>1.29</v>
      </c>
      <c r="T29" s="45">
        <v>1.34</v>
      </c>
      <c r="U29" s="45">
        <v>1.4</v>
      </c>
      <c r="V29" s="45">
        <v>1.46</v>
      </c>
      <c r="W29" s="45">
        <v>1.51</v>
      </c>
      <c r="X29" s="45">
        <v>1.57</v>
      </c>
      <c r="Y29" s="45">
        <v>1.62</v>
      </c>
      <c r="Z29" s="45">
        <v>1.68</v>
      </c>
      <c r="AA29" s="45">
        <v>1.74</v>
      </c>
      <c r="AB29" s="45">
        <v>1.79</v>
      </c>
      <c r="AC29" s="45">
        <v>1.85</v>
      </c>
    </row>
    <row r="30" spans="1:29" ht="15" customHeight="1" x14ac:dyDescent="0.25">
      <c r="A30" s="43">
        <v>850</v>
      </c>
      <c r="B30" s="45">
        <v>0.5</v>
      </c>
      <c r="C30" s="45">
        <v>0.52</v>
      </c>
      <c r="D30" s="45">
        <v>0.52</v>
      </c>
      <c r="E30" s="45">
        <v>0.59</v>
      </c>
      <c r="F30" s="45">
        <v>0.66</v>
      </c>
      <c r="G30" s="45">
        <v>0.72</v>
      </c>
      <c r="H30" s="45">
        <v>0.79</v>
      </c>
      <c r="I30" s="45">
        <v>0.85</v>
      </c>
      <c r="J30" s="45">
        <v>0.92</v>
      </c>
      <c r="K30" s="45">
        <v>0.99</v>
      </c>
      <c r="L30" s="45">
        <v>1.05</v>
      </c>
      <c r="M30" s="45">
        <v>1.1200000000000001</v>
      </c>
      <c r="N30" s="45">
        <v>1.19</v>
      </c>
      <c r="O30" s="45">
        <v>1.25</v>
      </c>
      <c r="P30" s="45">
        <v>1.32</v>
      </c>
      <c r="Q30" s="45">
        <v>1.38</v>
      </c>
      <c r="R30" s="45">
        <v>1.45</v>
      </c>
      <c r="S30" s="45">
        <v>1.52</v>
      </c>
      <c r="T30" s="45">
        <v>1.58</v>
      </c>
      <c r="U30" s="45">
        <v>1.65</v>
      </c>
      <c r="V30" s="45">
        <v>1.72</v>
      </c>
      <c r="W30" s="45">
        <v>1.78</v>
      </c>
      <c r="X30" s="45">
        <v>1.85</v>
      </c>
      <c r="Y30" s="45">
        <v>1.91</v>
      </c>
      <c r="Z30" s="45">
        <v>1.98</v>
      </c>
      <c r="AA30" s="45">
        <v>2.0499999999999998</v>
      </c>
      <c r="AB30" s="45">
        <v>2.11</v>
      </c>
      <c r="AC30" s="45">
        <v>2.1800000000000002</v>
      </c>
    </row>
    <row r="31" spans="1:29" ht="15" customHeight="1" x14ac:dyDescent="0.25">
      <c r="A31" s="43">
        <v>950</v>
      </c>
      <c r="B31" s="45">
        <v>0.5</v>
      </c>
      <c r="C31" s="45">
        <v>0.53</v>
      </c>
      <c r="D31" s="45">
        <v>0.6</v>
      </c>
      <c r="E31" s="45">
        <v>0.68</v>
      </c>
      <c r="F31" s="45">
        <v>0.76</v>
      </c>
      <c r="G31" s="45">
        <v>0.83</v>
      </c>
      <c r="H31" s="45">
        <v>0.91</v>
      </c>
      <c r="I31" s="45">
        <v>0.98</v>
      </c>
      <c r="J31" s="45">
        <v>1.06</v>
      </c>
      <c r="K31" s="45">
        <v>1.1399999999999999</v>
      </c>
      <c r="L31" s="45">
        <v>1.21</v>
      </c>
      <c r="M31" s="45">
        <v>1.29</v>
      </c>
      <c r="N31" s="45">
        <v>1.36</v>
      </c>
      <c r="O31" s="45">
        <v>1.44</v>
      </c>
      <c r="P31" s="45">
        <v>1.52</v>
      </c>
      <c r="Q31" s="45">
        <v>1.59</v>
      </c>
      <c r="R31" s="45">
        <v>1.67</v>
      </c>
      <c r="S31" s="45">
        <v>1.75</v>
      </c>
      <c r="T31" s="45">
        <v>1.82</v>
      </c>
      <c r="U31" s="45">
        <v>1.9</v>
      </c>
      <c r="V31" s="45">
        <v>1.97</v>
      </c>
      <c r="W31" s="45">
        <v>2.0499999999999998</v>
      </c>
      <c r="X31" s="45">
        <v>2.13</v>
      </c>
      <c r="Y31" s="45">
        <v>2.2000000000000002</v>
      </c>
      <c r="Z31" s="45">
        <v>2.2799999999999998</v>
      </c>
      <c r="AA31" s="45">
        <v>2.36</v>
      </c>
      <c r="AB31" s="45">
        <v>2.4300000000000002</v>
      </c>
      <c r="AC31" s="45">
        <v>2.5099999999999998</v>
      </c>
    </row>
    <row r="32" spans="1:29" ht="15" customHeight="1" x14ac:dyDescent="0.25">
      <c r="A32" s="43">
        <v>1050</v>
      </c>
      <c r="B32" s="45">
        <v>0.51</v>
      </c>
      <c r="C32" s="45">
        <v>0.6</v>
      </c>
      <c r="D32" s="45">
        <v>0.68</v>
      </c>
      <c r="E32" s="45">
        <v>0.77</v>
      </c>
      <c r="F32" s="45">
        <v>0.85</v>
      </c>
      <c r="G32" s="45">
        <v>0.94</v>
      </c>
      <c r="H32" s="45">
        <v>1.03</v>
      </c>
      <c r="I32" s="45">
        <v>1.1100000000000001</v>
      </c>
      <c r="J32" s="45">
        <v>1.2</v>
      </c>
      <c r="K32" s="45">
        <v>1.29</v>
      </c>
      <c r="L32" s="45">
        <v>1.37</v>
      </c>
      <c r="M32" s="45">
        <v>1.44</v>
      </c>
      <c r="N32" s="45">
        <v>1.54</v>
      </c>
      <c r="O32" s="45">
        <v>1.63</v>
      </c>
      <c r="P32" s="45">
        <v>1.72</v>
      </c>
      <c r="Q32" s="45">
        <v>1.8</v>
      </c>
      <c r="R32" s="45">
        <v>1.89</v>
      </c>
      <c r="S32" s="45">
        <v>1.98</v>
      </c>
      <c r="T32" s="45">
        <v>2.06</v>
      </c>
      <c r="U32" s="45">
        <v>2.15</v>
      </c>
      <c r="V32" s="45">
        <v>2.23</v>
      </c>
      <c r="W32" s="45">
        <v>2.3199999999999998</v>
      </c>
      <c r="X32" s="45">
        <v>2.41</v>
      </c>
      <c r="Y32" s="45">
        <v>2.4900000000000002</v>
      </c>
      <c r="Z32" s="45">
        <v>2.58</v>
      </c>
      <c r="AA32" s="45">
        <v>2.66</v>
      </c>
      <c r="AB32" s="45">
        <v>2.75</v>
      </c>
      <c r="AC32" s="45">
        <v>2.84</v>
      </c>
    </row>
    <row r="33" spans="1:29" ht="15" customHeight="1" x14ac:dyDescent="0.25">
      <c r="A33" s="43">
        <v>1150</v>
      </c>
      <c r="B33" s="45">
        <v>0.56999999999999995</v>
      </c>
      <c r="C33" s="45">
        <v>0.67</v>
      </c>
      <c r="D33" s="45">
        <v>0.76</v>
      </c>
      <c r="E33" s="45">
        <v>0.86</v>
      </c>
      <c r="F33" s="45">
        <v>0.95</v>
      </c>
      <c r="G33" s="45">
        <v>1.05</v>
      </c>
      <c r="H33" s="45">
        <v>1.1499999999999999</v>
      </c>
      <c r="I33" s="45">
        <v>1.24</v>
      </c>
      <c r="J33" s="45">
        <v>1.34</v>
      </c>
      <c r="K33" s="45">
        <v>1.43</v>
      </c>
      <c r="L33" s="45">
        <v>1.53</v>
      </c>
      <c r="M33" s="45">
        <v>1.63</v>
      </c>
      <c r="N33" s="45">
        <v>1.72</v>
      </c>
      <c r="O33" s="45">
        <v>1.82</v>
      </c>
      <c r="P33" s="45">
        <v>1.92</v>
      </c>
      <c r="Q33" s="45">
        <v>2.0099999999999998</v>
      </c>
      <c r="R33" s="45">
        <v>2.11</v>
      </c>
      <c r="S33" s="45">
        <v>2.2000000000000002</v>
      </c>
      <c r="T33" s="45">
        <v>2.2999999999999998</v>
      </c>
      <c r="U33" s="45">
        <v>2.4</v>
      </c>
      <c r="V33" s="45">
        <v>2.4900000000000002</v>
      </c>
      <c r="W33" s="45">
        <v>2.59</v>
      </c>
      <c r="X33" s="45">
        <v>2.69</v>
      </c>
      <c r="Y33" s="45">
        <v>2.78</v>
      </c>
      <c r="Z33" s="45">
        <v>2.88</v>
      </c>
      <c r="AA33" s="45">
        <v>2.97</v>
      </c>
      <c r="AB33" s="45">
        <v>3.07</v>
      </c>
      <c r="AC33" s="45">
        <v>3.17</v>
      </c>
    </row>
    <row r="34" spans="1:29" ht="15" customHeight="1" x14ac:dyDescent="0.25">
      <c r="A34" s="43">
        <v>1250</v>
      </c>
      <c r="B34" s="45">
        <v>0.63</v>
      </c>
      <c r="C34" s="45">
        <v>0.73</v>
      </c>
      <c r="D34" s="45">
        <v>0.84</v>
      </c>
      <c r="E34" s="45">
        <v>0.95</v>
      </c>
      <c r="F34" s="45">
        <v>1.05</v>
      </c>
      <c r="G34" s="45">
        <v>1.1599999999999999</v>
      </c>
      <c r="H34" s="45">
        <v>1.27</v>
      </c>
      <c r="I34" s="45">
        <v>1.37</v>
      </c>
      <c r="J34" s="45">
        <v>1.48</v>
      </c>
      <c r="K34" s="45">
        <v>1.58</v>
      </c>
      <c r="L34" s="45">
        <v>1.69</v>
      </c>
      <c r="M34" s="45">
        <v>1.8</v>
      </c>
      <c r="N34" s="45">
        <v>1.9</v>
      </c>
      <c r="O34" s="45">
        <v>2.0099999999999998</v>
      </c>
      <c r="P34" s="45">
        <v>2.11</v>
      </c>
      <c r="Q34" s="45">
        <v>2.2200000000000002</v>
      </c>
      <c r="R34" s="45">
        <v>2.33</v>
      </c>
      <c r="S34" s="45">
        <v>2.4300000000000002</v>
      </c>
      <c r="T34" s="45">
        <v>2.54</v>
      </c>
      <c r="U34" s="45">
        <v>2.65</v>
      </c>
      <c r="V34" s="45">
        <v>2.75</v>
      </c>
      <c r="W34" s="45">
        <v>2.86</v>
      </c>
      <c r="X34" s="45">
        <v>2.96</v>
      </c>
      <c r="Y34" s="45">
        <v>3.07</v>
      </c>
      <c r="Z34" s="45">
        <v>3.18</v>
      </c>
      <c r="AA34" s="45">
        <v>3.28</v>
      </c>
      <c r="AB34" s="45">
        <v>3.39</v>
      </c>
      <c r="AC34" s="45">
        <v>3.5</v>
      </c>
    </row>
    <row r="35" spans="1:29" ht="15" customHeight="1" x14ac:dyDescent="0.25">
      <c r="A35" s="43">
        <v>1350</v>
      </c>
      <c r="B35" s="45">
        <v>0.68</v>
      </c>
      <c r="C35" s="45">
        <v>0.8</v>
      </c>
      <c r="D35" s="45">
        <v>0.92</v>
      </c>
      <c r="E35" s="45">
        <v>1.04</v>
      </c>
      <c r="F35" s="45">
        <v>1.1499999999999999</v>
      </c>
      <c r="G35" s="45">
        <v>1.27</v>
      </c>
      <c r="H35" s="45">
        <v>1.38</v>
      </c>
      <c r="I35" s="45">
        <v>1.5</v>
      </c>
      <c r="J35" s="45">
        <v>1.62</v>
      </c>
      <c r="K35" s="45">
        <v>1.73</v>
      </c>
      <c r="L35" s="45">
        <v>1.85</v>
      </c>
      <c r="M35" s="45">
        <v>1.97</v>
      </c>
      <c r="N35" s="45">
        <v>2.08</v>
      </c>
      <c r="O35" s="45">
        <v>2.2000000000000002</v>
      </c>
      <c r="P35" s="45">
        <v>2.3199999999999998</v>
      </c>
      <c r="Q35" s="45">
        <v>2.4300000000000002</v>
      </c>
      <c r="R35" s="45">
        <v>2.5499999999999998</v>
      </c>
      <c r="S35" s="45">
        <v>2.66</v>
      </c>
      <c r="T35" s="45">
        <v>2.78</v>
      </c>
      <c r="U35" s="45">
        <v>2.89</v>
      </c>
      <c r="V35" s="45">
        <v>3.01</v>
      </c>
      <c r="W35" s="45">
        <v>3.13</v>
      </c>
      <c r="X35" s="45">
        <v>3.24</v>
      </c>
      <c r="Y35" s="45">
        <v>3.36</v>
      </c>
      <c r="Z35" s="45">
        <v>3.48</v>
      </c>
      <c r="AA35" s="45">
        <v>3.59</v>
      </c>
      <c r="AB35" s="45">
        <v>3.71</v>
      </c>
      <c r="AC35" s="45">
        <v>3.82</v>
      </c>
    </row>
    <row r="36" spans="1:29" ht="15" customHeight="1" x14ac:dyDescent="0.25">
      <c r="A36" s="43">
        <v>1450</v>
      </c>
      <c r="B36" s="45">
        <v>0.75</v>
      </c>
      <c r="C36" s="45">
        <v>0.87</v>
      </c>
      <c r="D36" s="45">
        <v>1</v>
      </c>
      <c r="E36" s="45">
        <v>1.1299999999999999</v>
      </c>
      <c r="F36" s="45">
        <v>1.25</v>
      </c>
      <c r="G36" s="45">
        <v>1.38</v>
      </c>
      <c r="H36" s="45">
        <v>1.5</v>
      </c>
      <c r="I36" s="45">
        <v>1.63</v>
      </c>
      <c r="J36" s="45">
        <v>1.76</v>
      </c>
      <c r="K36" s="45">
        <v>1.88</v>
      </c>
      <c r="L36" s="45">
        <v>2.0099999999999998</v>
      </c>
      <c r="M36" s="45">
        <v>2.13</v>
      </c>
      <c r="N36" s="45">
        <v>2.2599999999999998</v>
      </c>
      <c r="O36" s="45">
        <v>2.39</v>
      </c>
      <c r="P36" s="45">
        <v>2.5099999999999998</v>
      </c>
      <c r="Q36" s="45">
        <v>2.64</v>
      </c>
      <c r="R36" s="45">
        <v>2.77</v>
      </c>
      <c r="S36" s="45">
        <v>2.89</v>
      </c>
      <c r="T36" s="45">
        <v>3.02</v>
      </c>
      <c r="U36" s="45">
        <v>3.14</v>
      </c>
      <c r="V36" s="45">
        <v>3.27</v>
      </c>
      <c r="W36" s="45">
        <v>3.4</v>
      </c>
      <c r="X36" s="45">
        <v>3.52</v>
      </c>
      <c r="Y36" s="45">
        <v>3.65</v>
      </c>
      <c r="Z36" s="45">
        <v>3.78</v>
      </c>
      <c r="AA36" s="45">
        <v>3.9</v>
      </c>
      <c r="AB36" s="45">
        <v>4.03</v>
      </c>
      <c r="AC36" s="45">
        <v>4.1500000000000004</v>
      </c>
    </row>
    <row r="37" spans="1:29" ht="15" customHeight="1" x14ac:dyDescent="0.25">
      <c r="A37" s="43">
        <v>1550</v>
      </c>
      <c r="B37" s="45">
        <v>0.8</v>
      </c>
      <c r="C37" s="45">
        <v>0.94</v>
      </c>
      <c r="D37" s="45">
        <v>1.08</v>
      </c>
      <c r="E37" s="45">
        <v>1.21</v>
      </c>
      <c r="F37" s="45">
        <v>1.35</v>
      </c>
      <c r="G37" s="45">
        <v>1.49</v>
      </c>
      <c r="H37" s="45">
        <v>1.62</v>
      </c>
      <c r="I37" s="45">
        <v>1.76</v>
      </c>
      <c r="J37" s="45">
        <v>1.9</v>
      </c>
      <c r="K37" s="45">
        <v>2.0299999999999998</v>
      </c>
      <c r="L37" s="45">
        <v>2.17</v>
      </c>
      <c r="M37" s="45">
        <v>2.2999999999999998</v>
      </c>
      <c r="N37" s="45">
        <v>2.44</v>
      </c>
      <c r="O37" s="45">
        <v>2.57</v>
      </c>
      <c r="P37" s="45">
        <v>2.71</v>
      </c>
      <c r="Q37" s="45">
        <v>2.84</v>
      </c>
      <c r="R37" s="45">
        <v>2.97</v>
      </c>
      <c r="S37" s="45">
        <v>3.11</v>
      </c>
      <c r="T37" s="45">
        <v>3.24</v>
      </c>
      <c r="U37" s="45">
        <v>3.38</v>
      </c>
      <c r="V37" s="45">
        <v>3.51</v>
      </c>
      <c r="W37" s="45">
        <v>3.65</v>
      </c>
      <c r="X37" s="45">
        <v>3.78</v>
      </c>
      <c r="Y37" s="45">
        <v>3.92</v>
      </c>
      <c r="Z37" s="45">
        <v>4.05</v>
      </c>
      <c r="AA37" s="45">
        <v>4.1900000000000004</v>
      </c>
      <c r="AB37" s="45">
        <v>4.32</v>
      </c>
      <c r="AC37" s="45">
        <v>4.46</v>
      </c>
    </row>
    <row r="38" spans="1:29" ht="15" customHeight="1" x14ac:dyDescent="0.25">
      <c r="A38" s="43">
        <v>1650</v>
      </c>
      <c r="B38" s="45">
        <v>0.81</v>
      </c>
      <c r="C38" s="45">
        <v>1.01</v>
      </c>
      <c r="D38" s="45">
        <v>1.1599999999999999</v>
      </c>
      <c r="E38" s="45">
        <v>1.3</v>
      </c>
      <c r="F38" s="45">
        <v>1.45</v>
      </c>
      <c r="G38" s="45">
        <v>1.6</v>
      </c>
      <c r="H38" s="45">
        <v>1.74</v>
      </c>
      <c r="I38" s="45">
        <v>1.89</v>
      </c>
      <c r="J38" s="45">
        <v>2.0299999999999998</v>
      </c>
      <c r="K38" s="45">
        <v>2.1800000000000002</v>
      </c>
      <c r="L38" s="45">
        <v>2.33</v>
      </c>
      <c r="M38" s="45">
        <v>2.4700000000000002</v>
      </c>
      <c r="N38" s="45">
        <v>2.62</v>
      </c>
      <c r="O38" s="45">
        <v>2.77</v>
      </c>
      <c r="P38" s="45">
        <v>2.91</v>
      </c>
      <c r="Q38" s="45">
        <v>3.06</v>
      </c>
      <c r="R38" s="45">
        <v>3.2</v>
      </c>
      <c r="S38" s="45">
        <v>3.35</v>
      </c>
      <c r="T38" s="45">
        <v>3.5</v>
      </c>
      <c r="U38" s="45">
        <v>3.64</v>
      </c>
      <c r="V38" s="45">
        <v>3.79</v>
      </c>
      <c r="W38" s="45">
        <v>3.93</v>
      </c>
      <c r="X38" s="45">
        <v>4.08</v>
      </c>
      <c r="Y38" s="45">
        <v>4.2300000000000004</v>
      </c>
      <c r="Z38" s="45">
        <v>4.37</v>
      </c>
      <c r="AA38" s="45">
        <v>4.5199999999999996</v>
      </c>
      <c r="AB38" s="45">
        <v>4.67</v>
      </c>
      <c r="AC38" s="45">
        <v>4.8099999999999996</v>
      </c>
    </row>
    <row r="39" spans="1:29" ht="15" customHeight="1" x14ac:dyDescent="0.25">
      <c r="A39" s="43">
        <v>1750</v>
      </c>
      <c r="B39" s="45">
        <v>0.92</v>
      </c>
      <c r="C39" s="45">
        <v>1.08</v>
      </c>
      <c r="D39" s="45">
        <v>1.24</v>
      </c>
      <c r="E39" s="45">
        <v>1.39</v>
      </c>
      <c r="F39" s="45">
        <v>1.55</v>
      </c>
      <c r="G39" s="45">
        <v>1.71</v>
      </c>
      <c r="H39" s="45">
        <v>1.86</v>
      </c>
      <c r="I39" s="45">
        <v>2.02</v>
      </c>
      <c r="J39" s="45">
        <v>2.17</v>
      </c>
      <c r="K39" s="45">
        <v>2.33</v>
      </c>
      <c r="L39" s="45">
        <v>2.4900000000000002</v>
      </c>
      <c r="M39" s="45">
        <v>2.64</v>
      </c>
      <c r="N39" s="45">
        <v>2.8</v>
      </c>
      <c r="O39" s="45">
        <v>2.95</v>
      </c>
      <c r="P39" s="45">
        <v>3.11</v>
      </c>
      <c r="Q39" s="45">
        <v>3.27</v>
      </c>
      <c r="R39" s="45">
        <v>3.42</v>
      </c>
      <c r="S39" s="45">
        <v>3.58</v>
      </c>
      <c r="T39" s="45">
        <v>3.74</v>
      </c>
      <c r="U39" s="45">
        <v>3.89</v>
      </c>
      <c r="V39" s="45">
        <v>4.05</v>
      </c>
      <c r="W39" s="45">
        <v>4.2</v>
      </c>
      <c r="X39" s="45">
        <v>4.3600000000000003</v>
      </c>
      <c r="Y39" s="45">
        <v>4.5199999999999996</v>
      </c>
      <c r="Z39" s="45">
        <v>4.67</v>
      </c>
      <c r="AA39" s="45">
        <v>4.83</v>
      </c>
      <c r="AB39" s="45">
        <v>4.9800000000000004</v>
      </c>
      <c r="AC39" s="45">
        <v>5.14</v>
      </c>
    </row>
    <row r="40" spans="1:29" ht="15" customHeight="1" x14ac:dyDescent="0.25">
      <c r="A40" s="43">
        <v>1850</v>
      </c>
      <c r="B40" s="45">
        <v>0.98</v>
      </c>
      <c r="C40" s="45">
        <v>1.1499999999999999</v>
      </c>
      <c r="D40" s="45">
        <v>1.32</v>
      </c>
      <c r="E40" s="45">
        <v>1.48</v>
      </c>
      <c r="F40" s="45">
        <v>1.65</v>
      </c>
      <c r="G40" s="45">
        <v>1.81</v>
      </c>
      <c r="H40" s="45">
        <v>1.98</v>
      </c>
      <c r="I40" s="45">
        <v>2.15</v>
      </c>
      <c r="J40" s="45">
        <v>2.31</v>
      </c>
      <c r="K40" s="45">
        <v>2.48</v>
      </c>
      <c r="L40" s="45">
        <v>2.65</v>
      </c>
      <c r="M40" s="45">
        <v>2.81</v>
      </c>
      <c r="N40" s="45">
        <v>2.98</v>
      </c>
      <c r="O40" s="45">
        <v>3.14</v>
      </c>
      <c r="P40" s="45">
        <v>3.31</v>
      </c>
      <c r="Q40" s="45">
        <v>3.48</v>
      </c>
      <c r="R40" s="45">
        <v>3.64</v>
      </c>
      <c r="S40" s="45">
        <v>3.81</v>
      </c>
      <c r="T40" s="45">
        <v>3.97</v>
      </c>
      <c r="U40" s="45">
        <v>4.1399999999999997</v>
      </c>
      <c r="V40" s="45">
        <v>4.3099999999999996</v>
      </c>
      <c r="W40" s="45">
        <v>4.47</v>
      </c>
      <c r="X40" s="45">
        <v>4.6399999999999997</v>
      </c>
      <c r="Y40" s="45">
        <v>4.8099999999999996</v>
      </c>
      <c r="Z40" s="45">
        <v>4.97</v>
      </c>
      <c r="AA40" s="45">
        <v>5.14</v>
      </c>
      <c r="AB40" s="45">
        <v>5.3</v>
      </c>
      <c r="AC40" s="45">
        <v>5.47</v>
      </c>
    </row>
    <row r="41" spans="1:29" ht="15" customHeight="1" x14ac:dyDescent="0.25">
      <c r="A41" s="43">
        <v>1950</v>
      </c>
      <c r="B41" s="45">
        <v>1.04</v>
      </c>
      <c r="C41" s="45">
        <v>1.22</v>
      </c>
      <c r="D41" s="45">
        <v>1.39</v>
      </c>
      <c r="E41" s="45">
        <v>1.57</v>
      </c>
      <c r="F41" s="45">
        <v>1.75</v>
      </c>
      <c r="G41" s="45">
        <v>1.92</v>
      </c>
      <c r="H41" s="45">
        <v>2.1</v>
      </c>
      <c r="I41" s="45">
        <v>2.2799999999999998</v>
      </c>
      <c r="J41" s="45">
        <v>2.4500000000000002</v>
      </c>
      <c r="K41" s="45">
        <v>2.63</v>
      </c>
      <c r="L41" s="45">
        <v>2.8</v>
      </c>
      <c r="M41" s="45">
        <v>2.98</v>
      </c>
      <c r="N41" s="45">
        <v>3.16</v>
      </c>
      <c r="O41" s="45">
        <v>3.33</v>
      </c>
      <c r="P41" s="45">
        <v>3.51</v>
      </c>
      <c r="Q41" s="45">
        <v>3.69</v>
      </c>
      <c r="R41" s="45">
        <v>3.86</v>
      </c>
      <c r="S41" s="45">
        <v>4.04</v>
      </c>
      <c r="T41" s="45">
        <v>4.21</v>
      </c>
      <c r="U41" s="45">
        <v>4.3899999999999997</v>
      </c>
      <c r="V41" s="45">
        <v>4.57</v>
      </c>
      <c r="W41" s="45">
        <v>4.74</v>
      </c>
      <c r="X41" s="45">
        <v>4.92</v>
      </c>
      <c r="Y41" s="45">
        <v>5.09</v>
      </c>
      <c r="Z41" s="45">
        <v>5.27</v>
      </c>
      <c r="AA41" s="45">
        <v>5.45</v>
      </c>
      <c r="AB41" s="45">
        <v>5.62</v>
      </c>
      <c r="AC41" s="45">
        <v>5.8</v>
      </c>
    </row>
    <row r="42" spans="1:29" ht="15" customHeight="1" x14ac:dyDescent="0.25">
      <c r="A42" s="43">
        <v>2050</v>
      </c>
      <c r="B42" s="45">
        <v>1.0900000000000001</v>
      </c>
      <c r="C42" s="45">
        <v>1.29</v>
      </c>
      <c r="D42" s="45">
        <v>1.47</v>
      </c>
      <c r="E42" s="45">
        <v>1.66</v>
      </c>
      <c r="F42" s="45">
        <v>1.85</v>
      </c>
      <c r="G42" s="45">
        <v>2.0299999999999998</v>
      </c>
      <c r="H42" s="45">
        <v>2.2200000000000002</v>
      </c>
      <c r="I42" s="45">
        <v>2.41</v>
      </c>
      <c r="J42" s="45">
        <v>2.59</v>
      </c>
      <c r="K42" s="45">
        <v>2.78</v>
      </c>
      <c r="L42" s="45">
        <v>2.96</v>
      </c>
      <c r="M42" s="45">
        <v>3.15</v>
      </c>
      <c r="N42" s="45">
        <v>3.34</v>
      </c>
      <c r="O42" s="45">
        <v>3.52</v>
      </c>
      <c r="P42" s="45">
        <v>3.71</v>
      </c>
      <c r="Q42" s="45">
        <v>3.89</v>
      </c>
      <c r="R42" s="45">
        <v>4.08</v>
      </c>
      <c r="S42" s="45">
        <v>4.2699999999999996</v>
      </c>
      <c r="T42" s="45">
        <v>4.45</v>
      </c>
      <c r="U42" s="45">
        <v>4.6399999999999997</v>
      </c>
      <c r="V42" s="45">
        <v>4.82</v>
      </c>
      <c r="W42" s="45">
        <v>5.01</v>
      </c>
      <c r="X42" s="45">
        <v>5.2</v>
      </c>
      <c r="Y42" s="45">
        <v>5.38</v>
      </c>
      <c r="Z42" s="45">
        <v>5.57</v>
      </c>
      <c r="AA42" s="45">
        <v>5.76</v>
      </c>
      <c r="AB42" s="45">
        <v>5.94</v>
      </c>
      <c r="AC42" s="45">
        <v>6.13</v>
      </c>
    </row>
    <row r="43" spans="1:29" ht="15" customHeight="1" x14ac:dyDescent="0.25">
      <c r="A43" s="43">
        <v>2150</v>
      </c>
      <c r="B43" s="45">
        <v>1.1599999999999999</v>
      </c>
      <c r="C43" s="45">
        <v>1.36</v>
      </c>
      <c r="D43" s="45">
        <v>1.55</v>
      </c>
      <c r="E43" s="45">
        <v>1.75</v>
      </c>
      <c r="F43" s="45">
        <v>1.95</v>
      </c>
      <c r="G43" s="45">
        <v>2.14</v>
      </c>
      <c r="H43" s="45">
        <v>2.34</v>
      </c>
      <c r="I43" s="45">
        <v>2.5299999999999998</v>
      </c>
      <c r="J43" s="45">
        <v>2.73</v>
      </c>
      <c r="K43" s="45">
        <v>2.93</v>
      </c>
      <c r="L43" s="45">
        <v>3.12</v>
      </c>
      <c r="M43" s="45">
        <v>3.32</v>
      </c>
      <c r="N43" s="45">
        <v>3.52</v>
      </c>
      <c r="O43" s="45">
        <v>3.71</v>
      </c>
      <c r="P43" s="45">
        <v>3.91</v>
      </c>
      <c r="Q43" s="45">
        <v>4.0999999999999996</v>
      </c>
      <c r="R43" s="45">
        <v>4.3</v>
      </c>
      <c r="S43" s="45">
        <v>4.5</v>
      </c>
      <c r="T43" s="45">
        <v>4.6900000000000004</v>
      </c>
      <c r="U43" s="45">
        <v>4.8899999999999997</v>
      </c>
      <c r="V43" s="45">
        <v>5.08</v>
      </c>
      <c r="W43" s="45">
        <v>5.28</v>
      </c>
      <c r="X43" s="45">
        <v>5.48</v>
      </c>
      <c r="Y43" s="45">
        <v>5.67</v>
      </c>
      <c r="Z43" s="45">
        <v>6.07</v>
      </c>
      <c r="AA43" s="45">
        <v>6.26</v>
      </c>
      <c r="AB43" s="45">
        <v>6.46</v>
      </c>
      <c r="AC43" s="45">
        <v>6.65</v>
      </c>
    </row>
    <row r="44" spans="1:29" ht="15" customHeight="1" x14ac:dyDescent="0.25">
      <c r="A44" s="43">
        <v>2250</v>
      </c>
      <c r="B44" s="45">
        <v>1.22</v>
      </c>
      <c r="C44" s="45">
        <v>1.43</v>
      </c>
      <c r="D44" s="45">
        <v>1.63</v>
      </c>
      <c r="E44" s="45">
        <v>1.84</v>
      </c>
      <c r="F44" s="45">
        <v>2.04</v>
      </c>
      <c r="G44" s="45">
        <v>2.25</v>
      </c>
      <c r="H44" s="45">
        <v>2.46</v>
      </c>
      <c r="I44" s="45">
        <v>2.66</v>
      </c>
      <c r="J44" s="45">
        <v>2.87</v>
      </c>
      <c r="K44" s="45">
        <v>3.08</v>
      </c>
      <c r="L44" s="45">
        <v>3.28</v>
      </c>
      <c r="M44" s="45">
        <v>3.49</v>
      </c>
      <c r="N44" s="45">
        <v>3.69</v>
      </c>
      <c r="O44" s="45">
        <v>3.9</v>
      </c>
      <c r="P44" s="45">
        <v>4.1100000000000003</v>
      </c>
      <c r="Q44" s="45">
        <v>4.3099999999999996</v>
      </c>
      <c r="R44" s="45">
        <v>4.5199999999999996</v>
      </c>
      <c r="S44" s="45">
        <v>4.93</v>
      </c>
      <c r="T44" s="45">
        <v>5.14</v>
      </c>
      <c r="U44" s="45">
        <v>5.34</v>
      </c>
      <c r="V44" s="45">
        <v>5.55</v>
      </c>
      <c r="W44" s="45">
        <v>5.76</v>
      </c>
      <c r="X44" s="45">
        <v>5.96</v>
      </c>
      <c r="Y44" s="45">
        <v>6.17</v>
      </c>
      <c r="Z44" s="45">
        <v>6.37</v>
      </c>
      <c r="AA44" s="45">
        <v>6.58</v>
      </c>
      <c r="AB44" s="45">
        <v>6.79</v>
      </c>
      <c r="AC44" s="45">
        <v>7</v>
      </c>
    </row>
    <row r="45" spans="1:29" ht="15" customHeight="1" x14ac:dyDescent="0.25">
      <c r="A45" s="43">
        <v>2350</v>
      </c>
      <c r="B45" s="45">
        <v>1.28</v>
      </c>
      <c r="C45" s="45">
        <v>1.5</v>
      </c>
      <c r="D45" s="45">
        <v>1.71</v>
      </c>
      <c r="E45" s="45">
        <v>1.93</v>
      </c>
      <c r="F45" s="45">
        <v>2.14</v>
      </c>
      <c r="G45" s="45">
        <v>2.36</v>
      </c>
      <c r="H45" s="45">
        <v>2.58</v>
      </c>
      <c r="I45" s="45">
        <v>2.79</v>
      </c>
      <c r="J45" s="45">
        <v>3.01</v>
      </c>
      <c r="K45" s="45">
        <v>3.22</v>
      </c>
      <c r="L45" s="45">
        <v>3.44</v>
      </c>
      <c r="M45" s="45">
        <v>3.66</v>
      </c>
      <c r="N45" s="45">
        <v>3.87</v>
      </c>
      <c r="O45" s="45">
        <v>4.09</v>
      </c>
      <c r="P45" s="45">
        <v>4.3099999999999996</v>
      </c>
      <c r="Q45" s="45">
        <v>4.5199999999999996</v>
      </c>
      <c r="R45" s="45">
        <v>4.74</v>
      </c>
      <c r="S45" s="45">
        <v>4.95</v>
      </c>
      <c r="T45" s="45">
        <v>5.17</v>
      </c>
      <c r="U45" s="45">
        <v>5.39</v>
      </c>
      <c r="V45" s="45">
        <v>5.61</v>
      </c>
      <c r="W45" s="45">
        <v>5.82</v>
      </c>
      <c r="X45" s="45">
        <v>6.04</v>
      </c>
      <c r="Y45" s="45">
        <v>6.25</v>
      </c>
      <c r="Z45" s="45">
        <v>6.47</v>
      </c>
      <c r="AA45" s="45">
        <v>6.69</v>
      </c>
      <c r="AB45" s="45">
        <v>6.9</v>
      </c>
      <c r="AC45" s="45">
        <v>7.12</v>
      </c>
    </row>
    <row r="46" spans="1:29" ht="15" customHeight="1" x14ac:dyDescent="0.25">
      <c r="A46" s="43">
        <v>2450</v>
      </c>
      <c r="B46" s="45">
        <v>1.34</v>
      </c>
      <c r="C46" s="45">
        <v>1.56</v>
      </c>
      <c r="D46" s="45">
        <v>1.79</v>
      </c>
      <c r="E46" s="45">
        <v>2.02</v>
      </c>
      <c r="F46" s="45">
        <v>2.2400000000000002</v>
      </c>
      <c r="G46" s="45">
        <v>2.4700000000000002</v>
      </c>
      <c r="H46" s="45">
        <v>2.7</v>
      </c>
      <c r="I46" s="45">
        <v>2.92</v>
      </c>
      <c r="J46" s="45">
        <v>3.15</v>
      </c>
      <c r="K46" s="45">
        <v>3.37</v>
      </c>
      <c r="L46" s="45">
        <v>3.6</v>
      </c>
      <c r="M46" s="45">
        <v>3.83</v>
      </c>
      <c r="N46" s="45">
        <v>4.05</v>
      </c>
      <c r="O46" s="45">
        <v>4.28</v>
      </c>
      <c r="P46" s="45">
        <v>4.51</v>
      </c>
      <c r="Q46" s="45">
        <v>4.7300000000000004</v>
      </c>
      <c r="R46" s="45">
        <v>4.96</v>
      </c>
      <c r="S46" s="45">
        <v>5.18</v>
      </c>
      <c r="T46" s="45">
        <v>5.41</v>
      </c>
      <c r="U46" s="45">
        <v>5.64</v>
      </c>
      <c r="V46" s="45">
        <v>5.86</v>
      </c>
      <c r="W46" s="45">
        <v>6.09</v>
      </c>
      <c r="X46" s="45">
        <v>6.31</v>
      </c>
      <c r="Y46" s="45">
        <v>6.54</v>
      </c>
      <c r="Z46" s="45">
        <v>6.77</v>
      </c>
      <c r="AA46" s="45">
        <v>6.99</v>
      </c>
      <c r="AB46" s="45">
        <v>7.22</v>
      </c>
      <c r="AC46" s="45">
        <v>7.45</v>
      </c>
    </row>
    <row r="47" spans="1:29" ht="15" customHeight="1" x14ac:dyDescent="0.25">
      <c r="A47" s="43">
        <v>2550</v>
      </c>
      <c r="B47" s="45">
        <v>1.4</v>
      </c>
      <c r="C47" s="45">
        <v>1.63</v>
      </c>
      <c r="D47" s="45">
        <v>1.87</v>
      </c>
      <c r="E47" s="45">
        <v>2.11</v>
      </c>
      <c r="F47" s="45">
        <v>2.34</v>
      </c>
      <c r="G47" s="45">
        <v>2.58</v>
      </c>
      <c r="H47" s="45">
        <v>2.81</v>
      </c>
      <c r="I47" s="45">
        <v>3.05</v>
      </c>
      <c r="J47" s="45">
        <v>3.29</v>
      </c>
      <c r="K47" s="45">
        <v>3.52</v>
      </c>
      <c r="L47" s="45">
        <v>3.76</v>
      </c>
      <c r="M47" s="45">
        <v>4</v>
      </c>
      <c r="N47" s="45">
        <v>4.2300000000000004</v>
      </c>
      <c r="O47" s="45">
        <v>4.47</v>
      </c>
      <c r="P47" s="45">
        <v>4.7</v>
      </c>
      <c r="Q47" s="45">
        <v>4.9400000000000004</v>
      </c>
      <c r="R47" s="45">
        <v>5.18</v>
      </c>
      <c r="S47" s="45">
        <v>5.41</v>
      </c>
      <c r="T47" s="45">
        <v>5.65</v>
      </c>
      <c r="U47" s="45">
        <v>5.89</v>
      </c>
      <c r="V47" s="45">
        <v>6.12</v>
      </c>
      <c r="W47" s="45">
        <v>6.36</v>
      </c>
      <c r="X47" s="45">
        <v>6.59</v>
      </c>
      <c r="Y47" s="45">
        <v>6.83</v>
      </c>
      <c r="Z47" s="45">
        <v>7.07</v>
      </c>
      <c r="AA47" s="45">
        <v>7.3</v>
      </c>
      <c r="AB47" s="45">
        <v>7.54</v>
      </c>
      <c r="AC47" s="45">
        <v>7.77</v>
      </c>
    </row>
    <row r="48" spans="1:29" ht="15" customHeight="1" x14ac:dyDescent="0.25">
      <c r="A48" s="43">
        <v>2650</v>
      </c>
      <c r="B48" s="45">
        <v>1.46</v>
      </c>
      <c r="C48" s="45">
        <v>1.7</v>
      </c>
      <c r="D48" s="45">
        <v>1.95</v>
      </c>
      <c r="E48" s="45">
        <v>2.2000000000000002</v>
      </c>
      <c r="F48" s="45">
        <v>2.44</v>
      </c>
      <c r="G48" s="45">
        <v>2.69</v>
      </c>
      <c r="H48" s="45">
        <v>2.93</v>
      </c>
      <c r="I48" s="45">
        <v>3.18</v>
      </c>
      <c r="J48" s="45">
        <v>3.43</v>
      </c>
      <c r="K48" s="45">
        <v>3.67</v>
      </c>
      <c r="L48" s="45">
        <v>3.92</v>
      </c>
      <c r="M48" s="45">
        <v>4.16</v>
      </c>
      <c r="N48" s="45">
        <v>4.41</v>
      </c>
      <c r="O48" s="45">
        <v>4.66</v>
      </c>
      <c r="P48" s="45">
        <v>4.9000000000000004</v>
      </c>
      <c r="Q48" s="45">
        <v>5.15</v>
      </c>
      <c r="R48" s="45">
        <v>5.4</v>
      </c>
      <c r="S48" s="45">
        <v>5.64</v>
      </c>
      <c r="T48" s="45">
        <v>5.89</v>
      </c>
      <c r="U48" s="45">
        <v>6.13</v>
      </c>
      <c r="V48" s="45">
        <v>6.38</v>
      </c>
      <c r="W48" s="45">
        <v>6.62</v>
      </c>
      <c r="X48" s="45">
        <v>6.87</v>
      </c>
      <c r="Y48" s="45">
        <v>7.12</v>
      </c>
      <c r="Z48" s="45">
        <v>7.37</v>
      </c>
      <c r="AA48" s="45">
        <v>7.61</v>
      </c>
      <c r="AB48" s="45">
        <v>7.86</v>
      </c>
      <c r="AC48" s="45">
        <v>8.1</v>
      </c>
    </row>
    <row r="49" spans="1:29" ht="15" customHeight="1" x14ac:dyDescent="0.25">
      <c r="A49" s="43">
        <v>2700</v>
      </c>
      <c r="B49" s="45">
        <v>1.52</v>
      </c>
      <c r="C49" s="45">
        <v>1.77</v>
      </c>
      <c r="D49" s="45">
        <v>2.0299999999999998</v>
      </c>
      <c r="E49" s="45">
        <v>2.2799999999999998</v>
      </c>
      <c r="F49" s="45">
        <v>2.54</v>
      </c>
      <c r="G49" s="45">
        <v>2.8</v>
      </c>
      <c r="H49" s="45">
        <v>3.05</v>
      </c>
      <c r="I49" s="45">
        <v>3.31</v>
      </c>
      <c r="J49" s="45">
        <v>3.57</v>
      </c>
      <c r="K49" s="45">
        <v>3.82</v>
      </c>
      <c r="L49" s="45">
        <v>4.08</v>
      </c>
      <c r="M49" s="45">
        <v>4.33</v>
      </c>
      <c r="N49" s="45">
        <v>4.59</v>
      </c>
      <c r="O49" s="45">
        <v>4.8499999999999996</v>
      </c>
      <c r="P49" s="45">
        <v>5.0999999999999996</v>
      </c>
      <c r="Q49" s="45">
        <v>5.36</v>
      </c>
      <c r="R49" s="45">
        <v>5.61</v>
      </c>
      <c r="S49" s="45">
        <v>5.87</v>
      </c>
      <c r="T49" s="45">
        <v>6.13</v>
      </c>
      <c r="U49" s="45">
        <v>6.38</v>
      </c>
      <c r="V49" s="45">
        <v>6.64</v>
      </c>
      <c r="W49" s="45">
        <v>6.9</v>
      </c>
      <c r="X49" s="45">
        <v>7.15</v>
      </c>
      <c r="Y49" s="45">
        <v>7.41</v>
      </c>
      <c r="Z49" s="45">
        <v>7.66</v>
      </c>
      <c r="AA49" s="45">
        <v>7.92</v>
      </c>
      <c r="AB49" s="45">
        <v>8.18</v>
      </c>
      <c r="AC49" s="45">
        <v>8.43</v>
      </c>
    </row>
    <row r="51" spans="1:29" ht="15" customHeight="1" x14ac:dyDescent="0.25">
      <c r="A51" s="46" t="s">
        <v>243</v>
      </c>
      <c r="B51" s="47">
        <v>271</v>
      </c>
      <c r="C51" s="47">
        <v>280</v>
      </c>
      <c r="D51" s="47">
        <v>285</v>
      </c>
      <c r="E51" s="47">
        <v>292</v>
      </c>
      <c r="F51" s="47">
        <v>298</v>
      </c>
      <c r="G51" s="47">
        <v>314</v>
      </c>
      <c r="H51" s="47">
        <v>321</v>
      </c>
      <c r="I51" s="47">
        <v>327</v>
      </c>
      <c r="J51" s="47">
        <v>333</v>
      </c>
      <c r="K51" s="47">
        <v>341</v>
      </c>
      <c r="L51" s="47">
        <v>348</v>
      </c>
      <c r="M51" s="47">
        <v>354</v>
      </c>
      <c r="N51" s="47">
        <v>363</v>
      </c>
      <c r="O51" s="47">
        <v>370</v>
      </c>
      <c r="P51" s="47">
        <v>375</v>
      </c>
      <c r="Q51" s="47">
        <v>382</v>
      </c>
      <c r="R51" s="47">
        <v>399</v>
      </c>
      <c r="S51" s="47">
        <v>406</v>
      </c>
      <c r="T51" s="47">
        <v>411</v>
      </c>
      <c r="U51" s="47">
        <v>418</v>
      </c>
      <c r="V51" s="47">
        <v>424</v>
      </c>
      <c r="W51" s="47">
        <v>430</v>
      </c>
      <c r="X51" s="47">
        <v>438</v>
      </c>
      <c r="Y51" s="47">
        <v>449</v>
      </c>
      <c r="Z51" s="47">
        <v>454</v>
      </c>
      <c r="AA51" s="47">
        <v>461</v>
      </c>
      <c r="AB51" s="47">
        <v>466</v>
      </c>
      <c r="AC51" s="47">
        <v>473</v>
      </c>
    </row>
    <row r="53" spans="1:29" ht="15" customHeight="1" x14ac:dyDescent="0.25">
      <c r="A53" s="121" t="s">
        <v>262</v>
      </c>
      <c r="B53" s="93"/>
      <c r="C53" s="93"/>
      <c r="D53" s="93"/>
      <c r="E53" s="93"/>
      <c r="F53" s="93"/>
      <c r="G53" s="93"/>
      <c r="H53" s="93"/>
      <c r="I53" s="93"/>
      <c r="J53" s="93"/>
      <c r="K53" s="93"/>
      <c r="L53" s="93"/>
      <c r="M53" s="93"/>
      <c r="N53" s="93"/>
      <c r="O53" s="93"/>
      <c r="P53" s="93"/>
      <c r="Q53" s="93"/>
      <c r="R53" s="93"/>
      <c r="S53" s="93"/>
      <c r="T53" s="93"/>
      <c r="U53" s="93"/>
      <c r="V53" s="93"/>
      <c r="W53" s="93"/>
      <c r="X53" s="93"/>
      <c r="Y53" s="93"/>
      <c r="Z53" s="93"/>
      <c r="AA53" s="93"/>
      <c r="AB53" s="93"/>
      <c r="AC53" s="93"/>
    </row>
    <row r="54" spans="1:29" ht="15" customHeight="1" x14ac:dyDescent="0.25">
      <c r="A54" s="48" t="s">
        <v>263</v>
      </c>
      <c r="B54" s="49">
        <f>Paramètres!$B$2</f>
        <v>0.51500000000000001</v>
      </c>
    </row>
    <row r="55" spans="1:29" ht="15" customHeight="1" x14ac:dyDescent="0.25">
      <c r="A55" s="43" t="s">
        <v>260</v>
      </c>
      <c r="B55" s="43">
        <v>800</v>
      </c>
      <c r="C55" s="43">
        <v>900</v>
      </c>
      <c r="D55" s="43">
        <v>1000</v>
      </c>
      <c r="E55" s="43">
        <v>1100</v>
      </c>
      <c r="F55" s="43">
        <v>1200</v>
      </c>
      <c r="G55" s="43">
        <v>1300</v>
      </c>
      <c r="H55" s="43">
        <v>1400</v>
      </c>
      <c r="I55" s="43">
        <v>1500</v>
      </c>
      <c r="J55" s="43">
        <v>1600</v>
      </c>
      <c r="K55" s="43">
        <v>1700</v>
      </c>
      <c r="L55" s="43">
        <v>1800</v>
      </c>
      <c r="M55" s="43">
        <v>1900</v>
      </c>
      <c r="N55" s="43">
        <v>2000</v>
      </c>
      <c r="O55" s="43">
        <v>2100</v>
      </c>
      <c r="P55" s="43">
        <v>2200</v>
      </c>
      <c r="Q55" s="43">
        <v>2300</v>
      </c>
      <c r="R55" s="43">
        <v>2400</v>
      </c>
      <c r="S55" s="43">
        <v>2500</v>
      </c>
      <c r="T55" s="43">
        <v>2600</v>
      </c>
      <c r="U55" s="43">
        <v>2700</v>
      </c>
      <c r="V55" s="43">
        <v>2800</v>
      </c>
      <c r="W55" s="43">
        <v>2900</v>
      </c>
      <c r="X55" s="43">
        <v>3000</v>
      </c>
      <c r="Y55" s="43">
        <v>3100</v>
      </c>
      <c r="Z55" s="43">
        <v>3200</v>
      </c>
      <c r="AA55" s="43">
        <v>3300</v>
      </c>
      <c r="AB55" s="43">
        <v>3400</v>
      </c>
      <c r="AC55" s="43">
        <v>3500</v>
      </c>
    </row>
    <row r="56" spans="1:29" ht="15" customHeight="1" x14ac:dyDescent="0.25">
      <c r="A56" s="43">
        <v>750</v>
      </c>
      <c r="B56" s="44">
        <f>B5*(1-Paramètres!$B$2)</f>
        <v>630.01499999999999</v>
      </c>
      <c r="C56" s="44">
        <f>C5*(1-Paramètres!$B$2)</f>
        <v>638.26</v>
      </c>
      <c r="D56" s="44">
        <f>D5*(1-Paramètres!$B$2)</f>
        <v>657.17499999999995</v>
      </c>
      <c r="E56" s="44">
        <f>E5*(1-Paramètres!$B$2)</f>
        <v>675.12</v>
      </c>
      <c r="F56" s="44">
        <f>F5*(1-Paramètres!$B$2)</f>
        <v>693.55</v>
      </c>
      <c r="G56" s="44">
        <f>G5*(1-Paramètres!$B$2)</f>
        <v>712.94999999999993</v>
      </c>
      <c r="H56" s="44">
        <f>H5*(1-Paramètres!$B$2)</f>
        <v>730.89499999999998</v>
      </c>
      <c r="I56" s="44">
        <f>I5*(1-Paramètres!$B$2)</f>
        <v>748.84</v>
      </c>
      <c r="J56" s="44">
        <f>J5*(1-Paramètres!$B$2)</f>
        <v>767.27</v>
      </c>
      <c r="K56" s="44">
        <f>K5*(1-Paramètres!$B$2)</f>
        <v>785.21500000000003</v>
      </c>
      <c r="L56" s="44">
        <f>L5*(1-Paramètres!$B$2)</f>
        <v>804.13</v>
      </c>
      <c r="M56" s="44">
        <f>M5*(1-Paramètres!$B$2)</f>
        <v>823.53</v>
      </c>
      <c r="N56" s="44">
        <f>N5*(1-Paramètres!$B$2)</f>
        <v>841.47500000000002</v>
      </c>
      <c r="O56" s="44">
        <f>O5*(1-Paramètres!$B$2)</f>
        <v>860.39</v>
      </c>
      <c r="P56" s="44">
        <f>P5*(1-Paramètres!$B$2)</f>
        <v>878.33499999999992</v>
      </c>
      <c r="Q56" s="44">
        <f>Q5*(1-Paramètres!$B$2)</f>
        <v>896.76499999999999</v>
      </c>
      <c r="R56" s="44">
        <f>R5*(1-Paramètres!$B$2)</f>
        <v>913.74</v>
      </c>
      <c r="S56" s="44">
        <f>S5*(1-Paramètres!$B$2)</f>
        <v>932.17</v>
      </c>
      <c r="T56" s="44">
        <f>T5*(1-Paramètres!$B$2)</f>
        <v>952.05499999999995</v>
      </c>
      <c r="U56" s="44">
        <f>U5*(1-Paramètres!$B$2)</f>
        <v>969.03</v>
      </c>
      <c r="V56" s="44">
        <f>V5*(1-Paramètres!$B$2)</f>
        <v>987.94499999999994</v>
      </c>
      <c r="W56" s="44">
        <f>W5*(1-Paramètres!$B$2)</f>
        <v>1006.86</v>
      </c>
      <c r="X56" s="44">
        <f>X5*(1-Paramètres!$B$2)</f>
        <v>1024.8050000000001</v>
      </c>
      <c r="Y56" s="44">
        <f>Y5*(1-Paramètres!$B$2)</f>
        <v>1123.7449999999999</v>
      </c>
      <c r="Z56" s="44">
        <f>Z5*(1-Paramètres!$B$2)</f>
        <v>1142.6600000000001</v>
      </c>
      <c r="AA56" s="44">
        <f>AA5*(1-Paramètres!$B$2)</f>
        <v>1159.635</v>
      </c>
      <c r="AB56" s="44">
        <f>AB5*(1-Paramètres!$B$2)</f>
        <v>1179.0349999999999</v>
      </c>
      <c r="AC56" s="44">
        <f>AC5*(1-Paramètres!$B$2)</f>
        <v>1197.4649999999999</v>
      </c>
    </row>
    <row r="57" spans="1:29" ht="15" customHeight="1" x14ac:dyDescent="0.25">
      <c r="A57" s="43">
        <v>850</v>
      </c>
      <c r="B57" s="44">
        <f>B6*(1-Paramètres!$B$2)</f>
        <v>630.01499999999999</v>
      </c>
      <c r="C57" s="44">
        <f>C6*(1-Paramètres!$B$2)</f>
        <v>638.26</v>
      </c>
      <c r="D57" s="44">
        <f>D6*(1-Paramètres!$B$2)</f>
        <v>657.17499999999995</v>
      </c>
      <c r="E57" s="44">
        <f>E6*(1-Paramètres!$B$2)</f>
        <v>675.12</v>
      </c>
      <c r="F57" s="44">
        <f>F6*(1-Paramètres!$B$2)</f>
        <v>693.55</v>
      </c>
      <c r="G57" s="44">
        <f>G6*(1-Paramètres!$B$2)</f>
        <v>712.94999999999993</v>
      </c>
      <c r="H57" s="44">
        <f>H6*(1-Paramètres!$B$2)</f>
        <v>730.89499999999998</v>
      </c>
      <c r="I57" s="44">
        <f>I6*(1-Paramètres!$B$2)</f>
        <v>748.84</v>
      </c>
      <c r="J57" s="44">
        <f>J6*(1-Paramètres!$B$2)</f>
        <v>767.27</v>
      </c>
      <c r="K57" s="44">
        <f>K6*(1-Paramètres!$B$2)</f>
        <v>785.21500000000003</v>
      </c>
      <c r="L57" s="44">
        <f>L6*(1-Paramètres!$B$2)</f>
        <v>804.13</v>
      </c>
      <c r="M57" s="44">
        <f>M6*(1-Paramètres!$B$2)</f>
        <v>823.53</v>
      </c>
      <c r="N57" s="44">
        <f>N6*(1-Paramètres!$B$2)</f>
        <v>841.47500000000002</v>
      </c>
      <c r="O57" s="44">
        <f>O6*(1-Paramètres!$B$2)</f>
        <v>860.39</v>
      </c>
      <c r="P57" s="44">
        <f>P6*(1-Paramètres!$B$2)</f>
        <v>878.33499999999992</v>
      </c>
      <c r="Q57" s="44">
        <f>Q6*(1-Paramètres!$B$2)</f>
        <v>896.76499999999999</v>
      </c>
      <c r="R57" s="44">
        <f>R6*(1-Paramètres!$B$2)</f>
        <v>913.74</v>
      </c>
      <c r="S57" s="44">
        <f>S6*(1-Paramètres!$B$2)</f>
        <v>932.17</v>
      </c>
      <c r="T57" s="44">
        <f>T6*(1-Paramètres!$B$2)</f>
        <v>952.05499999999995</v>
      </c>
      <c r="U57" s="44">
        <f>U6*(1-Paramètres!$B$2)</f>
        <v>969.03</v>
      </c>
      <c r="V57" s="44">
        <f>V6*(1-Paramètres!$B$2)</f>
        <v>987.94499999999994</v>
      </c>
      <c r="W57" s="44">
        <f>W6*(1-Paramètres!$B$2)</f>
        <v>1006.86</v>
      </c>
      <c r="X57" s="44">
        <f>X6*(1-Paramètres!$B$2)</f>
        <v>1024.8050000000001</v>
      </c>
      <c r="Y57" s="44">
        <f>Y6*(1-Paramètres!$B$2)</f>
        <v>1123.7449999999999</v>
      </c>
      <c r="Z57" s="44">
        <f>Z6*(1-Paramètres!$B$2)</f>
        <v>1142.6600000000001</v>
      </c>
      <c r="AA57" s="44">
        <f>AA6*(1-Paramètres!$B$2)</f>
        <v>1159.635</v>
      </c>
      <c r="AB57" s="44">
        <f>AB6*(1-Paramètres!$B$2)</f>
        <v>1179.0349999999999</v>
      </c>
      <c r="AC57" s="44">
        <f>AC6*(1-Paramètres!$B$2)</f>
        <v>1197.4649999999999</v>
      </c>
    </row>
    <row r="58" spans="1:29" ht="15" customHeight="1" x14ac:dyDescent="0.25">
      <c r="A58" s="43">
        <v>950</v>
      </c>
      <c r="B58" s="44">
        <f>B7*(1-Paramètres!$B$2)</f>
        <v>680.93999999999994</v>
      </c>
      <c r="C58" s="44">
        <f>C7*(1-Paramètres!$B$2)</f>
        <v>692.09500000000003</v>
      </c>
      <c r="D58" s="44">
        <f>D7*(1-Paramètres!$B$2)</f>
        <v>711.98</v>
      </c>
      <c r="E58" s="44">
        <f>E7*(1-Paramètres!$B$2)</f>
        <v>730.89499999999998</v>
      </c>
      <c r="F58" s="44">
        <f>F7*(1-Paramètres!$B$2)</f>
        <v>750.29499999999996</v>
      </c>
      <c r="G58" s="44">
        <f>G7*(1-Paramètres!$B$2)</f>
        <v>770.66499999999996</v>
      </c>
      <c r="H58" s="44">
        <f>H7*(1-Paramètres!$B$2)</f>
        <v>790.06499999999994</v>
      </c>
      <c r="I58" s="44">
        <f>I7*(1-Paramètres!$B$2)</f>
        <v>809.94999999999993</v>
      </c>
      <c r="J58" s="44">
        <f>J7*(1-Paramètres!$B$2)</f>
        <v>830.31999999999994</v>
      </c>
      <c r="K58" s="44">
        <f>K7*(1-Paramètres!$B$2)</f>
        <v>850.68999999999994</v>
      </c>
      <c r="L58" s="44">
        <f>L7*(1-Paramètres!$B$2)</f>
        <v>869.60500000000002</v>
      </c>
      <c r="M58" s="44">
        <f>M7*(1-Paramètres!$B$2)</f>
        <v>889.97500000000002</v>
      </c>
      <c r="N58" s="44">
        <f>N7*(1-Paramètres!$B$2)</f>
        <v>909.375</v>
      </c>
      <c r="O58" s="44">
        <f>O7*(1-Paramètres!$B$2)</f>
        <v>929.26</v>
      </c>
      <c r="P58" s="44">
        <f>P7*(1-Paramètres!$B$2)</f>
        <v>950.6</v>
      </c>
      <c r="Q58" s="44">
        <f>Q7*(1-Paramètres!$B$2)</f>
        <v>969.03</v>
      </c>
      <c r="R58" s="44">
        <f>R7*(1-Paramètres!$B$2)</f>
        <v>989.4</v>
      </c>
      <c r="S58" s="44">
        <f>S7*(1-Paramètres!$B$2)</f>
        <v>1008.8</v>
      </c>
      <c r="T58" s="44">
        <f>T7*(1-Paramètres!$B$2)</f>
        <v>1028.6849999999999</v>
      </c>
      <c r="U58" s="44">
        <f>U7*(1-Paramètres!$B$2)</f>
        <v>1048.085</v>
      </c>
      <c r="V58" s="44">
        <f>V7*(1-Paramètres!$B$2)</f>
        <v>1068.4549999999999</v>
      </c>
      <c r="W58" s="44">
        <f>W7*(1-Paramètres!$B$2)</f>
        <v>1089.7950000000001</v>
      </c>
      <c r="X58" s="44">
        <f>X7*(1-Paramètres!$B$2)</f>
        <v>1108.2249999999999</v>
      </c>
      <c r="Y58" s="44">
        <f>Y7*(1-Paramètres!$B$2)</f>
        <v>1209.5899999999999</v>
      </c>
      <c r="Z58" s="44">
        <f>Z7*(1-Paramètres!$B$2)</f>
        <v>1229.96</v>
      </c>
      <c r="AA58" s="44">
        <f>AA7*(1-Paramètres!$B$2)</f>
        <v>1250.33</v>
      </c>
      <c r="AB58" s="44">
        <f>AB7*(1-Paramètres!$B$2)</f>
        <v>1268.76</v>
      </c>
      <c r="AC58" s="44">
        <f>AC7*(1-Paramètres!$B$2)</f>
        <v>1289.1299999999999</v>
      </c>
    </row>
    <row r="59" spans="1:29" ht="15" customHeight="1" x14ac:dyDescent="0.25">
      <c r="A59" s="43">
        <v>1050</v>
      </c>
      <c r="B59" s="44">
        <f>B8*(1-Paramètres!$B$2)</f>
        <v>706.16</v>
      </c>
      <c r="C59" s="44">
        <f>C8*(1-Paramètres!$B$2)</f>
        <v>717.31499999999994</v>
      </c>
      <c r="D59" s="44">
        <f>D8*(1-Paramètres!$B$2)</f>
        <v>738.17</v>
      </c>
      <c r="E59" s="44">
        <f>E8*(1-Paramètres!$B$2)</f>
        <v>758.05499999999995</v>
      </c>
      <c r="F59" s="44">
        <f>F8*(1-Paramètres!$B$2)</f>
        <v>778.91</v>
      </c>
      <c r="G59" s="44">
        <f>G8*(1-Paramètres!$B$2)</f>
        <v>800.73500000000001</v>
      </c>
      <c r="H59" s="44">
        <f>H8*(1-Paramètres!$B$2)</f>
        <v>821.59</v>
      </c>
      <c r="I59" s="44">
        <f>I8*(1-Paramètres!$B$2)</f>
        <v>841.47500000000002</v>
      </c>
      <c r="J59" s="44">
        <f>J8*(1-Paramètres!$B$2)</f>
        <v>862.32999999999993</v>
      </c>
      <c r="K59" s="44">
        <f>K8*(1-Paramètres!$B$2)</f>
        <v>883.67</v>
      </c>
      <c r="L59" s="44">
        <f>L8*(1-Paramètres!$B$2)</f>
        <v>902.58499999999992</v>
      </c>
      <c r="M59" s="44">
        <f>M8*(1-Paramètres!$B$2)</f>
        <v>923.92499999999995</v>
      </c>
      <c r="N59" s="44">
        <f>N8*(1-Paramètres!$B$2)</f>
        <v>944.78</v>
      </c>
      <c r="O59" s="44">
        <f>O8*(1-Paramètres!$B$2)</f>
        <v>964.66499999999996</v>
      </c>
      <c r="P59" s="44">
        <f>P8*(1-Paramètres!$B$2)</f>
        <v>985.52</v>
      </c>
      <c r="Q59" s="44">
        <f>Q8*(1-Paramètres!$B$2)</f>
        <v>1006.375</v>
      </c>
      <c r="R59" s="44">
        <f>R8*(1-Paramètres!$B$2)</f>
        <v>1026.26</v>
      </c>
      <c r="S59" s="44">
        <f>S8*(1-Paramètres!$B$2)</f>
        <v>1046.6299999999999</v>
      </c>
      <c r="T59" s="44">
        <f>T8*(1-Paramètres!$B$2)</f>
        <v>1067.97</v>
      </c>
      <c r="U59" s="44">
        <f>U8*(1-Paramètres!$B$2)</f>
        <v>1088.3399999999999</v>
      </c>
      <c r="V59" s="44">
        <f>V8*(1-Paramètres!$B$2)</f>
        <v>1109.1949999999999</v>
      </c>
      <c r="W59" s="44">
        <f>W8*(1-Paramètres!$B$2)</f>
        <v>1129.5650000000001</v>
      </c>
      <c r="X59" s="44">
        <f>X8*(1-Paramètres!$B$2)</f>
        <v>1150.905</v>
      </c>
      <c r="Y59" s="44">
        <f>Y8*(1-Paramètres!$B$2)</f>
        <v>1252.27</v>
      </c>
      <c r="Z59" s="44">
        <f>Z8*(1-Paramètres!$B$2)</f>
        <v>1273.6099999999999</v>
      </c>
      <c r="AA59" s="44">
        <f>AA8*(1-Paramètres!$B$2)</f>
        <v>1294.4649999999999</v>
      </c>
      <c r="AB59" s="44">
        <f>AB8*(1-Paramètres!$B$2)</f>
        <v>1314.35</v>
      </c>
      <c r="AC59" s="44">
        <f>AC8*(1-Paramètres!$B$2)</f>
        <v>1335.69</v>
      </c>
    </row>
    <row r="60" spans="1:29" ht="15" customHeight="1" x14ac:dyDescent="0.25">
      <c r="A60" s="43">
        <v>1150</v>
      </c>
      <c r="B60" s="44">
        <f>B9*(1-Paramètres!$B$2)</f>
        <v>733.80499999999995</v>
      </c>
      <c r="C60" s="44">
        <f>C9*(1-Paramètres!$B$2)</f>
        <v>743.02</v>
      </c>
      <c r="D60" s="44">
        <f>D9*(1-Paramètres!$B$2)</f>
        <v>764.84500000000003</v>
      </c>
      <c r="E60" s="44">
        <f>E9*(1-Paramètres!$B$2)</f>
        <v>786.18499999999995</v>
      </c>
      <c r="F60" s="44">
        <f>F9*(1-Paramètres!$B$2)</f>
        <v>807.04</v>
      </c>
      <c r="G60" s="44">
        <f>G9*(1-Paramètres!$B$2)</f>
        <v>829.35</v>
      </c>
      <c r="H60" s="44">
        <f>H9*(1-Paramètres!$B$2)</f>
        <v>850.68999999999994</v>
      </c>
      <c r="I60" s="44">
        <f>I9*(1-Paramètres!$B$2)</f>
        <v>872.51499999999999</v>
      </c>
      <c r="J60" s="44">
        <f>J9*(1-Paramètres!$B$2)</f>
        <v>892.4</v>
      </c>
      <c r="K60" s="44">
        <f>K9*(1-Paramètres!$B$2)</f>
        <v>914.22500000000002</v>
      </c>
      <c r="L60" s="44">
        <f>L9*(1-Paramètres!$B$2)</f>
        <v>936.05</v>
      </c>
      <c r="M60" s="44">
        <f>M9*(1-Paramètres!$B$2)</f>
        <v>956.90499999999997</v>
      </c>
      <c r="N60" s="44">
        <f>N9*(1-Paramètres!$B$2)</f>
        <v>979.69999999999993</v>
      </c>
      <c r="O60" s="44">
        <f>O9*(1-Paramètres!$B$2)</f>
        <v>999.1</v>
      </c>
      <c r="P60" s="44">
        <f>P9*(1-Paramètres!$B$2)</f>
        <v>1022.38</v>
      </c>
      <c r="Q60" s="44">
        <f>Q9*(1-Paramètres!$B$2)</f>
        <v>1042.75</v>
      </c>
      <c r="R60" s="44">
        <f>R9*(1-Paramètres!$B$2)</f>
        <v>1064.575</v>
      </c>
      <c r="S60" s="44">
        <f>S9*(1-Paramètres!$B$2)</f>
        <v>1086.3999999999999</v>
      </c>
      <c r="T60" s="44">
        <f>T9*(1-Paramètres!$B$2)</f>
        <v>1106.77</v>
      </c>
      <c r="U60" s="44">
        <f>U9*(1-Paramètres!$B$2)</f>
        <v>1128.595</v>
      </c>
      <c r="V60" s="44">
        <f>V9*(1-Paramètres!$B$2)</f>
        <v>1150.42</v>
      </c>
      <c r="W60" s="44">
        <f>W9*(1-Paramètres!$B$2)</f>
        <v>1170.79</v>
      </c>
      <c r="X60" s="44">
        <f>X9*(1-Paramètres!$B$2)</f>
        <v>1193.0999999999999</v>
      </c>
      <c r="Y60" s="44">
        <f>Y9*(1-Paramètres!$B$2)</f>
        <v>1295.4349999999999</v>
      </c>
      <c r="Z60" s="44">
        <f>Z9*(1-Paramètres!$B$2)</f>
        <v>1317.26</v>
      </c>
      <c r="AA60" s="44">
        <f>AA9*(1-Paramètres!$B$2)</f>
        <v>1339.57</v>
      </c>
      <c r="AB60" s="44">
        <f>AB9*(1-Paramètres!$B$2)</f>
        <v>1358.97</v>
      </c>
      <c r="AC60" s="44">
        <f>AC9*(1-Paramètres!$B$2)</f>
        <v>1381.28</v>
      </c>
    </row>
    <row r="61" spans="1:29" ht="15" customHeight="1" x14ac:dyDescent="0.25">
      <c r="A61" s="43">
        <v>1250</v>
      </c>
      <c r="B61" s="44">
        <f>B10*(1-Paramètres!$B$2)</f>
        <v>758.05499999999995</v>
      </c>
      <c r="C61" s="44">
        <f>C10*(1-Paramètres!$B$2)</f>
        <v>768.72500000000002</v>
      </c>
      <c r="D61" s="44">
        <f>D10*(1-Paramètres!$B$2)</f>
        <v>792.005</v>
      </c>
      <c r="E61" s="44">
        <f>E10*(1-Paramètres!$B$2)</f>
        <v>813.82999999999993</v>
      </c>
      <c r="F61" s="44">
        <f>F10*(1-Paramètres!$B$2)</f>
        <v>835.65499999999997</v>
      </c>
      <c r="G61" s="44">
        <f>G10*(1-Paramètres!$B$2)</f>
        <v>857.48</v>
      </c>
      <c r="H61" s="44">
        <f>H10*(1-Paramètres!$B$2)</f>
        <v>881.245</v>
      </c>
      <c r="I61" s="44">
        <f>I10*(1-Paramètres!$B$2)</f>
        <v>903.06999999999994</v>
      </c>
      <c r="J61" s="44">
        <f>J10*(1-Paramètres!$B$2)</f>
        <v>925.38</v>
      </c>
      <c r="K61" s="44">
        <f>K10*(1-Paramètres!$B$2)</f>
        <v>946.72</v>
      </c>
      <c r="L61" s="44">
        <f>L10*(1-Paramètres!$B$2)</f>
        <v>968.54499999999996</v>
      </c>
      <c r="M61" s="44">
        <f>M10*(1-Paramètres!$B$2)</f>
        <v>990.85500000000002</v>
      </c>
      <c r="N61" s="44">
        <f>N10*(1-Paramètres!$B$2)</f>
        <v>1013.65</v>
      </c>
      <c r="O61" s="44">
        <f>O10*(1-Paramètres!$B$2)</f>
        <v>1035.96</v>
      </c>
      <c r="P61" s="44">
        <f>P10*(1-Paramètres!$B$2)</f>
        <v>1057.7850000000001</v>
      </c>
      <c r="Q61" s="44">
        <f>Q10*(1-Paramètres!$B$2)</f>
        <v>1079.125</v>
      </c>
      <c r="R61" s="44">
        <f>R10*(1-Paramètres!$B$2)</f>
        <v>1100.95</v>
      </c>
      <c r="S61" s="44">
        <f>S10*(1-Paramètres!$B$2)</f>
        <v>1123.7449999999999</v>
      </c>
      <c r="T61" s="44">
        <f>T10*(1-Paramètres!$B$2)</f>
        <v>1146.54</v>
      </c>
      <c r="U61" s="44">
        <f>U10*(1-Paramètres!$B$2)</f>
        <v>1168.8499999999999</v>
      </c>
      <c r="V61" s="44">
        <f>V10*(1-Paramètres!$B$2)</f>
        <v>1190.19</v>
      </c>
      <c r="W61" s="44">
        <f>W10*(1-Paramètres!$B$2)</f>
        <v>1212.0149999999999</v>
      </c>
      <c r="X61" s="44">
        <f>X10*(1-Paramètres!$B$2)</f>
        <v>1234.325</v>
      </c>
      <c r="Y61" s="44">
        <f>Y10*(1-Paramètres!$B$2)</f>
        <v>1338.6</v>
      </c>
      <c r="Z61" s="44">
        <f>Z10*(1-Paramètres!$B$2)</f>
        <v>1359.4549999999999</v>
      </c>
      <c r="AA61" s="44">
        <f>AA10*(1-Paramètres!$B$2)</f>
        <v>1382.7349999999999</v>
      </c>
      <c r="AB61" s="44">
        <f>AB10*(1-Paramètres!$B$2)</f>
        <v>1403.59</v>
      </c>
      <c r="AC61" s="44">
        <f>AC10*(1-Paramètres!$B$2)</f>
        <v>1426.385</v>
      </c>
    </row>
    <row r="62" spans="1:29" ht="15" customHeight="1" x14ac:dyDescent="0.25">
      <c r="A62" s="43">
        <v>1350</v>
      </c>
      <c r="B62" s="44">
        <f>B11*(1-Paramètres!$B$2)</f>
        <v>784.245</v>
      </c>
      <c r="C62" s="44">
        <f>C11*(1-Paramètres!$B$2)</f>
        <v>796.85500000000002</v>
      </c>
      <c r="D62" s="44">
        <f>D11*(1-Paramètres!$B$2)</f>
        <v>820.62</v>
      </c>
      <c r="E62" s="44">
        <f>E11*(1-Paramètres!$B$2)</f>
        <v>841.95999999999992</v>
      </c>
      <c r="F62" s="44">
        <f>F11*(1-Paramètres!$B$2)</f>
        <v>864.755</v>
      </c>
      <c r="G62" s="44">
        <f>G11*(1-Paramètres!$B$2)</f>
        <v>887.55</v>
      </c>
      <c r="H62" s="44">
        <f>H11*(1-Paramètres!$B$2)</f>
        <v>910.34500000000003</v>
      </c>
      <c r="I62" s="44">
        <f>I11*(1-Paramètres!$B$2)</f>
        <v>933.14</v>
      </c>
      <c r="J62" s="44">
        <f>J11*(1-Paramètres!$B$2)</f>
        <v>956.42</v>
      </c>
      <c r="K62" s="44">
        <f>K11*(1-Paramètres!$B$2)</f>
        <v>979.69999999999993</v>
      </c>
      <c r="L62" s="44">
        <f>L11*(1-Paramètres!$B$2)</f>
        <v>1002.495</v>
      </c>
      <c r="M62" s="44">
        <f>M11*(1-Paramètres!$B$2)</f>
        <v>1026.7449999999999</v>
      </c>
      <c r="N62" s="44">
        <f>N11*(1-Paramètres!$B$2)</f>
        <v>1049.0550000000001</v>
      </c>
      <c r="O62" s="44">
        <f>O11*(1-Paramètres!$B$2)</f>
        <v>1069.9100000000001</v>
      </c>
      <c r="P62" s="44">
        <f>P11*(1-Paramètres!$B$2)</f>
        <v>1094.1600000000001</v>
      </c>
      <c r="Q62" s="44">
        <f>Q11*(1-Paramètres!$B$2)</f>
        <v>1116.9549999999999</v>
      </c>
      <c r="R62" s="44">
        <f>R11*(1-Paramètres!$B$2)</f>
        <v>1139.75</v>
      </c>
      <c r="S62" s="44">
        <f>S11*(1-Paramètres!$B$2)</f>
        <v>1162.5450000000001</v>
      </c>
      <c r="T62" s="44">
        <f>T11*(1-Paramètres!$B$2)</f>
        <v>1184.3699999999999</v>
      </c>
      <c r="U62" s="44">
        <f>U11*(1-Paramètres!$B$2)</f>
        <v>1208.135</v>
      </c>
      <c r="V62" s="44">
        <f>V11*(1-Paramètres!$B$2)</f>
        <v>1230.93</v>
      </c>
      <c r="W62" s="44">
        <f>W11*(1-Paramètres!$B$2)</f>
        <v>1253.7249999999999</v>
      </c>
      <c r="X62" s="44">
        <f>X11*(1-Paramètres!$B$2)</f>
        <v>1276.52</v>
      </c>
      <c r="Y62" s="44">
        <f>Y11*(1-Paramètres!$B$2)</f>
        <v>1380.7950000000001</v>
      </c>
      <c r="Z62" s="44">
        <f>Z11*(1-Paramètres!$B$2)</f>
        <v>1403.105</v>
      </c>
      <c r="AA62" s="44">
        <f>AA11*(1-Paramètres!$B$2)</f>
        <v>1426.385</v>
      </c>
      <c r="AB62" s="44">
        <f>AB11*(1-Paramètres!$B$2)</f>
        <v>1447.7249999999999</v>
      </c>
      <c r="AC62" s="44">
        <f>AC11*(1-Paramètres!$B$2)</f>
        <v>1471.49</v>
      </c>
    </row>
    <row r="63" spans="1:29" ht="15" customHeight="1" x14ac:dyDescent="0.25">
      <c r="A63" s="43">
        <v>1450</v>
      </c>
      <c r="B63" s="44">
        <f>B12*(1-Paramètres!$B$2)</f>
        <v>810.43499999999995</v>
      </c>
      <c r="C63" s="44">
        <f>C12*(1-Paramètres!$B$2)</f>
        <v>823.53</v>
      </c>
      <c r="D63" s="44">
        <f>D12*(1-Paramètres!$B$2)</f>
        <v>846.32499999999993</v>
      </c>
      <c r="E63" s="44">
        <f>E12*(1-Paramètres!$B$2)</f>
        <v>868.63499999999999</v>
      </c>
      <c r="F63" s="44">
        <f>F12*(1-Paramètres!$B$2)</f>
        <v>892.4</v>
      </c>
      <c r="G63" s="44">
        <f>G12*(1-Paramètres!$B$2)</f>
        <v>917.13499999999999</v>
      </c>
      <c r="H63" s="44">
        <f>H12*(1-Paramètres!$B$2)</f>
        <v>940.9</v>
      </c>
      <c r="I63" s="44">
        <f>I12*(1-Paramètres!$B$2)</f>
        <v>963.69499999999994</v>
      </c>
      <c r="J63" s="44">
        <f>J12*(1-Paramètres!$B$2)</f>
        <v>987.45999999999992</v>
      </c>
      <c r="K63" s="44">
        <f>K12*(1-Paramètres!$B$2)</f>
        <v>1012.1949999999999</v>
      </c>
      <c r="L63" s="44">
        <f>L12*(1-Paramètres!$B$2)</f>
        <v>1035.96</v>
      </c>
      <c r="M63" s="44">
        <f>M12*(1-Paramètres!$B$2)</f>
        <v>1058.7549999999999</v>
      </c>
      <c r="N63" s="44">
        <f>N12*(1-Paramètres!$B$2)</f>
        <v>1080.58</v>
      </c>
      <c r="O63" s="44">
        <f>O12*(1-Paramètres!$B$2)</f>
        <v>1105.3150000000001</v>
      </c>
      <c r="P63" s="44">
        <f>P12*(1-Paramètres!$B$2)</f>
        <v>1129.08</v>
      </c>
      <c r="Q63" s="44">
        <f>Q12*(1-Paramètres!$B$2)</f>
        <v>1152.845</v>
      </c>
      <c r="R63" s="44">
        <f>R12*(1-Paramètres!$B$2)</f>
        <v>1176.6099999999999</v>
      </c>
      <c r="S63" s="44">
        <f>S12*(1-Paramètres!$B$2)</f>
        <v>1199.8899999999999</v>
      </c>
      <c r="T63" s="44">
        <f>T12*(1-Paramètres!$B$2)</f>
        <v>1224.625</v>
      </c>
      <c r="U63" s="44">
        <f>U12*(1-Paramètres!$B$2)</f>
        <v>1247.42</v>
      </c>
      <c r="V63" s="44">
        <f>V12*(1-Paramètres!$B$2)</f>
        <v>1270.7</v>
      </c>
      <c r="W63" s="44">
        <f>W12*(1-Paramètres!$B$2)</f>
        <v>1295.4349999999999</v>
      </c>
      <c r="X63" s="44">
        <f>X12*(1-Paramètres!$B$2)</f>
        <v>1318.23</v>
      </c>
      <c r="Y63" s="44">
        <f>Y12*(1-Paramètres!$B$2)</f>
        <v>1422.5049999999999</v>
      </c>
      <c r="Z63" s="44">
        <f>Z12*(1-Paramètres!$B$2)</f>
        <v>1446.27</v>
      </c>
      <c r="AA63" s="44">
        <f>AA12*(1-Paramètres!$B$2)</f>
        <v>1470.0349999999999</v>
      </c>
      <c r="AB63" s="44">
        <f>AB12*(1-Paramètres!$B$2)</f>
        <v>1493.8</v>
      </c>
      <c r="AC63" s="44">
        <f>AC12*(1-Paramètres!$B$2)</f>
        <v>1517.5650000000001</v>
      </c>
    </row>
    <row r="64" spans="1:29" ht="15" customHeight="1" x14ac:dyDescent="0.25">
      <c r="A64" s="43">
        <v>1550</v>
      </c>
      <c r="B64" s="44">
        <f>B13*(1-Paramètres!$B$2)</f>
        <v>835.65499999999997</v>
      </c>
      <c r="C64" s="44">
        <f>C13*(1-Paramètres!$B$2)</f>
        <v>848.26499999999999</v>
      </c>
      <c r="D64" s="44">
        <f>D13*(1-Paramètres!$B$2)</f>
        <v>873</v>
      </c>
      <c r="E64" s="44">
        <f>E13*(1-Paramètres!$B$2)</f>
        <v>897.25</v>
      </c>
      <c r="F64" s="44">
        <f>F13*(1-Paramètres!$B$2)</f>
        <v>922.47</v>
      </c>
      <c r="G64" s="44">
        <f>G13*(1-Paramètres!$B$2)</f>
        <v>945.75</v>
      </c>
      <c r="H64" s="44">
        <f>H13*(1-Paramètres!$B$2)</f>
        <v>969.51499999999999</v>
      </c>
      <c r="I64" s="44">
        <f>I13*(1-Paramètres!$B$2)</f>
        <v>994.73500000000001</v>
      </c>
      <c r="J64" s="44">
        <f>J13*(1-Paramètres!$B$2)</f>
        <v>1018.5</v>
      </c>
      <c r="K64" s="44">
        <f>K13*(1-Paramètres!$B$2)</f>
        <v>1043.2349999999999</v>
      </c>
      <c r="L64" s="44">
        <f>L13*(1-Paramètres!$B$2)</f>
        <v>1067.97</v>
      </c>
      <c r="M64" s="44">
        <f>M13*(1-Paramètres!$B$2)</f>
        <v>1092.7049999999999</v>
      </c>
      <c r="N64" s="44">
        <f>N13*(1-Paramètres!$B$2)</f>
        <v>1117.44</v>
      </c>
      <c r="O64" s="44">
        <f>O13*(1-Paramètres!$B$2)</f>
        <v>1141.2049999999999</v>
      </c>
      <c r="P64" s="44">
        <f>P13*(1-Paramètres!$B$2)</f>
        <v>1165.4549999999999</v>
      </c>
      <c r="Q64" s="44">
        <f>Q13*(1-Paramètres!$B$2)</f>
        <v>1189.7049999999999</v>
      </c>
      <c r="R64" s="44">
        <f>R13*(1-Paramètres!$B$2)</f>
        <v>1213.47</v>
      </c>
      <c r="S64" s="44">
        <f>S13*(1-Paramètres!$B$2)</f>
        <v>1237.72</v>
      </c>
      <c r="T64" s="44">
        <f>T13*(1-Paramètres!$B$2)</f>
        <v>1262.4549999999999</v>
      </c>
      <c r="U64" s="44">
        <f>U13*(1-Paramètres!$B$2)</f>
        <v>1286.22</v>
      </c>
      <c r="V64" s="44">
        <f>V13*(1-Paramètres!$B$2)</f>
        <v>1310.9549999999999</v>
      </c>
      <c r="W64" s="44">
        <f>W13*(1-Paramètres!$B$2)</f>
        <v>1336.175</v>
      </c>
      <c r="X64" s="44">
        <f>X13*(1-Paramètres!$B$2)</f>
        <v>1360.425</v>
      </c>
      <c r="Y64" s="44">
        <f>Y13*(1-Paramètres!$B$2)</f>
        <v>1466.6399999999999</v>
      </c>
      <c r="Z64" s="44">
        <f>Z13*(1-Paramètres!$B$2)</f>
        <v>1490.8899999999999</v>
      </c>
      <c r="AA64" s="44">
        <f>AA13*(1-Paramètres!$B$2)</f>
        <v>1514.1699999999998</v>
      </c>
      <c r="AB64" s="44">
        <f>AB13*(1-Paramètres!$B$2)</f>
        <v>1538.4199999999998</v>
      </c>
      <c r="AC64" s="44">
        <f>AC13*(1-Paramètres!$B$2)</f>
        <v>1562.1849999999999</v>
      </c>
    </row>
    <row r="65" spans="1:29" ht="15" customHeight="1" x14ac:dyDescent="0.25">
      <c r="A65" s="43">
        <v>1650</v>
      </c>
      <c r="B65" s="44">
        <f>B14*(1-Paramètres!$B$2)</f>
        <v>862.81499999999994</v>
      </c>
      <c r="C65" s="44">
        <f>C14*(1-Paramètres!$B$2)</f>
        <v>874.45499999999993</v>
      </c>
      <c r="D65" s="44">
        <f>D14*(1-Paramètres!$B$2)</f>
        <v>900.64499999999998</v>
      </c>
      <c r="E65" s="44">
        <f>E14*(1-Paramètres!$B$2)</f>
        <v>925.38</v>
      </c>
      <c r="F65" s="44">
        <f>F14*(1-Paramètres!$B$2)</f>
        <v>950.6</v>
      </c>
      <c r="G65" s="44">
        <f>G14*(1-Paramètres!$B$2)</f>
        <v>975.33499999999992</v>
      </c>
      <c r="H65" s="44">
        <f>H14*(1-Paramètres!$B$2)</f>
        <v>1001.04</v>
      </c>
      <c r="I65" s="44">
        <f>I14*(1-Paramètres!$B$2)</f>
        <v>1025.29</v>
      </c>
      <c r="J65" s="44">
        <f>J14*(1-Paramètres!$B$2)</f>
        <v>1050.51</v>
      </c>
      <c r="K65" s="44">
        <f>K14*(1-Paramètres!$B$2)</f>
        <v>1075.73</v>
      </c>
      <c r="L65" s="44">
        <f>L14*(1-Paramètres!$B$2)</f>
        <v>1100.4649999999999</v>
      </c>
      <c r="M65" s="44">
        <f>M14*(1-Paramètres!$B$2)</f>
        <v>1126.17</v>
      </c>
      <c r="N65" s="44">
        <f>N14*(1-Paramètres!$B$2)</f>
        <v>1151.3899999999999</v>
      </c>
      <c r="O65" s="44">
        <f>O14*(1-Paramètres!$B$2)</f>
        <v>1176.125</v>
      </c>
      <c r="P65" s="44">
        <f>P14*(1-Paramètres!$B$2)</f>
        <v>1201.83</v>
      </c>
      <c r="Q65" s="44">
        <f>Q14*(1-Paramètres!$B$2)</f>
        <v>1226.5650000000001</v>
      </c>
      <c r="R65" s="44">
        <f>R14*(1-Paramètres!$B$2)</f>
        <v>1251.7849999999999</v>
      </c>
      <c r="S65" s="44">
        <f>S14*(1-Paramètres!$B$2)</f>
        <v>1276.52</v>
      </c>
      <c r="T65" s="44">
        <f>T14*(1-Paramètres!$B$2)</f>
        <v>1301.74</v>
      </c>
      <c r="U65" s="44">
        <f>U14*(1-Paramètres!$B$2)</f>
        <v>1326.4749999999999</v>
      </c>
      <c r="V65" s="44">
        <f>V14*(1-Paramètres!$B$2)</f>
        <v>1351.6949999999999</v>
      </c>
      <c r="W65" s="44">
        <f>W14*(1-Paramètres!$B$2)</f>
        <v>1377.885</v>
      </c>
      <c r="X65" s="44">
        <f>X14*(1-Paramètres!$B$2)</f>
        <v>1402.135</v>
      </c>
      <c r="Y65" s="44">
        <f>Y14*(1-Paramètres!$B$2)</f>
        <v>1508.35</v>
      </c>
      <c r="Z65" s="44">
        <f>Z14*(1-Paramètres!$B$2)</f>
        <v>1533.085</v>
      </c>
      <c r="AA65" s="44">
        <f>AA14*(1-Paramètres!$B$2)</f>
        <v>1558.3050000000001</v>
      </c>
      <c r="AB65" s="44">
        <f>AB14*(1-Paramètres!$B$2)</f>
        <v>1584.01</v>
      </c>
      <c r="AC65" s="44">
        <f>AC14*(1-Paramètres!$B$2)</f>
        <v>1609.23</v>
      </c>
    </row>
    <row r="66" spans="1:29" ht="15" customHeight="1" x14ac:dyDescent="0.25">
      <c r="A66" s="43">
        <v>1750</v>
      </c>
      <c r="B66" s="44">
        <f>B15*(1-Paramètres!$B$2)</f>
        <v>888.03499999999997</v>
      </c>
      <c r="C66" s="44">
        <f>C15*(1-Paramètres!$B$2)</f>
        <v>901.61500000000001</v>
      </c>
      <c r="D66" s="44">
        <f>D15*(1-Paramètres!$B$2)</f>
        <v>926.83499999999992</v>
      </c>
      <c r="E66" s="44">
        <f>E15*(1-Paramètres!$B$2)</f>
        <v>952.54</v>
      </c>
      <c r="F66" s="44">
        <f>F15*(1-Paramètres!$B$2)</f>
        <v>979.69999999999993</v>
      </c>
      <c r="G66" s="44">
        <f>G15*(1-Paramètres!$B$2)</f>
        <v>1005.405</v>
      </c>
      <c r="H66" s="44">
        <f>H15*(1-Paramètres!$B$2)</f>
        <v>1031.595</v>
      </c>
      <c r="I66" s="44">
        <f>I15*(1-Paramètres!$B$2)</f>
        <v>1056.8150000000001</v>
      </c>
      <c r="J66" s="44">
        <f>J15*(1-Paramètres!$B$2)</f>
        <v>1080.58</v>
      </c>
      <c r="K66" s="44">
        <f>K15*(1-Paramètres!$B$2)</f>
        <v>1107.2549999999999</v>
      </c>
      <c r="L66" s="44">
        <f>L15*(1-Paramètres!$B$2)</f>
        <v>1133.4449999999999</v>
      </c>
      <c r="M66" s="44">
        <f>M15*(1-Paramètres!$B$2)</f>
        <v>1158.665</v>
      </c>
      <c r="N66" s="44">
        <f>N15*(1-Paramètres!$B$2)</f>
        <v>1184.855</v>
      </c>
      <c r="O66" s="44">
        <f>O15*(1-Paramètres!$B$2)</f>
        <v>1210.56</v>
      </c>
      <c r="P66" s="44">
        <f>P15*(1-Paramètres!$B$2)</f>
        <v>1236.75</v>
      </c>
      <c r="Q66" s="44">
        <f>Q15*(1-Paramètres!$B$2)</f>
        <v>1262.94</v>
      </c>
      <c r="R66" s="44">
        <f>R15*(1-Paramètres!$B$2)</f>
        <v>1289.1299999999999</v>
      </c>
      <c r="S66" s="44">
        <f>S15*(1-Paramètres!$B$2)</f>
        <v>1314.835</v>
      </c>
      <c r="T66" s="44">
        <f>T15*(1-Paramètres!$B$2)</f>
        <v>1340.54</v>
      </c>
      <c r="U66" s="44">
        <f>U15*(1-Paramètres!$B$2)</f>
        <v>1366.2449999999999</v>
      </c>
      <c r="V66" s="44">
        <f>V15*(1-Paramètres!$B$2)</f>
        <v>1391.95</v>
      </c>
      <c r="W66" s="44">
        <f>W15*(1-Paramètres!$B$2)</f>
        <v>1418.625</v>
      </c>
      <c r="X66" s="44">
        <f>X15*(1-Paramètres!$B$2)</f>
        <v>1443.845</v>
      </c>
      <c r="Y66" s="44">
        <f>Y15*(1-Paramètres!$B$2)</f>
        <v>1551.03</v>
      </c>
      <c r="Z66" s="44">
        <f>Z15*(1-Paramètres!$B$2)</f>
        <v>1577.22</v>
      </c>
      <c r="AA66" s="44">
        <f>AA15*(1-Paramètres!$B$2)</f>
        <v>1602.44</v>
      </c>
      <c r="AB66" s="44">
        <f>AB15*(1-Paramètres!$B$2)</f>
        <v>1843.4849999999999</v>
      </c>
      <c r="AC66" s="44">
        <f>AC15*(1-Paramètres!$B$2)</f>
        <v>1876.4649999999999</v>
      </c>
    </row>
    <row r="67" spans="1:29" ht="15" customHeight="1" x14ac:dyDescent="0.25">
      <c r="A67" s="43">
        <v>1850</v>
      </c>
      <c r="B67" s="44">
        <f>B16*(1-Paramètres!$B$2)</f>
        <v>913.74</v>
      </c>
      <c r="C67" s="44">
        <f>C16*(1-Paramètres!$B$2)</f>
        <v>927.80499999999995</v>
      </c>
      <c r="D67" s="44">
        <f>D16*(1-Paramètres!$B$2)</f>
        <v>953.995</v>
      </c>
      <c r="E67" s="44">
        <f>E16*(1-Paramètres!$B$2)</f>
        <v>980.67</v>
      </c>
      <c r="F67" s="44">
        <f>F16*(1-Paramètres!$B$2)</f>
        <v>1007.345</v>
      </c>
      <c r="G67" s="44">
        <f>G16*(1-Paramètres!$B$2)</f>
        <v>1034.99</v>
      </c>
      <c r="H67" s="44">
        <f>H16*(1-Paramètres!$B$2)</f>
        <v>1060.21</v>
      </c>
      <c r="I67" s="44">
        <f>I16*(1-Paramètres!$B$2)</f>
        <v>1087.855</v>
      </c>
      <c r="J67" s="44">
        <f>J16*(1-Paramètres!$B$2)</f>
        <v>1112.105</v>
      </c>
      <c r="K67" s="44">
        <f>K16*(1-Paramètres!$B$2)</f>
        <v>1140.2349999999999</v>
      </c>
      <c r="L67" s="44">
        <f>L16*(1-Paramètres!$B$2)</f>
        <v>1166.9099999999999</v>
      </c>
      <c r="M67" s="44">
        <f>M16*(1-Paramètres!$B$2)</f>
        <v>1194.07</v>
      </c>
      <c r="N67" s="44">
        <f>N16*(1-Paramètres!$B$2)</f>
        <v>1219.29</v>
      </c>
      <c r="O67" s="44">
        <f>O16*(1-Paramètres!$B$2)</f>
        <v>1246.9349999999999</v>
      </c>
      <c r="P67" s="44">
        <f>P16*(1-Paramètres!$B$2)</f>
        <v>1273.6099999999999</v>
      </c>
      <c r="Q67" s="44">
        <f>Q16*(1-Paramètres!$B$2)</f>
        <v>1300.2849999999999</v>
      </c>
      <c r="R67" s="44">
        <f>R16*(1-Paramètres!$B$2)</f>
        <v>1326.4749999999999</v>
      </c>
      <c r="S67" s="44">
        <f>S16*(1-Paramètres!$B$2)</f>
        <v>1355.09</v>
      </c>
      <c r="T67" s="44">
        <f>T16*(1-Paramètres!$B$2)</f>
        <v>1379.825</v>
      </c>
      <c r="U67" s="44">
        <f>U16*(1-Paramètres!$B$2)</f>
        <v>1406.5</v>
      </c>
      <c r="V67" s="44">
        <f>V16*(1-Paramètres!$B$2)</f>
        <v>1432.69</v>
      </c>
      <c r="W67" s="44">
        <f>W16*(1-Paramètres!$B$2)</f>
        <v>1459.365</v>
      </c>
      <c r="X67" s="44">
        <f>X16*(1-Paramètres!$B$2)</f>
        <v>1485.5550000000001</v>
      </c>
      <c r="Y67" s="44">
        <f>Y16*(1-Paramètres!$B$2)</f>
        <v>1593.71</v>
      </c>
      <c r="Z67" s="44">
        <f>Z16*(1-Paramètres!$B$2)</f>
        <v>1834.7549999999999</v>
      </c>
      <c r="AA67" s="44">
        <f>AA16*(1-Paramètres!$B$2)</f>
        <v>1868.22</v>
      </c>
      <c r="AB67" s="44">
        <f>AB16*(1-Paramètres!$B$2)</f>
        <v>1901.2</v>
      </c>
      <c r="AC67" s="44">
        <f>AC16*(1-Paramètres!$B$2)</f>
        <v>1934.1799999999998</v>
      </c>
    </row>
    <row r="68" spans="1:29" ht="15" customHeight="1" x14ac:dyDescent="0.25">
      <c r="A68" s="43">
        <v>1950</v>
      </c>
      <c r="B68" s="44">
        <f>B17*(1-Paramètres!$B$2)</f>
        <v>940.9</v>
      </c>
      <c r="C68" s="44">
        <f>C17*(1-Paramètres!$B$2)</f>
        <v>953.995</v>
      </c>
      <c r="D68" s="44">
        <f>D17*(1-Paramètres!$B$2)</f>
        <v>981.15499999999997</v>
      </c>
      <c r="E68" s="44">
        <f>E17*(1-Paramètres!$B$2)</f>
        <v>1008.3149999999999</v>
      </c>
      <c r="F68" s="44">
        <f>F17*(1-Paramètres!$B$2)</f>
        <v>1036.4449999999999</v>
      </c>
      <c r="G68" s="44">
        <f>G17*(1-Paramètres!$B$2)</f>
        <v>1063.605</v>
      </c>
      <c r="H68" s="44">
        <f>H17*(1-Paramètres!$B$2)</f>
        <v>1090.7649999999999</v>
      </c>
      <c r="I68" s="44">
        <f>I17*(1-Paramètres!$B$2)</f>
        <v>1117.925</v>
      </c>
      <c r="J68" s="44">
        <f>J17*(1-Paramètres!$B$2)</f>
        <v>1146.0550000000001</v>
      </c>
      <c r="K68" s="44">
        <f>K17*(1-Paramètres!$B$2)</f>
        <v>1172.73</v>
      </c>
      <c r="L68" s="44">
        <f>L17*(1-Paramètres!$B$2)</f>
        <v>1199.8899999999999</v>
      </c>
      <c r="M68" s="44">
        <f>M17*(1-Paramètres!$B$2)</f>
        <v>1227.5349999999999</v>
      </c>
      <c r="N68" s="44">
        <f>N17*(1-Paramètres!$B$2)</f>
        <v>1255.18</v>
      </c>
      <c r="O68" s="44">
        <f>O17*(1-Paramètres!$B$2)</f>
        <v>1281.3699999999999</v>
      </c>
      <c r="P68" s="44">
        <f>P17*(1-Paramètres!$B$2)</f>
        <v>1308.53</v>
      </c>
      <c r="Q68" s="44">
        <f>Q17*(1-Paramètres!$B$2)</f>
        <v>1336.6599999999999</v>
      </c>
      <c r="R68" s="44">
        <f>R17*(1-Paramètres!$B$2)</f>
        <v>1363.335</v>
      </c>
      <c r="S68" s="44">
        <f>S17*(1-Paramètres!$B$2)</f>
        <v>1390.4949999999999</v>
      </c>
      <c r="T68" s="44">
        <f>T17*(1-Paramètres!$B$2)</f>
        <v>1418.625</v>
      </c>
      <c r="U68" s="44">
        <f>U17*(1-Paramètres!$B$2)</f>
        <v>1445.7849999999999</v>
      </c>
      <c r="V68" s="44">
        <f>V17*(1-Paramètres!$B$2)</f>
        <v>1472.46</v>
      </c>
      <c r="W68" s="44">
        <f>W17*(1-Paramètres!$B$2)</f>
        <v>1500.105</v>
      </c>
      <c r="X68" s="44">
        <f>X17*(1-Paramètres!$B$2)</f>
        <v>1739.6949999999999</v>
      </c>
      <c r="Y68" s="44">
        <f>Y17*(1-Paramètres!$B$2)</f>
        <v>1855.61</v>
      </c>
      <c r="Z68" s="44">
        <f>Z17*(1-Paramètres!$B$2)</f>
        <v>1889.56</v>
      </c>
      <c r="AA68" s="44">
        <f>AA17*(1-Paramètres!$B$2)</f>
        <v>1923.51</v>
      </c>
      <c r="AB68" s="44">
        <f>AB17*(1-Paramètres!$B$2)</f>
        <v>1958.4299999999998</v>
      </c>
      <c r="AC68" s="44">
        <f>AC17*(1-Paramètres!$B$2)</f>
        <v>1991.895</v>
      </c>
    </row>
    <row r="69" spans="1:29" ht="15" customHeight="1" x14ac:dyDescent="0.25">
      <c r="A69" s="43">
        <v>2050</v>
      </c>
      <c r="B69" s="44">
        <f>B18*(1-Paramètres!$B$2)</f>
        <v>965.15</v>
      </c>
      <c r="C69" s="44">
        <f>C18*(1-Paramètres!$B$2)</f>
        <v>980.67</v>
      </c>
      <c r="D69" s="44">
        <f>D18*(1-Paramètres!$B$2)</f>
        <v>1008.3149999999999</v>
      </c>
      <c r="E69" s="44">
        <f>E18*(1-Paramètres!$B$2)</f>
        <v>1036.4449999999999</v>
      </c>
      <c r="F69" s="44">
        <f>F18*(1-Paramètres!$B$2)</f>
        <v>1064.575</v>
      </c>
      <c r="G69" s="44">
        <f>G18*(1-Paramètres!$B$2)</f>
        <v>1092.7049999999999</v>
      </c>
      <c r="H69" s="44">
        <f>H18*(1-Paramètres!$B$2)</f>
        <v>1119.865</v>
      </c>
      <c r="I69" s="44">
        <f>I18*(1-Paramètres!$B$2)</f>
        <v>1148.9649999999999</v>
      </c>
      <c r="J69" s="44">
        <f>J18*(1-Paramètres!$B$2)</f>
        <v>1176.125</v>
      </c>
      <c r="K69" s="44">
        <f>K18*(1-Paramètres!$B$2)</f>
        <v>1205.2249999999999</v>
      </c>
      <c r="L69" s="44">
        <f>L18*(1-Paramètres!$B$2)</f>
        <v>1233.355</v>
      </c>
      <c r="M69" s="44">
        <f>M18*(1-Paramètres!$B$2)</f>
        <v>1260.5149999999999</v>
      </c>
      <c r="N69" s="44">
        <f>N18*(1-Paramètres!$B$2)</f>
        <v>1289.1299999999999</v>
      </c>
      <c r="O69" s="44">
        <f>O18*(1-Paramètres!$B$2)</f>
        <v>1317.26</v>
      </c>
      <c r="P69" s="44">
        <f>P18*(1-Paramètres!$B$2)</f>
        <v>1344.905</v>
      </c>
      <c r="Q69" s="44">
        <f>Q18*(1-Paramètres!$B$2)</f>
        <v>1373.0349999999999</v>
      </c>
      <c r="R69" s="44">
        <f>R18*(1-Paramètres!$B$2)</f>
        <v>1401.6499999999999</v>
      </c>
      <c r="S69" s="44">
        <f>S18*(1-Paramètres!$B$2)</f>
        <v>1429.2950000000001</v>
      </c>
      <c r="T69" s="44">
        <f>T18*(1-Paramètres!$B$2)</f>
        <v>1456.94</v>
      </c>
      <c r="U69" s="44">
        <f>U18*(1-Paramètres!$B$2)</f>
        <v>1485.5550000000001</v>
      </c>
      <c r="V69" s="44">
        <f>V18*(1-Paramètres!$B$2)</f>
        <v>1512.7149999999999</v>
      </c>
      <c r="W69" s="44">
        <f>W18*(1-Paramètres!$B$2)</f>
        <v>1756.1849999999999</v>
      </c>
      <c r="X69" s="44">
        <f>X18*(1-Paramètres!$B$2)</f>
        <v>1792.56</v>
      </c>
      <c r="Y69" s="44">
        <f>Y18*(1-Paramètres!$B$2)</f>
        <v>1908.96</v>
      </c>
      <c r="Z69" s="44">
        <f>Z18*(1-Paramètres!$B$2)</f>
        <v>1944.85</v>
      </c>
      <c r="AA69" s="44">
        <f>AA18*(1-Paramètres!$B$2)</f>
        <v>1980.74</v>
      </c>
      <c r="AB69" s="44">
        <f>AB18*(1-Paramètres!$B$2)</f>
        <v>2014.2049999999999</v>
      </c>
      <c r="AC69" s="44">
        <f>AC18*(1-Paramètres!$B$2)</f>
        <v>2050.0949999999998</v>
      </c>
    </row>
    <row r="70" spans="1:29" ht="15" customHeight="1" x14ac:dyDescent="0.25">
      <c r="A70" s="43">
        <v>2150</v>
      </c>
      <c r="B70" s="44">
        <f>B19*(1-Paramètres!$B$2)</f>
        <v>991.82499999999993</v>
      </c>
      <c r="C70" s="44">
        <f>C19*(1-Paramètres!$B$2)</f>
        <v>1006.375</v>
      </c>
      <c r="D70" s="44">
        <f>D19*(1-Paramètres!$B$2)</f>
        <v>1035.96</v>
      </c>
      <c r="E70" s="44">
        <f>E19*(1-Paramètres!$B$2)</f>
        <v>1064.575</v>
      </c>
      <c r="F70" s="44">
        <f>F19*(1-Paramètres!$B$2)</f>
        <v>1092.7049999999999</v>
      </c>
      <c r="G70" s="44">
        <f>G19*(1-Paramètres!$B$2)</f>
        <v>1120.835</v>
      </c>
      <c r="H70" s="44">
        <f>H19*(1-Paramètres!$B$2)</f>
        <v>1150.905</v>
      </c>
      <c r="I70" s="44">
        <f>I19*(1-Paramètres!$B$2)</f>
        <v>1178.55</v>
      </c>
      <c r="J70" s="44">
        <f>J19*(1-Paramètres!$B$2)</f>
        <v>1208.135</v>
      </c>
      <c r="K70" s="44">
        <f>K19*(1-Paramètres!$B$2)</f>
        <v>1236.75</v>
      </c>
      <c r="L70" s="44">
        <f>L19*(1-Paramètres!$B$2)</f>
        <v>1266.335</v>
      </c>
      <c r="M70" s="44">
        <f>M19*(1-Paramètres!$B$2)</f>
        <v>1294.95</v>
      </c>
      <c r="N70" s="44">
        <f>N19*(1-Paramètres!$B$2)</f>
        <v>1323.08</v>
      </c>
      <c r="O70" s="44">
        <f>O19*(1-Paramètres!$B$2)</f>
        <v>1352.18</v>
      </c>
      <c r="P70" s="44">
        <f>P19*(1-Paramètres!$B$2)</f>
        <v>1381.28</v>
      </c>
      <c r="Q70" s="44">
        <f>Q19*(1-Paramètres!$B$2)</f>
        <v>1409.4099999999999</v>
      </c>
      <c r="R70" s="44">
        <f>R19*(1-Paramètres!$B$2)</f>
        <v>1439.9649999999999</v>
      </c>
      <c r="S70" s="44">
        <f>S19*(1-Paramètres!$B$2)</f>
        <v>1468.58</v>
      </c>
      <c r="T70" s="44">
        <f>T19*(1-Paramètres!$B$2)</f>
        <v>1496.71</v>
      </c>
      <c r="U70" s="44">
        <f>U19*(1-Paramètres!$B$2)</f>
        <v>1734.845</v>
      </c>
      <c r="V70" s="44">
        <f>V19*(1-Paramètres!$B$2)</f>
        <v>1772.19</v>
      </c>
      <c r="W70" s="44">
        <f>W19*(1-Paramètres!$B$2)</f>
        <v>1807.595</v>
      </c>
      <c r="X70" s="44">
        <f>X19*(1-Paramètres!$B$2)</f>
        <v>1844.94</v>
      </c>
      <c r="Y70" s="44">
        <f>Y19*(1-Paramètres!$B$2)</f>
        <v>1962.31</v>
      </c>
      <c r="Z70" s="44">
        <f>Z19*(1-Paramètres!$B$2)</f>
        <v>1999.1699999999998</v>
      </c>
      <c r="AA70" s="44">
        <f>AA19*(1-Paramètres!$B$2)</f>
        <v>2035.5449999999998</v>
      </c>
      <c r="AB70" s="44">
        <f>AB19*(1-Paramètres!$B$2)</f>
        <v>2072.4049999999997</v>
      </c>
      <c r="AC70" s="44">
        <f>AC19*(1-Paramètres!$B$2)</f>
        <v>2108.2950000000001</v>
      </c>
    </row>
    <row r="71" spans="1:29" ht="15" customHeight="1" x14ac:dyDescent="0.25">
      <c r="A71" s="43">
        <v>2250</v>
      </c>
      <c r="B71" s="44">
        <f>B20*(1-Paramètres!$B$2)</f>
        <v>1017.53</v>
      </c>
      <c r="C71" s="44">
        <f>C20*(1-Paramètres!$B$2)</f>
        <v>1033.5350000000001</v>
      </c>
      <c r="D71" s="44">
        <f>D20*(1-Paramètres!$B$2)</f>
        <v>1063.1199999999999</v>
      </c>
      <c r="E71" s="44">
        <f>E20*(1-Paramètres!$B$2)</f>
        <v>1092.22</v>
      </c>
      <c r="F71" s="44">
        <f>F20*(1-Paramètres!$B$2)</f>
        <v>1120.3499999999999</v>
      </c>
      <c r="G71" s="44">
        <f>G20*(1-Paramètres!$B$2)</f>
        <v>1150.905</v>
      </c>
      <c r="H71" s="44">
        <f>H20*(1-Paramètres!$B$2)</f>
        <v>1180.0049999999999</v>
      </c>
      <c r="I71" s="44">
        <f>I20*(1-Paramètres!$B$2)</f>
        <v>1209.5899999999999</v>
      </c>
      <c r="J71" s="44">
        <f>J20*(1-Paramètres!$B$2)</f>
        <v>1238.69</v>
      </c>
      <c r="K71" s="44">
        <f>K20*(1-Paramètres!$B$2)</f>
        <v>1268.76</v>
      </c>
      <c r="L71" s="44">
        <f>L20*(1-Paramètres!$B$2)</f>
        <v>1297.8599999999999</v>
      </c>
      <c r="M71" s="44">
        <f>M20*(1-Paramètres!$B$2)</f>
        <v>1327.93</v>
      </c>
      <c r="N71" s="44">
        <f>N20*(1-Paramètres!$B$2)</f>
        <v>1358</v>
      </c>
      <c r="O71" s="44">
        <f>O20*(1-Paramètres!$B$2)</f>
        <v>1386.615</v>
      </c>
      <c r="P71" s="44">
        <f>P20*(1-Paramètres!$B$2)</f>
        <v>1417.655</v>
      </c>
      <c r="Q71" s="44">
        <f>Q20*(1-Paramètres!$B$2)</f>
        <v>1446.27</v>
      </c>
      <c r="R71" s="44">
        <f>R20*(1-Paramètres!$B$2)</f>
        <v>1475.37</v>
      </c>
      <c r="S71" s="44">
        <f>S20*(1-Paramètres!$B$2)</f>
        <v>1507.3799999999999</v>
      </c>
      <c r="T71" s="44">
        <f>T20*(1-Paramètres!$B$2)</f>
        <v>1746.4849999999999</v>
      </c>
      <c r="U71" s="44">
        <f>U20*(1-Paramètres!$B$2)</f>
        <v>1784.3150000000001</v>
      </c>
      <c r="V71" s="44">
        <f>V20*(1-Paramètres!$B$2)</f>
        <v>1823.115</v>
      </c>
      <c r="W71" s="44">
        <f>W20*(1-Paramètres!$B$2)</f>
        <v>1860.46</v>
      </c>
      <c r="X71" s="44">
        <f>X20*(1-Paramètres!$B$2)</f>
        <v>1897.8049999999998</v>
      </c>
      <c r="Y71" s="44">
        <f>Y20*(1-Paramètres!$B$2)</f>
        <v>2016.145</v>
      </c>
      <c r="Z71" s="44">
        <f>Z20*(1-Paramètres!$B$2)</f>
        <v>2053.0050000000001</v>
      </c>
      <c r="AA71" s="44">
        <f>AA20*(1-Paramètres!$B$2)</f>
        <v>2091.8049999999998</v>
      </c>
      <c r="AB71" s="44">
        <f>AB20*(1-Paramètres!$B$2)</f>
        <v>2129.15</v>
      </c>
      <c r="AC71" s="44">
        <f>AC20*(1-Paramètres!$B$2)</f>
        <v>2167.9499999999998</v>
      </c>
    </row>
    <row r="72" spans="1:29" ht="15" customHeight="1" x14ac:dyDescent="0.25">
      <c r="A72" s="43">
        <v>2350</v>
      </c>
      <c r="B72" s="44">
        <f>B21*(1-Paramètres!$B$2)</f>
        <v>1068.94</v>
      </c>
      <c r="C72" s="44">
        <f>C21*(1-Paramètres!$B$2)</f>
        <v>1086.3999999999999</v>
      </c>
      <c r="D72" s="44">
        <f>D21*(1-Paramètres!$B$2)</f>
        <v>1116.9549999999999</v>
      </c>
      <c r="E72" s="44">
        <f>E21*(1-Paramètres!$B$2)</f>
        <v>1147.0249999999999</v>
      </c>
      <c r="F72" s="44">
        <f>F21*(1-Paramètres!$B$2)</f>
        <v>1175.6399999999999</v>
      </c>
      <c r="G72" s="44">
        <f>G21*(1-Paramètres!$B$2)</f>
        <v>1207.165</v>
      </c>
      <c r="H72" s="44">
        <f>H21*(1-Paramètres!$B$2)</f>
        <v>1236.75</v>
      </c>
      <c r="I72" s="44">
        <f>I21*(1-Paramètres!$B$2)</f>
        <v>1267.3050000000001</v>
      </c>
      <c r="J72" s="44">
        <f>J21*(1-Paramètres!$B$2)</f>
        <v>1297.375</v>
      </c>
      <c r="K72" s="44">
        <f>K21*(1-Paramètres!$B$2)</f>
        <v>1327.93</v>
      </c>
      <c r="L72" s="44">
        <f>L21*(1-Paramètres!$B$2)</f>
        <v>1358.4849999999999</v>
      </c>
      <c r="M72" s="44">
        <f>M21*(1-Paramètres!$B$2)</f>
        <v>1388.5550000000001</v>
      </c>
      <c r="N72" s="44">
        <f>N21*(1-Paramètres!$B$2)</f>
        <v>1419.11</v>
      </c>
      <c r="O72" s="44">
        <f>O21*(1-Paramètres!$B$2)</f>
        <v>1449.18</v>
      </c>
      <c r="P72" s="44">
        <f>P21*(1-Paramètres!$B$2)</f>
        <v>1479.7349999999999</v>
      </c>
      <c r="Q72" s="44">
        <f>Q21*(1-Paramètres!$B$2)</f>
        <v>1510.29</v>
      </c>
      <c r="R72" s="44">
        <f>R21*(1-Paramètres!$B$2)</f>
        <v>1539.875</v>
      </c>
      <c r="S72" s="44">
        <f>S21*(1-Paramètres!$B$2)</f>
        <v>1783.345</v>
      </c>
      <c r="T72" s="44">
        <f>T21*(1-Paramètres!$B$2)</f>
        <v>1822.145</v>
      </c>
      <c r="U72" s="44">
        <f>U21*(1-Paramètres!$B$2)</f>
        <v>1860.9449999999999</v>
      </c>
      <c r="V72" s="44">
        <f>V21*(1-Paramètres!$B$2)</f>
        <v>1899.7449999999999</v>
      </c>
      <c r="W72" s="44">
        <f>W21*(1-Paramètres!$B$2)</f>
        <v>1938.5449999999998</v>
      </c>
      <c r="X72" s="44">
        <f>X21*(1-Paramètres!$B$2)</f>
        <v>1977.83</v>
      </c>
      <c r="Y72" s="44">
        <f>Y21*(1-Paramètres!$B$2)</f>
        <v>2097.625</v>
      </c>
      <c r="Z72" s="44">
        <f>Z21*(1-Paramètres!$B$2)</f>
        <v>2136.4249999999997</v>
      </c>
      <c r="AA72" s="44">
        <f>AA21*(1-Paramètres!$B$2)</f>
        <v>2175.2249999999999</v>
      </c>
      <c r="AB72" s="44">
        <f>AB21*(1-Paramètres!$B$2)</f>
        <v>2214.0250000000001</v>
      </c>
      <c r="AC72" s="44">
        <f>AC21*(1-Paramètres!$B$2)</f>
        <v>2481.7449999999999</v>
      </c>
    </row>
    <row r="73" spans="1:29" ht="15" customHeight="1" x14ac:dyDescent="0.25">
      <c r="A73" s="43">
        <v>2450</v>
      </c>
      <c r="B73" s="44">
        <f>B22*(1-Paramètres!$B$2)</f>
        <v>1095.615</v>
      </c>
      <c r="C73" s="44">
        <f>C22*(1-Paramètres!$B$2)</f>
        <v>1112.5899999999999</v>
      </c>
      <c r="D73" s="44">
        <f>D22*(1-Paramètres!$B$2)</f>
        <v>1143.145</v>
      </c>
      <c r="E73" s="44">
        <f>E22*(1-Paramètres!$B$2)</f>
        <v>1174.67</v>
      </c>
      <c r="F73" s="44">
        <f>F22*(1-Paramètres!$B$2)</f>
        <v>1205.71</v>
      </c>
      <c r="G73" s="44">
        <f>G22*(1-Paramètres!$B$2)</f>
        <v>1235.78</v>
      </c>
      <c r="H73" s="44">
        <f>H22*(1-Paramètres!$B$2)</f>
        <v>1266.82</v>
      </c>
      <c r="I73" s="44">
        <f>I22*(1-Paramètres!$B$2)</f>
        <v>1297.8599999999999</v>
      </c>
      <c r="J73" s="44">
        <f>J22*(1-Paramètres!$B$2)</f>
        <v>1328.8999999999999</v>
      </c>
      <c r="K73" s="44">
        <f>K22*(1-Paramètres!$B$2)</f>
        <v>1360.425</v>
      </c>
      <c r="L73" s="44">
        <f>L22*(1-Paramètres!$B$2)</f>
        <v>1390.4949999999999</v>
      </c>
      <c r="M73" s="44">
        <f>M22*(1-Paramètres!$B$2)</f>
        <v>1422.02</v>
      </c>
      <c r="N73" s="44">
        <f>N22*(1-Paramètres!$B$2)</f>
        <v>1453.5450000000001</v>
      </c>
      <c r="O73" s="44">
        <f>O22*(1-Paramètres!$B$2)</f>
        <v>1484.585</v>
      </c>
      <c r="P73" s="44">
        <f>P22*(1-Paramètres!$B$2)</f>
        <v>1515.625</v>
      </c>
      <c r="Q73" s="44">
        <f>Q22*(1-Paramètres!$B$2)</f>
        <v>1547.635</v>
      </c>
      <c r="R73" s="44">
        <f>R22*(1-Paramètres!$B$2)</f>
        <v>1790.62</v>
      </c>
      <c r="S73" s="44">
        <f>S22*(1-Paramètres!$B$2)</f>
        <v>1830.875</v>
      </c>
      <c r="T73" s="44">
        <f>T22*(1-Paramètres!$B$2)</f>
        <v>1871.1299999999999</v>
      </c>
      <c r="U73" s="44">
        <f>U22*(1-Paramètres!$B$2)</f>
        <v>1910.8999999999999</v>
      </c>
      <c r="V73" s="44">
        <f>V22*(1-Paramètres!$B$2)</f>
        <v>1950.6699999999998</v>
      </c>
      <c r="W73" s="44">
        <f>W22*(1-Paramètres!$B$2)</f>
        <v>1989.47</v>
      </c>
      <c r="X73" s="44">
        <f>X22*(1-Paramètres!$B$2)</f>
        <v>2029.7249999999999</v>
      </c>
      <c r="Y73" s="44">
        <f>Y22*(1-Paramètres!$B$2)</f>
        <v>2150.9749999999999</v>
      </c>
      <c r="Z73" s="44">
        <f>Z22*(1-Paramètres!$B$2)</f>
        <v>2192.6849999999999</v>
      </c>
      <c r="AA73" s="44">
        <f>AA22*(1-Paramètres!$B$2)</f>
        <v>2231.4850000000001</v>
      </c>
      <c r="AB73" s="44">
        <f>AB22*(1-Paramètres!$B$2)</f>
        <v>2502.1149999999998</v>
      </c>
      <c r="AC73" s="44">
        <f>AC22*(1-Paramètres!$B$2)</f>
        <v>2549.645</v>
      </c>
    </row>
    <row r="74" spans="1:29" ht="15" customHeight="1" x14ac:dyDescent="0.25">
      <c r="A74" s="43">
        <v>2550</v>
      </c>
      <c r="B74" s="44">
        <f>B23*(1-Paramètres!$B$2)</f>
        <v>1120.835</v>
      </c>
      <c r="C74" s="44">
        <f>C23*(1-Paramètres!$B$2)</f>
        <v>1138.78</v>
      </c>
      <c r="D74" s="44">
        <f>D23*(1-Paramètres!$B$2)</f>
        <v>1169.82</v>
      </c>
      <c r="E74" s="44">
        <f>E23*(1-Paramètres!$B$2)</f>
        <v>1202.3150000000001</v>
      </c>
      <c r="F74" s="44">
        <f>F23*(1-Paramètres!$B$2)</f>
        <v>1233.8399999999999</v>
      </c>
      <c r="G74" s="44">
        <f>G23*(1-Paramètres!$B$2)</f>
        <v>1264.8799999999999</v>
      </c>
      <c r="H74" s="44">
        <f>H23*(1-Paramètres!$B$2)</f>
        <v>1296.8899999999999</v>
      </c>
      <c r="I74" s="44">
        <f>I23*(1-Paramètres!$B$2)</f>
        <v>1328.8999999999999</v>
      </c>
      <c r="J74" s="44">
        <f>J23*(1-Paramètres!$B$2)</f>
        <v>1360.9099999999999</v>
      </c>
      <c r="K74" s="44">
        <f>K23*(1-Paramètres!$B$2)</f>
        <v>1391.95</v>
      </c>
      <c r="L74" s="44">
        <f>L23*(1-Paramètres!$B$2)</f>
        <v>1423.4749999999999</v>
      </c>
      <c r="M74" s="44">
        <f>M23*(1-Paramètres!$B$2)</f>
        <v>1456.4549999999999</v>
      </c>
      <c r="N74" s="44">
        <f>N23*(1-Paramètres!$B$2)</f>
        <v>1489.4349999999999</v>
      </c>
      <c r="O74" s="44">
        <f>O23*(1-Paramètres!$B$2)</f>
        <v>1519.99</v>
      </c>
      <c r="P74" s="44">
        <f>P23*(1-Paramètres!$B$2)</f>
        <v>1552</v>
      </c>
      <c r="Q74" s="44">
        <f>Q23*(1-Paramètres!$B$2)</f>
        <v>1795.9549999999999</v>
      </c>
      <c r="R74" s="44">
        <f>R23*(1-Paramètres!$B$2)</f>
        <v>1836.6949999999999</v>
      </c>
      <c r="S74" s="44">
        <f>S23*(1-Paramètres!$B$2)</f>
        <v>1877.9199999999998</v>
      </c>
      <c r="T74" s="44">
        <f>T23*(1-Paramètres!$B$2)</f>
        <v>1918.6599999999999</v>
      </c>
      <c r="U74" s="44">
        <f>U23*(1-Paramètres!$B$2)</f>
        <v>1960.37</v>
      </c>
      <c r="V74" s="44">
        <f>V23*(1-Paramètres!$B$2)</f>
        <v>2000.625</v>
      </c>
      <c r="W74" s="44">
        <f>W23*(1-Paramètres!$B$2)</f>
        <v>2042.82</v>
      </c>
      <c r="X74" s="44">
        <f>X23*(1-Paramètres!$B$2)</f>
        <v>2084.0450000000001</v>
      </c>
      <c r="Y74" s="44">
        <f>Y23*(1-Paramètres!$B$2)</f>
        <v>2204.81</v>
      </c>
      <c r="Z74" s="44">
        <f>Z23*(1-Paramètres!$B$2)</f>
        <v>2246.0349999999999</v>
      </c>
      <c r="AA74" s="44">
        <f>AA23*(1-Paramètres!$B$2)</f>
        <v>2521.5149999999999</v>
      </c>
      <c r="AB74" s="44">
        <f>AB23*(1-Paramètres!$B$2)</f>
        <v>2569.0450000000001</v>
      </c>
      <c r="AC74" s="44">
        <f>AC23*(1-Paramètres!$B$2)</f>
        <v>2617.5450000000001</v>
      </c>
    </row>
    <row r="75" spans="1:29" ht="15" customHeight="1" x14ac:dyDescent="0.25">
      <c r="A75" s="43">
        <v>2650</v>
      </c>
      <c r="B75" s="44">
        <f>B24*(1-Paramètres!$B$2)</f>
        <v>1160.1199999999999</v>
      </c>
      <c r="C75" s="44">
        <f>C24*(1-Paramètres!$B$2)</f>
        <v>1178.55</v>
      </c>
      <c r="D75" s="44">
        <f>D24*(1-Paramètres!$B$2)</f>
        <v>1210.075</v>
      </c>
      <c r="E75" s="44">
        <f>E24*(1-Paramètres!$B$2)</f>
        <v>1243.54</v>
      </c>
      <c r="F75" s="44">
        <f>F24*(1-Paramètres!$B$2)</f>
        <v>1276.52</v>
      </c>
      <c r="G75" s="44">
        <f>G24*(1-Paramètres!$B$2)</f>
        <v>1307.56</v>
      </c>
      <c r="H75" s="44">
        <f>H24*(1-Paramètres!$B$2)</f>
        <v>1340.54</v>
      </c>
      <c r="I75" s="44">
        <f>I24*(1-Paramètres!$B$2)</f>
        <v>1373.0349999999999</v>
      </c>
      <c r="J75" s="44">
        <f>J24*(1-Paramètres!$B$2)</f>
        <v>1406.0149999999999</v>
      </c>
      <c r="K75" s="44">
        <f>K24*(1-Paramètres!$B$2)</f>
        <v>1438.0249999999999</v>
      </c>
      <c r="L75" s="44">
        <f>L24*(1-Paramètres!$B$2)</f>
        <v>1470.0349999999999</v>
      </c>
      <c r="M75" s="44">
        <f>M24*(1-Paramètres!$B$2)</f>
        <v>1503.9849999999999</v>
      </c>
      <c r="N75" s="44">
        <f>N24*(1-Paramètres!$B$2)</f>
        <v>1537.45</v>
      </c>
      <c r="O75" s="44">
        <f>O24*(1-Paramètres!$B$2)</f>
        <v>1568.9749999999999</v>
      </c>
      <c r="P75" s="44">
        <f>P24*(1-Paramètres!$B$2)</f>
        <v>1800.8050000000001</v>
      </c>
      <c r="Q75" s="44">
        <f>Q24*(1-Paramètres!$B$2)</f>
        <v>1840.575</v>
      </c>
      <c r="R75" s="44">
        <f>R24*(1-Paramètres!$B$2)</f>
        <v>1882.77</v>
      </c>
      <c r="S75" s="44">
        <f>S24*(1-Paramètres!$B$2)</f>
        <v>1925.45</v>
      </c>
      <c r="T75" s="44">
        <f>T24*(1-Paramètres!$B$2)</f>
        <v>1967.1599999999999</v>
      </c>
      <c r="U75" s="44">
        <f>U24*(1-Paramètres!$B$2)</f>
        <v>2010.325</v>
      </c>
      <c r="V75" s="44">
        <f>V24*(1-Paramètres!$B$2)</f>
        <v>2051.0650000000001</v>
      </c>
      <c r="W75" s="44">
        <f>W24*(1-Paramètres!$B$2)</f>
        <v>2093.2599999999998</v>
      </c>
      <c r="X75" s="44">
        <f>X24*(1-Paramètres!$B$2)</f>
        <v>2136.91</v>
      </c>
      <c r="Y75" s="44">
        <f>Y24*(1-Paramètres!$B$2)</f>
        <v>2258.645</v>
      </c>
      <c r="Z75" s="44">
        <f>Z24*(1-Paramètres!$B$2)</f>
        <v>2539.9449999999997</v>
      </c>
      <c r="AA75" s="44">
        <f>AA24*(1-Paramètres!$B$2)</f>
        <v>2588.4449999999997</v>
      </c>
      <c r="AB75" s="44">
        <f>AB24*(1-Paramètres!$B$2)</f>
        <v>2635.9749999999999</v>
      </c>
      <c r="AC75" s="44">
        <f>AC24*(1-Paramètres!$B$2)</f>
        <v>2685.4449999999997</v>
      </c>
    </row>
    <row r="76" spans="1:29" ht="15" customHeight="1" x14ac:dyDescent="0.25">
      <c r="A76" s="43">
        <v>2700</v>
      </c>
      <c r="B76" s="44">
        <f>B25*(1-Paramètres!$B$2)</f>
        <v>1212.5</v>
      </c>
      <c r="C76" s="44">
        <f>C25*(1-Paramètres!$B$2)</f>
        <v>1231.8999999999999</v>
      </c>
      <c r="D76" s="44">
        <f>D25*(1-Paramètres!$B$2)</f>
        <v>1244.51</v>
      </c>
      <c r="E76" s="44">
        <f>E25*(1-Paramètres!$B$2)</f>
        <v>1279.43</v>
      </c>
      <c r="F76" s="44">
        <f>F25*(1-Paramètres!$B$2)</f>
        <v>1313.865</v>
      </c>
      <c r="G76" s="44">
        <f>G25*(1-Paramètres!$B$2)</f>
        <v>1344.42</v>
      </c>
      <c r="H76" s="44">
        <f>H25*(1-Paramètres!$B$2)</f>
        <v>1378.37</v>
      </c>
      <c r="I76" s="44">
        <f>I25*(1-Paramètres!$B$2)</f>
        <v>1412.32</v>
      </c>
      <c r="J76" s="44">
        <f>J25*(1-Paramètres!$B$2)</f>
        <v>1446.27</v>
      </c>
      <c r="K76" s="44">
        <f>K25*(1-Paramètres!$B$2)</f>
        <v>1478.28</v>
      </c>
      <c r="L76" s="44">
        <f>L25*(1-Paramètres!$B$2)</f>
        <v>1510.7749999999999</v>
      </c>
      <c r="M76" s="44">
        <f>M25*(1-Paramètres!$B$2)</f>
        <v>1545.6949999999999</v>
      </c>
      <c r="N76" s="44">
        <f>N25*(1-Paramètres!$B$2)</f>
        <v>1580.1299999999999</v>
      </c>
      <c r="O76" s="44">
        <f>O25*(1-Paramètres!$B$2)</f>
        <v>1844.94</v>
      </c>
      <c r="P76" s="44">
        <f>P25*(1-Paramètres!$B$2)</f>
        <v>1871.615</v>
      </c>
      <c r="Q76" s="44">
        <f>Q25*(1-Paramètres!$B$2)</f>
        <v>1885.1949999999999</v>
      </c>
      <c r="R76" s="44">
        <f>R25*(1-Paramètres!$B$2)</f>
        <v>1928.845</v>
      </c>
      <c r="S76" s="44">
        <f>S25*(1-Paramètres!$B$2)</f>
        <v>1972.98</v>
      </c>
      <c r="T76" s="44">
        <f>T25*(1-Paramètres!$B$2)</f>
        <v>2015.6599999999999</v>
      </c>
      <c r="U76" s="44">
        <f>U25*(1-Paramètres!$B$2)</f>
        <v>2060.2799999999997</v>
      </c>
      <c r="V76" s="44">
        <f>V25*(1-Paramètres!$B$2)</f>
        <v>2101.9899999999998</v>
      </c>
      <c r="W76" s="44">
        <f>W25*(1-Paramètres!$B$2)</f>
        <v>2147.0949999999998</v>
      </c>
      <c r="X76" s="44">
        <f>X25*(1-Paramètres!$B$2)</f>
        <v>2190.2599999999998</v>
      </c>
      <c r="Y76" s="44">
        <f>Y25*(1-Paramètres!$B$2)</f>
        <v>2548.19</v>
      </c>
      <c r="Z76" s="44">
        <f>Z25*(1-Paramètres!$B$2)</f>
        <v>2602.9949999999999</v>
      </c>
      <c r="AA76" s="44">
        <f>AA25*(1-Paramètres!$B$2)</f>
        <v>2655.375</v>
      </c>
      <c r="AB76" s="44">
        <f>AB25*(1-Paramètres!$B$2)</f>
        <v>2702.9049999999997</v>
      </c>
      <c r="AC76" s="44">
        <f>AC25*(1-Paramètres!$B$2)</f>
        <v>2753.3449999999998</v>
      </c>
    </row>
  </sheetData>
  <mergeCells count="4">
    <mergeCell ref="A3:AC3"/>
    <mergeCell ref="A53:AC53"/>
    <mergeCell ref="A1:AC1"/>
    <mergeCell ref="A27:AC2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76"/>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32" width="9" customWidth="1"/>
  </cols>
  <sheetData>
    <row r="1" spans="1:32" ht="24" customHeight="1" x14ac:dyDescent="0.25">
      <c r="A1" s="126" t="s">
        <v>264</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row>
    <row r="3" spans="1:32" ht="15" customHeight="1" x14ac:dyDescent="0.25">
      <c r="A3" s="121" t="s">
        <v>259</v>
      </c>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row>
    <row r="4" spans="1:32" ht="15" customHeight="1" x14ac:dyDescent="0.25">
      <c r="A4" s="43" t="s">
        <v>260</v>
      </c>
      <c r="B4" s="43">
        <v>2000</v>
      </c>
      <c r="C4" s="43">
        <v>2100</v>
      </c>
      <c r="D4" s="43">
        <v>2200</v>
      </c>
      <c r="E4" s="43">
        <v>2300</v>
      </c>
      <c r="F4" s="43">
        <v>2400</v>
      </c>
      <c r="G4" s="43">
        <v>2500</v>
      </c>
      <c r="H4" s="43">
        <v>2600</v>
      </c>
      <c r="I4" s="43">
        <v>2700</v>
      </c>
      <c r="J4" s="43">
        <v>2800</v>
      </c>
      <c r="K4" s="43">
        <v>2900</v>
      </c>
      <c r="L4" s="43">
        <v>3000</v>
      </c>
      <c r="M4" s="43">
        <v>3100</v>
      </c>
      <c r="N4" s="43">
        <v>3200</v>
      </c>
      <c r="O4" s="43">
        <v>3300</v>
      </c>
      <c r="P4" s="43">
        <v>3400</v>
      </c>
      <c r="Q4" s="43">
        <v>3500</v>
      </c>
      <c r="R4" s="43">
        <v>3600</v>
      </c>
      <c r="S4" s="43">
        <v>3700</v>
      </c>
      <c r="T4" s="43">
        <v>3800</v>
      </c>
      <c r="U4" s="43">
        <v>3900</v>
      </c>
      <c r="V4" s="43">
        <v>4000</v>
      </c>
      <c r="W4" s="43">
        <v>4100</v>
      </c>
      <c r="X4" s="43">
        <v>4200</v>
      </c>
      <c r="Y4" s="43">
        <v>4300</v>
      </c>
      <c r="Z4" s="43">
        <v>4400</v>
      </c>
      <c r="AA4" s="43">
        <v>4500</v>
      </c>
      <c r="AB4" s="43">
        <v>4600</v>
      </c>
      <c r="AC4" s="43">
        <v>4700</v>
      </c>
      <c r="AD4" s="43">
        <v>4800</v>
      </c>
      <c r="AE4" s="43">
        <v>4900</v>
      </c>
      <c r="AF4" s="43">
        <v>5000</v>
      </c>
    </row>
    <row r="5" spans="1:32" ht="15" customHeight="1" x14ac:dyDescent="0.25">
      <c r="A5" s="43">
        <v>750</v>
      </c>
      <c r="B5" s="44">
        <v>2413</v>
      </c>
      <c r="C5" s="44">
        <v>2464</v>
      </c>
      <c r="D5" s="44">
        <v>2513</v>
      </c>
      <c r="E5" s="44">
        <v>2562</v>
      </c>
      <c r="F5" s="44">
        <v>2614</v>
      </c>
      <c r="G5" s="44">
        <v>2663</v>
      </c>
      <c r="H5" s="44">
        <v>2715</v>
      </c>
      <c r="I5" s="44">
        <v>2764</v>
      </c>
      <c r="J5" s="44">
        <v>2812</v>
      </c>
      <c r="K5" s="44">
        <v>2863</v>
      </c>
      <c r="L5" s="44">
        <v>2912</v>
      </c>
      <c r="M5" s="44">
        <v>3053</v>
      </c>
      <c r="N5" s="44">
        <v>3192</v>
      </c>
      <c r="O5" s="44">
        <v>3242</v>
      </c>
      <c r="P5" s="44">
        <v>3292</v>
      </c>
      <c r="Q5" s="44">
        <v>3341</v>
      </c>
      <c r="R5" s="44">
        <v>3390</v>
      </c>
      <c r="S5" s="44">
        <v>3441</v>
      </c>
      <c r="T5" s="44">
        <v>3490</v>
      </c>
      <c r="U5" s="44">
        <v>3543</v>
      </c>
      <c r="V5" s="44">
        <v>3592</v>
      </c>
      <c r="W5" s="44">
        <v>3640</v>
      </c>
      <c r="X5" s="44">
        <v>3691</v>
      </c>
      <c r="Y5" s="44">
        <v>3741</v>
      </c>
      <c r="Z5" s="44">
        <v>3790</v>
      </c>
      <c r="AA5" s="44">
        <v>3840</v>
      </c>
      <c r="AB5" s="44">
        <v>3892</v>
      </c>
      <c r="AC5" s="44">
        <v>3942</v>
      </c>
      <c r="AD5" s="44">
        <v>3992</v>
      </c>
      <c r="AE5" s="44">
        <v>4043</v>
      </c>
      <c r="AF5" s="44">
        <v>4093</v>
      </c>
    </row>
    <row r="6" spans="1:32" ht="15" customHeight="1" x14ac:dyDescent="0.25">
      <c r="A6" s="43">
        <v>850</v>
      </c>
      <c r="B6" s="44">
        <v>2505</v>
      </c>
      <c r="C6" s="44">
        <v>2554</v>
      </c>
      <c r="D6" s="44">
        <v>2606</v>
      </c>
      <c r="E6" s="44">
        <v>2658</v>
      </c>
      <c r="F6" s="44">
        <v>2710</v>
      </c>
      <c r="G6" s="44">
        <v>2762</v>
      </c>
      <c r="H6" s="44">
        <v>2812</v>
      </c>
      <c r="I6" s="44">
        <v>2865</v>
      </c>
      <c r="J6" s="44">
        <v>2916</v>
      </c>
      <c r="K6" s="44">
        <v>2970</v>
      </c>
      <c r="L6" s="44">
        <v>3021</v>
      </c>
      <c r="M6" s="44">
        <v>3161</v>
      </c>
      <c r="N6" s="44">
        <v>3300</v>
      </c>
      <c r="O6" s="44">
        <v>3352</v>
      </c>
      <c r="P6" s="44">
        <v>3404</v>
      </c>
      <c r="Q6" s="44">
        <v>3455</v>
      </c>
      <c r="R6" s="44">
        <v>3508</v>
      </c>
      <c r="S6" s="44">
        <v>3558</v>
      </c>
      <c r="T6" s="44">
        <v>3611</v>
      </c>
      <c r="U6" s="44">
        <v>3663</v>
      </c>
      <c r="V6" s="44">
        <v>3715</v>
      </c>
      <c r="W6" s="44">
        <v>3766</v>
      </c>
      <c r="X6" s="44">
        <v>3818</v>
      </c>
      <c r="Y6" s="44">
        <v>3870</v>
      </c>
      <c r="Z6" s="44">
        <v>3921</v>
      </c>
      <c r="AA6" s="44">
        <v>3973</v>
      </c>
      <c r="AB6" s="44">
        <v>4024</v>
      </c>
      <c r="AC6" s="44">
        <v>4075</v>
      </c>
      <c r="AD6" s="44">
        <v>4128</v>
      </c>
      <c r="AE6" s="44">
        <v>4178</v>
      </c>
      <c r="AF6" s="44">
        <v>4229</v>
      </c>
    </row>
    <row r="7" spans="1:32" ht="15" customHeight="1" x14ac:dyDescent="0.25">
      <c r="A7" s="43">
        <v>950</v>
      </c>
      <c r="B7" s="44">
        <v>2593</v>
      </c>
      <c r="C7" s="44">
        <v>2647</v>
      </c>
      <c r="D7" s="44">
        <v>2700</v>
      </c>
      <c r="E7" s="44">
        <v>2755</v>
      </c>
      <c r="F7" s="44">
        <v>2808</v>
      </c>
      <c r="G7" s="44">
        <v>2859</v>
      </c>
      <c r="H7" s="44">
        <v>2912</v>
      </c>
      <c r="I7" s="44">
        <v>2969</v>
      </c>
      <c r="J7" s="44">
        <v>3021</v>
      </c>
      <c r="K7" s="44">
        <v>3074</v>
      </c>
      <c r="L7" s="44">
        <v>3128</v>
      </c>
      <c r="M7" s="44">
        <v>3269</v>
      </c>
      <c r="N7" s="44">
        <v>3413</v>
      </c>
      <c r="O7" s="44">
        <v>3465</v>
      </c>
      <c r="P7" s="44">
        <v>3517</v>
      </c>
      <c r="Q7" s="44">
        <v>3572</v>
      </c>
      <c r="R7" s="44">
        <v>3623</v>
      </c>
      <c r="S7" s="44">
        <v>3678</v>
      </c>
      <c r="T7" s="44">
        <v>3730</v>
      </c>
      <c r="U7" s="44">
        <v>3784</v>
      </c>
      <c r="V7" s="44">
        <v>3838</v>
      </c>
      <c r="W7" s="44">
        <v>3892</v>
      </c>
      <c r="X7" s="44">
        <v>3944</v>
      </c>
      <c r="Y7" s="44">
        <v>3997</v>
      </c>
      <c r="Z7" s="44">
        <v>4050</v>
      </c>
      <c r="AA7" s="44">
        <v>4104</v>
      </c>
      <c r="AB7" s="44">
        <v>4157</v>
      </c>
      <c r="AC7" s="44">
        <v>4212</v>
      </c>
      <c r="AD7" s="44">
        <v>4263</v>
      </c>
      <c r="AE7" s="44">
        <v>4316</v>
      </c>
      <c r="AF7" s="44">
        <v>4370</v>
      </c>
    </row>
    <row r="8" spans="1:32" ht="15" customHeight="1" x14ac:dyDescent="0.25">
      <c r="A8" s="43">
        <v>1050</v>
      </c>
      <c r="B8" s="44">
        <v>2685</v>
      </c>
      <c r="C8" s="44">
        <v>2740</v>
      </c>
      <c r="D8" s="44">
        <v>2797</v>
      </c>
      <c r="E8" s="44">
        <v>2849</v>
      </c>
      <c r="F8" s="44">
        <v>2904</v>
      </c>
      <c r="G8" s="44">
        <v>2959</v>
      </c>
      <c r="H8" s="44">
        <v>3014</v>
      </c>
      <c r="I8" s="44">
        <v>3071</v>
      </c>
      <c r="J8" s="44">
        <v>3122</v>
      </c>
      <c r="K8" s="44">
        <v>3178</v>
      </c>
      <c r="L8" s="44">
        <v>3235</v>
      </c>
      <c r="M8" s="44">
        <v>3378</v>
      </c>
      <c r="N8" s="44">
        <v>3522</v>
      </c>
      <c r="O8" s="44">
        <v>3577</v>
      </c>
      <c r="P8" s="44">
        <v>3632</v>
      </c>
      <c r="Q8" s="44">
        <v>3684</v>
      </c>
      <c r="R8" s="44">
        <v>3741</v>
      </c>
      <c r="S8" s="44">
        <v>3795</v>
      </c>
      <c r="T8" s="44">
        <v>3852</v>
      </c>
      <c r="U8" s="44">
        <v>3907</v>
      </c>
      <c r="V8" s="44">
        <v>3962</v>
      </c>
      <c r="W8" s="44">
        <v>4015</v>
      </c>
      <c r="X8" s="44">
        <v>4069</v>
      </c>
      <c r="Y8" s="44">
        <v>4123</v>
      </c>
      <c r="Z8" s="44">
        <v>4179</v>
      </c>
      <c r="AA8" s="44">
        <v>4233</v>
      </c>
      <c r="AB8" s="44">
        <v>4289</v>
      </c>
      <c r="AC8" s="44">
        <v>4345</v>
      </c>
      <c r="AD8" s="44">
        <v>4399</v>
      </c>
      <c r="AE8" s="44">
        <v>4454</v>
      </c>
      <c r="AF8" s="44">
        <v>4508</v>
      </c>
    </row>
    <row r="9" spans="1:32" ht="15" customHeight="1" x14ac:dyDescent="0.25">
      <c r="A9" s="43">
        <v>1150</v>
      </c>
      <c r="B9" s="44">
        <v>2774</v>
      </c>
      <c r="C9" s="44">
        <v>2832</v>
      </c>
      <c r="D9" s="44">
        <v>2889</v>
      </c>
      <c r="E9" s="44">
        <v>2945</v>
      </c>
      <c r="F9" s="44">
        <v>3000</v>
      </c>
      <c r="G9" s="44">
        <v>3058</v>
      </c>
      <c r="H9" s="44">
        <v>3114</v>
      </c>
      <c r="I9" s="44">
        <v>3169</v>
      </c>
      <c r="J9" s="44">
        <v>3227</v>
      </c>
      <c r="K9" s="44">
        <v>3284</v>
      </c>
      <c r="L9" s="44">
        <v>3339</v>
      </c>
      <c r="M9" s="44">
        <v>3487</v>
      </c>
      <c r="N9" s="44">
        <v>3632</v>
      </c>
      <c r="O9" s="44">
        <v>3688</v>
      </c>
      <c r="P9" s="44">
        <v>3744</v>
      </c>
      <c r="Q9" s="44">
        <v>3801</v>
      </c>
      <c r="R9" s="44">
        <v>3859</v>
      </c>
      <c r="S9" s="44">
        <v>3915</v>
      </c>
      <c r="T9" s="44">
        <v>3972</v>
      </c>
      <c r="U9" s="44">
        <v>4029</v>
      </c>
      <c r="V9" s="44">
        <v>4085</v>
      </c>
      <c r="W9" s="44">
        <v>4141</v>
      </c>
      <c r="X9" s="44">
        <v>4196</v>
      </c>
      <c r="Y9" s="44">
        <v>4255</v>
      </c>
      <c r="Z9" s="44">
        <v>4310</v>
      </c>
      <c r="AA9" s="44">
        <v>4366</v>
      </c>
      <c r="AB9" s="44">
        <v>4425</v>
      </c>
      <c r="AC9" s="44">
        <v>4481</v>
      </c>
      <c r="AD9" s="44">
        <v>4536</v>
      </c>
      <c r="AE9" s="44">
        <v>4593</v>
      </c>
      <c r="AF9" s="44">
        <v>4651</v>
      </c>
    </row>
    <row r="10" spans="1:32" ht="15" customHeight="1" x14ac:dyDescent="0.25">
      <c r="A10" s="43">
        <v>1250</v>
      </c>
      <c r="B10" s="44">
        <v>2864</v>
      </c>
      <c r="C10" s="44">
        <v>2924</v>
      </c>
      <c r="D10" s="44">
        <v>2982</v>
      </c>
      <c r="E10" s="44">
        <v>3038</v>
      </c>
      <c r="F10" s="44">
        <v>3098</v>
      </c>
      <c r="G10" s="44">
        <v>3155</v>
      </c>
      <c r="H10" s="44">
        <v>3213</v>
      </c>
      <c r="I10" s="44">
        <v>3274</v>
      </c>
      <c r="J10" s="44">
        <v>3330</v>
      </c>
      <c r="K10" s="44">
        <v>3389</v>
      </c>
      <c r="L10" s="44">
        <v>3447</v>
      </c>
      <c r="M10" s="44">
        <v>3595</v>
      </c>
      <c r="N10" s="44">
        <v>3743</v>
      </c>
      <c r="O10" s="44">
        <v>3799</v>
      </c>
      <c r="P10" s="44">
        <v>3859</v>
      </c>
      <c r="Q10" s="44">
        <v>3918</v>
      </c>
      <c r="R10" s="44">
        <v>3974</v>
      </c>
      <c r="S10" s="44">
        <v>4033</v>
      </c>
      <c r="T10" s="44">
        <v>4092</v>
      </c>
      <c r="U10" s="44">
        <v>4149</v>
      </c>
      <c r="V10" s="44">
        <v>4209</v>
      </c>
      <c r="W10" s="44">
        <v>4266</v>
      </c>
      <c r="X10" s="44">
        <v>4323</v>
      </c>
      <c r="Y10" s="44">
        <v>4382</v>
      </c>
      <c r="Z10" s="44">
        <v>4441</v>
      </c>
      <c r="AA10" s="44">
        <v>4496</v>
      </c>
      <c r="AB10" s="44">
        <v>4556</v>
      </c>
      <c r="AC10" s="44">
        <v>4614</v>
      </c>
      <c r="AD10" s="44">
        <v>4671</v>
      </c>
      <c r="AE10" s="44">
        <v>4729</v>
      </c>
      <c r="AF10" s="44">
        <v>4788</v>
      </c>
    </row>
    <row r="11" spans="1:32" ht="15" customHeight="1" x14ac:dyDescent="0.25">
      <c r="A11" s="43">
        <v>1350</v>
      </c>
      <c r="B11" s="44">
        <v>2955</v>
      </c>
      <c r="C11" s="44">
        <v>3016</v>
      </c>
      <c r="D11" s="44">
        <v>3076</v>
      </c>
      <c r="E11" s="44">
        <v>3135</v>
      </c>
      <c r="F11" s="44">
        <v>3195</v>
      </c>
      <c r="G11" s="44">
        <v>3254</v>
      </c>
      <c r="H11" s="44">
        <v>3314</v>
      </c>
      <c r="I11" s="44">
        <v>3373</v>
      </c>
      <c r="J11" s="44">
        <v>3436</v>
      </c>
      <c r="K11" s="44">
        <v>3494</v>
      </c>
      <c r="L11" s="44">
        <v>3553</v>
      </c>
      <c r="M11" s="44">
        <v>3705</v>
      </c>
      <c r="N11" s="44">
        <v>3853</v>
      </c>
      <c r="O11" s="44">
        <v>3919</v>
      </c>
      <c r="P11" s="44">
        <v>3976</v>
      </c>
      <c r="Q11" s="44">
        <v>4037</v>
      </c>
      <c r="R11" s="44">
        <v>4092</v>
      </c>
      <c r="S11" s="44">
        <v>4151</v>
      </c>
      <c r="T11" s="44">
        <v>4209</v>
      </c>
      <c r="U11" s="44">
        <v>4271</v>
      </c>
      <c r="V11" s="44">
        <v>4329</v>
      </c>
      <c r="W11" s="44">
        <v>4391</v>
      </c>
      <c r="X11" s="44">
        <v>4448</v>
      </c>
      <c r="Y11" s="44">
        <v>4509</v>
      </c>
      <c r="Z11" s="44">
        <v>4568</v>
      </c>
      <c r="AA11" s="44">
        <v>4630</v>
      </c>
      <c r="AB11" s="44">
        <v>4688</v>
      </c>
      <c r="AC11" s="44">
        <v>4748</v>
      </c>
      <c r="AD11" s="44">
        <v>4808</v>
      </c>
      <c r="AE11" s="44">
        <v>4868</v>
      </c>
      <c r="AF11" s="44">
        <v>4928</v>
      </c>
    </row>
    <row r="12" spans="1:32" ht="15" customHeight="1" x14ac:dyDescent="0.25">
      <c r="A12" s="43">
        <v>1450</v>
      </c>
      <c r="B12" s="44">
        <v>3044</v>
      </c>
      <c r="C12" s="44">
        <v>3108</v>
      </c>
      <c r="D12" s="44">
        <v>3167</v>
      </c>
      <c r="E12" s="44">
        <v>3232</v>
      </c>
      <c r="F12" s="44">
        <v>3292</v>
      </c>
      <c r="G12" s="44">
        <v>3352</v>
      </c>
      <c r="H12" s="44">
        <v>3414</v>
      </c>
      <c r="I12" s="44">
        <v>3475</v>
      </c>
      <c r="J12" s="44">
        <v>3540</v>
      </c>
      <c r="K12" s="44">
        <v>3599</v>
      </c>
      <c r="L12" s="44">
        <v>3660</v>
      </c>
      <c r="M12" s="44">
        <v>3810</v>
      </c>
      <c r="N12" s="44">
        <v>3962</v>
      </c>
      <c r="O12" s="44">
        <v>4022</v>
      </c>
      <c r="P12" s="44">
        <v>4086</v>
      </c>
      <c r="Q12" s="44">
        <v>4147</v>
      </c>
      <c r="R12" s="44">
        <v>4209</v>
      </c>
      <c r="S12" s="44">
        <v>4268</v>
      </c>
      <c r="T12" s="44">
        <v>4329</v>
      </c>
      <c r="U12" s="44">
        <v>4390</v>
      </c>
      <c r="V12" s="44">
        <v>4451</v>
      </c>
      <c r="W12" s="44">
        <v>4513</v>
      </c>
      <c r="X12" s="44">
        <v>4575</v>
      </c>
      <c r="Y12" s="44">
        <v>4639</v>
      </c>
      <c r="Z12" s="44">
        <v>4699</v>
      </c>
      <c r="AA12" s="44">
        <v>4760</v>
      </c>
      <c r="AB12" s="44">
        <v>4823</v>
      </c>
      <c r="AC12" s="44">
        <v>4883</v>
      </c>
      <c r="AD12" s="44">
        <v>4945</v>
      </c>
      <c r="AE12" s="44">
        <v>5007</v>
      </c>
      <c r="AF12" s="44">
        <v>5067</v>
      </c>
    </row>
    <row r="13" spans="1:32" ht="15" customHeight="1" x14ac:dyDescent="0.25">
      <c r="A13" s="43">
        <v>1550</v>
      </c>
      <c r="B13" s="44">
        <v>3135</v>
      </c>
      <c r="C13" s="44">
        <v>3200</v>
      </c>
      <c r="D13" s="44">
        <v>3260</v>
      </c>
      <c r="E13" s="44">
        <v>3325</v>
      </c>
      <c r="F13" s="44">
        <v>3389</v>
      </c>
      <c r="G13" s="44">
        <v>3451</v>
      </c>
      <c r="H13" s="44">
        <v>3515</v>
      </c>
      <c r="I13" s="44">
        <v>3578</v>
      </c>
      <c r="J13" s="44">
        <v>3640</v>
      </c>
      <c r="K13" s="44">
        <v>3704</v>
      </c>
      <c r="L13" s="44">
        <v>3767</v>
      </c>
      <c r="M13" s="44">
        <v>3920</v>
      </c>
      <c r="N13" s="44">
        <v>4071</v>
      </c>
      <c r="O13" s="44">
        <v>4136</v>
      </c>
      <c r="P13" s="44">
        <v>4196</v>
      </c>
      <c r="Q13" s="44">
        <v>4261</v>
      </c>
      <c r="R13" s="44">
        <v>4323</v>
      </c>
      <c r="S13" s="44">
        <v>4387</v>
      </c>
      <c r="T13" s="44">
        <v>4449</v>
      </c>
      <c r="U13" s="44">
        <v>4512</v>
      </c>
      <c r="V13" s="44">
        <v>4575</v>
      </c>
      <c r="W13" s="44">
        <v>4640</v>
      </c>
      <c r="X13" s="44">
        <v>4701</v>
      </c>
      <c r="Y13" s="44">
        <v>4766</v>
      </c>
      <c r="Z13" s="44">
        <v>4827</v>
      </c>
      <c r="AA13" s="44">
        <v>4890</v>
      </c>
      <c r="AB13" s="44">
        <v>4954</v>
      </c>
      <c r="AC13" s="44">
        <v>5017</v>
      </c>
      <c r="AD13" s="44">
        <v>5080</v>
      </c>
      <c r="AE13" s="44">
        <v>5144</v>
      </c>
      <c r="AF13" s="44">
        <v>5208</v>
      </c>
    </row>
    <row r="14" spans="1:32" ht="15" customHeight="1" x14ac:dyDescent="0.25">
      <c r="A14" s="43">
        <v>1650</v>
      </c>
      <c r="B14" s="44">
        <v>3224</v>
      </c>
      <c r="C14" s="44">
        <v>3289</v>
      </c>
      <c r="D14" s="44">
        <v>3357</v>
      </c>
      <c r="E14" s="44">
        <v>3420</v>
      </c>
      <c r="F14" s="44">
        <v>3486</v>
      </c>
      <c r="G14" s="44">
        <v>3551</v>
      </c>
      <c r="H14" s="44">
        <v>3616</v>
      </c>
      <c r="I14" s="44">
        <v>3679</v>
      </c>
      <c r="J14" s="44">
        <v>3744</v>
      </c>
      <c r="K14" s="44">
        <v>3809</v>
      </c>
      <c r="L14" s="44">
        <v>3873</v>
      </c>
      <c r="M14" s="44">
        <v>4029</v>
      </c>
      <c r="N14" s="44">
        <v>4180</v>
      </c>
      <c r="O14" s="44">
        <v>4248</v>
      </c>
      <c r="P14" s="44">
        <v>4310</v>
      </c>
      <c r="Q14" s="44">
        <v>4373</v>
      </c>
      <c r="R14" s="44">
        <v>4441</v>
      </c>
      <c r="S14" s="44">
        <v>4504</v>
      </c>
      <c r="T14" s="44">
        <v>4571</v>
      </c>
      <c r="U14" s="44">
        <v>4636</v>
      </c>
      <c r="V14" s="44">
        <v>4700</v>
      </c>
      <c r="W14" s="44">
        <v>4765</v>
      </c>
      <c r="X14" s="44">
        <v>4827</v>
      </c>
      <c r="Y14" s="44">
        <v>4893</v>
      </c>
      <c r="Z14" s="44">
        <v>4959</v>
      </c>
      <c r="AA14" s="44">
        <v>5025</v>
      </c>
      <c r="AB14" s="44">
        <v>5088</v>
      </c>
      <c r="AC14" s="44">
        <v>5154</v>
      </c>
      <c r="AD14" s="44">
        <v>5216</v>
      </c>
      <c r="AE14" s="44">
        <v>5283</v>
      </c>
      <c r="AF14" s="44">
        <v>5346</v>
      </c>
    </row>
    <row r="15" spans="1:32" ht="15" customHeight="1" x14ac:dyDescent="0.25">
      <c r="A15" s="43">
        <v>1750</v>
      </c>
      <c r="B15" s="44">
        <v>3316</v>
      </c>
      <c r="C15" s="44">
        <v>3388</v>
      </c>
      <c r="D15" s="44">
        <v>3448</v>
      </c>
      <c r="E15" s="44">
        <v>3516</v>
      </c>
      <c r="F15" s="44">
        <v>3584</v>
      </c>
      <c r="G15" s="44">
        <v>3649</v>
      </c>
      <c r="H15" s="44">
        <v>3715</v>
      </c>
      <c r="I15" s="44">
        <v>3781</v>
      </c>
      <c r="J15" s="44">
        <v>3844</v>
      </c>
      <c r="K15" s="44">
        <v>3913</v>
      </c>
      <c r="L15" s="44">
        <v>3982</v>
      </c>
      <c r="M15" s="44">
        <v>4138</v>
      </c>
      <c r="N15" s="44">
        <v>4294</v>
      </c>
      <c r="O15" s="44">
        <v>4358</v>
      </c>
      <c r="P15" s="44">
        <v>4423</v>
      </c>
      <c r="Q15" s="44">
        <v>4490</v>
      </c>
      <c r="R15" s="44">
        <v>4557</v>
      </c>
      <c r="S15" s="44">
        <v>4622</v>
      </c>
      <c r="T15" s="44">
        <v>4691</v>
      </c>
      <c r="U15" s="44">
        <v>4756</v>
      </c>
      <c r="V15" s="44">
        <v>4823</v>
      </c>
      <c r="W15" s="44">
        <v>4888</v>
      </c>
      <c r="X15" s="44">
        <v>4956</v>
      </c>
      <c r="Y15" s="44">
        <v>5023</v>
      </c>
      <c r="Z15" s="44">
        <v>5088</v>
      </c>
      <c r="AA15" s="44">
        <v>5155</v>
      </c>
      <c r="AB15" s="44">
        <v>5221</v>
      </c>
      <c r="AC15" s="44">
        <v>5288</v>
      </c>
      <c r="AD15" s="44">
        <v>5356</v>
      </c>
      <c r="AE15" s="44">
        <v>5769</v>
      </c>
      <c r="AF15" s="44">
        <v>6182</v>
      </c>
    </row>
    <row r="16" spans="1:32" ht="15" customHeight="1" x14ac:dyDescent="0.25">
      <c r="A16" s="43">
        <v>1850</v>
      </c>
      <c r="B16" s="44">
        <v>3408</v>
      </c>
      <c r="C16" s="44">
        <v>3474</v>
      </c>
      <c r="D16" s="44">
        <v>3544</v>
      </c>
      <c r="E16" s="44">
        <v>3610</v>
      </c>
      <c r="F16" s="44">
        <v>3678</v>
      </c>
      <c r="G16" s="44">
        <v>3747</v>
      </c>
      <c r="H16" s="44">
        <v>3816</v>
      </c>
      <c r="I16" s="44">
        <v>3881</v>
      </c>
      <c r="J16" s="44">
        <v>3947</v>
      </c>
      <c r="K16" s="44">
        <v>4019</v>
      </c>
      <c r="L16" s="44">
        <v>4090</v>
      </c>
      <c r="M16" s="44">
        <v>4247</v>
      </c>
      <c r="N16" s="44">
        <v>4400</v>
      </c>
      <c r="O16" s="44">
        <v>4467</v>
      </c>
      <c r="P16" s="44">
        <v>4534</v>
      </c>
      <c r="Q16" s="44">
        <v>4607</v>
      </c>
      <c r="R16" s="44">
        <v>4672</v>
      </c>
      <c r="S16" s="44">
        <v>4742</v>
      </c>
      <c r="T16" s="44">
        <v>4809</v>
      </c>
      <c r="U16" s="44">
        <v>4878</v>
      </c>
      <c r="V16" s="44">
        <v>4945</v>
      </c>
      <c r="W16" s="44">
        <v>5013</v>
      </c>
      <c r="X16" s="44">
        <v>5080</v>
      </c>
      <c r="Y16" s="44">
        <v>5152</v>
      </c>
      <c r="Z16" s="44">
        <v>5217</v>
      </c>
      <c r="AA16" s="44">
        <v>5286</v>
      </c>
      <c r="AB16" s="44">
        <v>5356</v>
      </c>
      <c r="AC16" s="44">
        <v>5783</v>
      </c>
      <c r="AD16" s="44">
        <v>5852</v>
      </c>
      <c r="AE16" s="44">
        <v>5920</v>
      </c>
      <c r="AF16" s="44">
        <v>6280</v>
      </c>
    </row>
    <row r="17" spans="1:32" ht="15" customHeight="1" x14ac:dyDescent="0.25">
      <c r="A17" s="43">
        <v>1950</v>
      </c>
      <c r="B17" s="44">
        <v>3496</v>
      </c>
      <c r="C17" s="44">
        <v>3566</v>
      </c>
      <c r="D17" s="44">
        <v>3636</v>
      </c>
      <c r="E17" s="44">
        <v>3706</v>
      </c>
      <c r="F17" s="44">
        <v>3776</v>
      </c>
      <c r="G17" s="44">
        <v>3843</v>
      </c>
      <c r="H17" s="44">
        <v>3915</v>
      </c>
      <c r="I17" s="44">
        <v>3986</v>
      </c>
      <c r="J17" s="44">
        <v>4054</v>
      </c>
      <c r="K17" s="44">
        <v>4123</v>
      </c>
      <c r="L17" s="44">
        <v>4194</v>
      </c>
      <c r="M17" s="44">
        <v>4354</v>
      </c>
      <c r="N17" s="44">
        <v>4511</v>
      </c>
      <c r="O17" s="44">
        <v>4583</v>
      </c>
      <c r="P17" s="44">
        <v>4651</v>
      </c>
      <c r="Q17" s="44">
        <v>4719</v>
      </c>
      <c r="R17" s="44">
        <v>4789</v>
      </c>
      <c r="S17" s="44">
        <v>4859</v>
      </c>
      <c r="T17" s="44">
        <v>4928</v>
      </c>
      <c r="U17" s="44">
        <v>5000</v>
      </c>
      <c r="V17" s="44">
        <v>5070</v>
      </c>
      <c r="W17" s="44">
        <v>5139</v>
      </c>
      <c r="X17" s="44">
        <v>5208</v>
      </c>
      <c r="Y17" s="44">
        <v>5280</v>
      </c>
      <c r="Z17" s="44">
        <v>5347</v>
      </c>
      <c r="AA17" s="44">
        <v>5774</v>
      </c>
      <c r="AB17" s="44">
        <v>6201</v>
      </c>
      <c r="AC17" s="44">
        <v>6285</v>
      </c>
      <c r="AD17" s="44">
        <v>6372</v>
      </c>
      <c r="AE17" s="44">
        <v>6457</v>
      </c>
      <c r="AF17" s="44">
        <v>6543</v>
      </c>
    </row>
    <row r="18" spans="1:32" ht="15" customHeight="1" x14ac:dyDescent="0.25">
      <c r="A18" s="43">
        <v>2050</v>
      </c>
      <c r="B18" s="44">
        <v>3588</v>
      </c>
      <c r="C18" s="44">
        <v>3659</v>
      </c>
      <c r="D18" s="44">
        <v>3729</v>
      </c>
      <c r="E18" s="44">
        <v>3801</v>
      </c>
      <c r="F18" s="44">
        <v>3872</v>
      </c>
      <c r="G18" s="44">
        <v>3944</v>
      </c>
      <c r="H18" s="44">
        <v>4015</v>
      </c>
      <c r="I18" s="44">
        <v>4089</v>
      </c>
      <c r="J18" s="44">
        <v>4157</v>
      </c>
      <c r="K18" s="44">
        <v>4227</v>
      </c>
      <c r="L18" s="44">
        <v>4301</v>
      </c>
      <c r="M18" s="44">
        <v>4461</v>
      </c>
      <c r="N18" s="44">
        <v>4620</v>
      </c>
      <c r="O18" s="44">
        <v>4695</v>
      </c>
      <c r="P18" s="44">
        <v>4765</v>
      </c>
      <c r="Q18" s="44">
        <v>4835</v>
      </c>
      <c r="R18" s="44">
        <v>4907</v>
      </c>
      <c r="S18" s="44">
        <v>4980</v>
      </c>
      <c r="T18" s="44">
        <v>5050</v>
      </c>
      <c r="U18" s="44">
        <v>5120</v>
      </c>
      <c r="V18" s="44">
        <v>5193</v>
      </c>
      <c r="W18" s="44">
        <v>5263</v>
      </c>
      <c r="X18" s="44">
        <v>5398</v>
      </c>
      <c r="Y18" s="44">
        <v>6108</v>
      </c>
      <c r="Z18" s="44">
        <v>6195</v>
      </c>
      <c r="AA18" s="44">
        <v>6370</v>
      </c>
      <c r="AB18" s="44">
        <v>6458</v>
      </c>
      <c r="AC18" s="44">
        <v>6536</v>
      </c>
      <c r="AD18" s="44">
        <v>6634</v>
      </c>
      <c r="AE18" s="44">
        <v>6722</v>
      </c>
      <c r="AF18" s="44">
        <v>6810</v>
      </c>
    </row>
    <row r="19" spans="1:32" ht="15" customHeight="1" x14ac:dyDescent="0.25">
      <c r="A19" s="43">
        <v>2150</v>
      </c>
      <c r="B19" s="44">
        <v>3677</v>
      </c>
      <c r="C19" s="44">
        <v>3751</v>
      </c>
      <c r="D19" s="44">
        <v>3825</v>
      </c>
      <c r="E19" s="44">
        <v>3896</v>
      </c>
      <c r="F19" s="44">
        <v>3969</v>
      </c>
      <c r="G19" s="44">
        <v>4043</v>
      </c>
      <c r="H19" s="44">
        <v>4115</v>
      </c>
      <c r="I19" s="44">
        <v>4190</v>
      </c>
      <c r="J19" s="44">
        <v>4262</v>
      </c>
      <c r="K19" s="44">
        <v>4335</v>
      </c>
      <c r="L19" s="44">
        <v>4408</v>
      </c>
      <c r="M19" s="44">
        <v>4570</v>
      </c>
      <c r="N19" s="44">
        <v>4731</v>
      </c>
      <c r="O19" s="44">
        <v>4804</v>
      </c>
      <c r="P19" s="44">
        <v>4879</v>
      </c>
      <c r="Q19" s="44">
        <v>4952</v>
      </c>
      <c r="R19" s="44">
        <v>5025</v>
      </c>
      <c r="S19" s="44">
        <v>5095</v>
      </c>
      <c r="T19" s="44">
        <v>5169</v>
      </c>
      <c r="U19" s="44">
        <v>5270</v>
      </c>
      <c r="V19" s="44">
        <v>5334</v>
      </c>
      <c r="W19" s="44">
        <v>6091</v>
      </c>
      <c r="X19" s="44">
        <v>6180</v>
      </c>
      <c r="Y19" s="44">
        <v>6270</v>
      </c>
      <c r="Z19" s="44">
        <v>6359</v>
      </c>
      <c r="AA19" s="44">
        <v>6450</v>
      </c>
      <c r="AB19" s="44">
        <v>6542</v>
      </c>
      <c r="AC19" s="44">
        <v>6628</v>
      </c>
      <c r="AD19" s="44">
        <v>6721</v>
      </c>
      <c r="AE19" s="44">
        <v>6811</v>
      </c>
      <c r="AF19" s="44">
        <v>6899</v>
      </c>
    </row>
    <row r="20" spans="1:32" ht="15" customHeight="1" x14ac:dyDescent="0.25">
      <c r="A20" s="43">
        <v>2250</v>
      </c>
      <c r="B20" s="44">
        <v>3767</v>
      </c>
      <c r="C20" s="44">
        <v>3841</v>
      </c>
      <c r="D20" s="44">
        <v>3919</v>
      </c>
      <c r="E20" s="44">
        <v>3992</v>
      </c>
      <c r="F20" s="44">
        <v>4066</v>
      </c>
      <c r="G20" s="44">
        <v>4141</v>
      </c>
      <c r="H20" s="44">
        <v>4217</v>
      </c>
      <c r="I20" s="44">
        <v>4288</v>
      </c>
      <c r="J20" s="44">
        <v>4365</v>
      </c>
      <c r="K20" s="44">
        <v>4438</v>
      </c>
      <c r="L20" s="44">
        <v>4513</v>
      </c>
      <c r="M20" s="44">
        <v>4674</v>
      </c>
      <c r="N20" s="44">
        <v>4842</v>
      </c>
      <c r="O20" s="44">
        <v>4918</v>
      </c>
      <c r="P20" s="44">
        <v>4988</v>
      </c>
      <c r="Q20" s="44">
        <v>5065</v>
      </c>
      <c r="R20" s="44">
        <v>5139</v>
      </c>
      <c r="S20" s="44">
        <v>5213</v>
      </c>
      <c r="T20" s="44">
        <v>5289</v>
      </c>
      <c r="U20" s="44">
        <v>5723</v>
      </c>
      <c r="V20" s="44">
        <v>6155</v>
      </c>
      <c r="W20" s="44">
        <v>6246</v>
      </c>
      <c r="X20" s="44">
        <v>6340</v>
      </c>
      <c r="Y20" s="44">
        <v>6432</v>
      </c>
      <c r="Z20" s="44">
        <v>6526</v>
      </c>
      <c r="AA20" s="44">
        <v>6617</v>
      </c>
      <c r="AB20" s="44">
        <v>6710</v>
      </c>
      <c r="AC20" s="44">
        <v>6803</v>
      </c>
      <c r="AD20" s="44">
        <v>6896</v>
      </c>
      <c r="AE20" s="44">
        <v>6987</v>
      </c>
      <c r="AF20" s="44">
        <v>7082</v>
      </c>
    </row>
    <row r="21" spans="1:32" ht="15" customHeight="1" x14ac:dyDescent="0.25">
      <c r="A21" s="43">
        <v>2350</v>
      </c>
      <c r="B21" s="44">
        <v>3913</v>
      </c>
      <c r="C21" s="44">
        <v>3990</v>
      </c>
      <c r="D21" s="44">
        <v>4066</v>
      </c>
      <c r="E21" s="44">
        <v>4142</v>
      </c>
      <c r="F21" s="44">
        <v>4219</v>
      </c>
      <c r="G21" s="44">
        <v>4297</v>
      </c>
      <c r="H21" s="44">
        <v>4371</v>
      </c>
      <c r="I21" s="44">
        <v>4446</v>
      </c>
      <c r="J21" s="44">
        <v>4524</v>
      </c>
      <c r="K21" s="44">
        <v>4601</v>
      </c>
      <c r="L21" s="44">
        <v>4677</v>
      </c>
      <c r="M21" s="44">
        <v>4843</v>
      </c>
      <c r="N21" s="44">
        <v>5008</v>
      </c>
      <c r="O21" s="44">
        <v>5085</v>
      </c>
      <c r="P21" s="44">
        <v>5159</v>
      </c>
      <c r="Q21" s="44">
        <v>5237</v>
      </c>
      <c r="R21" s="44">
        <v>5314</v>
      </c>
      <c r="S21" s="44">
        <v>6227</v>
      </c>
      <c r="T21" s="44">
        <v>6304</v>
      </c>
      <c r="U21" s="44">
        <v>7041</v>
      </c>
      <c r="V21" s="44">
        <v>7167</v>
      </c>
      <c r="W21" s="44">
        <v>7257</v>
      </c>
      <c r="X21" s="44">
        <v>7350</v>
      </c>
      <c r="Y21" s="44">
        <v>7438</v>
      </c>
      <c r="Z21" s="44">
        <v>7525</v>
      </c>
      <c r="AA21" s="44">
        <v>7619</v>
      </c>
      <c r="AB21" s="44">
        <v>7711</v>
      </c>
      <c r="AC21" s="44">
        <v>7800</v>
      </c>
      <c r="AD21" s="44">
        <v>7892</v>
      </c>
      <c r="AE21" s="44">
        <v>7984</v>
      </c>
      <c r="AF21" s="44">
        <v>8076</v>
      </c>
    </row>
    <row r="22" spans="1:32" ht="15" customHeight="1" x14ac:dyDescent="0.25">
      <c r="A22" s="43">
        <v>2450</v>
      </c>
      <c r="B22" s="44">
        <v>4003</v>
      </c>
      <c r="C22" s="44">
        <v>4084</v>
      </c>
      <c r="D22" s="44">
        <v>4159</v>
      </c>
      <c r="E22" s="44">
        <v>4237</v>
      </c>
      <c r="F22" s="44">
        <v>4316</v>
      </c>
      <c r="G22" s="44">
        <v>4396</v>
      </c>
      <c r="H22" s="44">
        <v>4472</v>
      </c>
      <c r="I22" s="44">
        <v>4549</v>
      </c>
      <c r="J22" s="44">
        <v>4628</v>
      </c>
      <c r="K22" s="44">
        <v>4705</v>
      </c>
      <c r="L22" s="44">
        <v>4781</v>
      </c>
      <c r="M22" s="44">
        <v>4948</v>
      </c>
      <c r="N22" s="44">
        <v>5117</v>
      </c>
      <c r="O22" s="44">
        <v>5196</v>
      </c>
      <c r="P22" s="44">
        <v>5272</v>
      </c>
      <c r="Q22" s="44">
        <v>5701</v>
      </c>
      <c r="R22" s="44">
        <v>6128</v>
      </c>
      <c r="S22" s="44">
        <v>6228</v>
      </c>
      <c r="T22" s="44">
        <v>6326</v>
      </c>
      <c r="U22" s="44">
        <v>6425</v>
      </c>
      <c r="V22" s="44">
        <v>6523</v>
      </c>
      <c r="W22" s="44">
        <v>6617</v>
      </c>
      <c r="X22" s="44">
        <v>6814</v>
      </c>
      <c r="Y22" s="44">
        <v>6909</v>
      </c>
      <c r="Z22" s="44">
        <v>7007</v>
      </c>
      <c r="AA22" s="44">
        <v>7104</v>
      </c>
      <c r="AB22" s="44">
        <v>7201</v>
      </c>
      <c r="AC22" s="44">
        <v>7299</v>
      </c>
      <c r="AD22" s="44">
        <v>7390</v>
      </c>
      <c r="AE22" s="44">
        <v>7404</v>
      </c>
      <c r="AF22" s="44">
        <v>7404</v>
      </c>
    </row>
    <row r="23" spans="1:32" ht="15" customHeight="1" x14ac:dyDescent="0.25">
      <c r="A23" s="43">
        <v>2550</v>
      </c>
      <c r="B23" s="44">
        <v>4095</v>
      </c>
      <c r="C23" s="44">
        <v>4174</v>
      </c>
      <c r="D23" s="44">
        <v>4255</v>
      </c>
      <c r="E23" s="44">
        <v>4333</v>
      </c>
      <c r="F23" s="44">
        <v>4412</v>
      </c>
      <c r="G23" s="44">
        <v>4491</v>
      </c>
      <c r="H23" s="44">
        <v>4573</v>
      </c>
      <c r="I23" s="44">
        <v>4652</v>
      </c>
      <c r="J23" s="44">
        <v>4731</v>
      </c>
      <c r="K23" s="44">
        <v>4810</v>
      </c>
      <c r="L23" s="44">
        <v>4888</v>
      </c>
      <c r="M23" s="44">
        <v>5056</v>
      </c>
      <c r="N23" s="44">
        <v>5226</v>
      </c>
      <c r="O23" s="44">
        <v>5306</v>
      </c>
      <c r="P23" s="44">
        <v>5683</v>
      </c>
      <c r="Q23" s="44">
        <v>6175</v>
      </c>
      <c r="R23" s="44">
        <v>6275</v>
      </c>
      <c r="S23" s="44">
        <v>6377</v>
      </c>
      <c r="T23" s="44">
        <v>6474</v>
      </c>
      <c r="U23" s="44">
        <v>6574</v>
      </c>
      <c r="V23" s="44">
        <v>6675</v>
      </c>
      <c r="W23" s="44">
        <v>6775</v>
      </c>
      <c r="X23" s="44">
        <v>6876</v>
      </c>
      <c r="Y23" s="44">
        <v>6975</v>
      </c>
      <c r="Z23" s="44">
        <v>7076</v>
      </c>
      <c r="AA23" s="44">
        <v>7173</v>
      </c>
      <c r="AB23" s="44">
        <v>7274</v>
      </c>
      <c r="AC23" s="44">
        <v>7374</v>
      </c>
      <c r="AD23" s="44">
        <v>7474</v>
      </c>
      <c r="AE23" s="44">
        <v>7574</v>
      </c>
      <c r="AF23" s="44">
        <v>7674</v>
      </c>
    </row>
    <row r="24" spans="1:32" ht="15" customHeight="1" x14ac:dyDescent="0.25">
      <c r="A24" s="43">
        <v>2650</v>
      </c>
      <c r="B24" s="44">
        <v>4187</v>
      </c>
      <c r="C24" s="44">
        <v>4264</v>
      </c>
      <c r="D24" s="44">
        <v>4351</v>
      </c>
      <c r="E24" s="44">
        <v>4429</v>
      </c>
      <c r="F24" s="44">
        <v>4508</v>
      </c>
      <c r="G24" s="44">
        <v>4590</v>
      </c>
      <c r="H24" s="44">
        <v>4674</v>
      </c>
      <c r="I24" s="44">
        <v>4755</v>
      </c>
      <c r="J24" s="44">
        <v>4834</v>
      </c>
      <c r="K24" s="44">
        <v>4915</v>
      </c>
      <c r="L24" s="44">
        <v>4995</v>
      </c>
      <c r="M24" s="44">
        <v>5164</v>
      </c>
      <c r="N24" s="44">
        <v>5335</v>
      </c>
      <c r="O24" s="44">
        <v>6104</v>
      </c>
      <c r="P24" s="44">
        <v>6214</v>
      </c>
      <c r="Q24" s="44">
        <v>6378</v>
      </c>
      <c r="R24" s="44">
        <v>6710</v>
      </c>
      <c r="S24" s="44">
        <v>6770</v>
      </c>
      <c r="T24" s="44">
        <v>7014</v>
      </c>
      <c r="U24" s="44">
        <v>7117</v>
      </c>
      <c r="V24" s="44">
        <v>7220</v>
      </c>
      <c r="W24" s="44">
        <v>7322</v>
      </c>
      <c r="X24" s="44">
        <v>7426</v>
      </c>
      <c r="Y24" s="44">
        <v>7530</v>
      </c>
      <c r="Z24" s="44">
        <v>7635</v>
      </c>
      <c r="AA24" s="44">
        <v>7739</v>
      </c>
      <c r="AB24" s="44">
        <v>7844</v>
      </c>
      <c r="AC24" s="44">
        <v>7950</v>
      </c>
      <c r="AD24" s="44">
        <v>8055</v>
      </c>
      <c r="AE24" s="44">
        <v>8160</v>
      </c>
      <c r="AF24" s="44">
        <v>8265</v>
      </c>
    </row>
    <row r="25" spans="1:32" ht="15" customHeight="1" x14ac:dyDescent="0.25">
      <c r="A25" s="43">
        <v>2700</v>
      </c>
      <c r="B25" s="44">
        <v>4279</v>
      </c>
      <c r="C25" s="44">
        <v>4354</v>
      </c>
      <c r="D25" s="44">
        <v>4447</v>
      </c>
      <c r="E25" s="44">
        <v>4525</v>
      </c>
      <c r="F25" s="44">
        <v>4604</v>
      </c>
      <c r="G25" s="44">
        <v>4689</v>
      </c>
      <c r="H25" s="44">
        <v>4775</v>
      </c>
      <c r="I25" s="44">
        <v>4858</v>
      </c>
      <c r="J25" s="44">
        <v>4937</v>
      </c>
      <c r="K25" s="44">
        <v>5019</v>
      </c>
      <c r="L25" s="44">
        <v>5102</v>
      </c>
      <c r="M25" s="44">
        <v>5272</v>
      </c>
      <c r="N25" s="44">
        <v>5444</v>
      </c>
      <c r="O25" s="44">
        <v>6275</v>
      </c>
      <c r="P25" s="44">
        <v>6357</v>
      </c>
      <c r="Q25" s="44">
        <v>6463</v>
      </c>
      <c r="R25" s="44">
        <v>6669</v>
      </c>
      <c r="S25" s="44">
        <v>6675</v>
      </c>
      <c r="T25" s="44">
        <v>6770</v>
      </c>
      <c r="U25" s="44">
        <v>6872</v>
      </c>
      <c r="V25" s="44">
        <v>6979</v>
      </c>
      <c r="W25" s="44">
        <v>7092</v>
      </c>
      <c r="X25" s="44">
        <v>7200</v>
      </c>
      <c r="Y25" s="44">
        <v>7297</v>
      </c>
      <c r="Z25" s="44">
        <v>7410</v>
      </c>
      <c r="AA25" s="44">
        <v>7505</v>
      </c>
      <c r="AB25" s="44">
        <v>7614</v>
      </c>
      <c r="AC25" s="44">
        <v>7717</v>
      </c>
      <c r="AD25" s="44">
        <v>7820</v>
      </c>
      <c r="AE25" s="44">
        <v>8082</v>
      </c>
      <c r="AF25" s="44">
        <v>8358</v>
      </c>
    </row>
    <row r="27" spans="1:32" ht="15" customHeight="1" x14ac:dyDescent="0.25">
      <c r="A27" s="121" t="s">
        <v>261</v>
      </c>
      <c r="B27" s="93"/>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row>
    <row r="28" spans="1:32" ht="15" customHeight="1" x14ac:dyDescent="0.25">
      <c r="A28" s="43" t="s">
        <v>260</v>
      </c>
      <c r="B28" s="43">
        <v>2000</v>
      </c>
      <c r="C28" s="43">
        <v>2100</v>
      </c>
      <c r="D28" s="43">
        <v>2200</v>
      </c>
      <c r="E28" s="43">
        <v>2300</v>
      </c>
      <c r="F28" s="43">
        <v>2400</v>
      </c>
      <c r="G28" s="43">
        <v>2500</v>
      </c>
      <c r="H28" s="43">
        <v>2600</v>
      </c>
      <c r="I28" s="43">
        <v>2700</v>
      </c>
      <c r="J28" s="43">
        <v>2800</v>
      </c>
      <c r="K28" s="43">
        <v>2900</v>
      </c>
      <c r="L28" s="43">
        <v>3000</v>
      </c>
      <c r="M28" s="43">
        <v>3100</v>
      </c>
      <c r="N28" s="43">
        <v>3200</v>
      </c>
      <c r="O28" s="43">
        <v>3300</v>
      </c>
      <c r="P28" s="43">
        <v>3400</v>
      </c>
      <c r="Q28" s="43">
        <v>3500</v>
      </c>
      <c r="R28" s="43">
        <v>3600</v>
      </c>
      <c r="S28" s="43">
        <v>3700</v>
      </c>
      <c r="T28" s="43">
        <v>3800</v>
      </c>
      <c r="U28" s="43">
        <v>3900</v>
      </c>
      <c r="V28" s="43">
        <v>4000</v>
      </c>
      <c r="W28" s="43">
        <v>4100</v>
      </c>
      <c r="X28" s="43">
        <v>4200</v>
      </c>
      <c r="Y28" s="43">
        <v>4300</v>
      </c>
      <c r="Z28" s="43">
        <v>4400</v>
      </c>
      <c r="AA28" s="43">
        <v>4500</v>
      </c>
      <c r="AB28" s="43">
        <v>4600</v>
      </c>
      <c r="AC28" s="43">
        <v>4700</v>
      </c>
      <c r="AD28" s="43">
        <v>4800</v>
      </c>
      <c r="AE28" s="43">
        <v>4900</v>
      </c>
      <c r="AF28" s="43">
        <v>5000</v>
      </c>
    </row>
    <row r="29" spans="1:32" ht="15" customHeight="1" x14ac:dyDescent="0.25">
      <c r="A29" s="43">
        <v>750</v>
      </c>
      <c r="B29" s="45">
        <v>1.61</v>
      </c>
      <c r="C29" s="45">
        <v>1.65</v>
      </c>
      <c r="D29" s="45">
        <v>1.7</v>
      </c>
      <c r="E29" s="45">
        <v>1.74</v>
      </c>
      <c r="F29" s="45">
        <v>1.79</v>
      </c>
      <c r="G29" s="45">
        <v>1.83</v>
      </c>
      <c r="H29" s="45">
        <v>1.88</v>
      </c>
      <c r="I29" s="45">
        <v>1.92</v>
      </c>
      <c r="J29" s="45">
        <v>1.97</v>
      </c>
      <c r="K29" s="45">
        <v>2.0099999999999998</v>
      </c>
      <c r="L29" s="45">
        <v>2.06</v>
      </c>
      <c r="M29" s="45">
        <v>2.11</v>
      </c>
      <c r="N29" s="45">
        <v>2.16</v>
      </c>
      <c r="O29" s="45">
        <v>2.2000000000000002</v>
      </c>
      <c r="P29" s="45">
        <v>2.25</v>
      </c>
      <c r="Q29" s="45">
        <v>2.2999999999999998</v>
      </c>
      <c r="R29" s="45">
        <v>2.34</v>
      </c>
      <c r="S29" s="45">
        <v>2.39</v>
      </c>
      <c r="T29" s="45">
        <v>2.44</v>
      </c>
      <c r="U29" s="45">
        <v>2.48</v>
      </c>
      <c r="V29" s="45">
        <v>2.5299999999999998</v>
      </c>
      <c r="W29" s="45">
        <v>2.58</v>
      </c>
      <c r="X29" s="45">
        <v>2.63</v>
      </c>
      <c r="Y29" s="45">
        <v>2.67</v>
      </c>
      <c r="Z29" s="45">
        <v>2.72</v>
      </c>
      <c r="AA29" s="45">
        <v>2.77</v>
      </c>
      <c r="AB29" s="45">
        <v>2.82</v>
      </c>
      <c r="AC29" s="45">
        <v>2.87</v>
      </c>
      <c r="AD29" s="45">
        <v>2.91</v>
      </c>
      <c r="AE29" s="45">
        <v>2.95</v>
      </c>
      <c r="AF29" s="45">
        <v>3</v>
      </c>
    </row>
    <row r="30" spans="1:32" ht="15" customHeight="1" x14ac:dyDescent="0.25">
      <c r="A30" s="43">
        <v>850</v>
      </c>
      <c r="B30" s="45">
        <v>1.19</v>
      </c>
      <c r="C30" s="45">
        <v>1.25</v>
      </c>
      <c r="D30" s="45">
        <v>1.32</v>
      </c>
      <c r="E30" s="45">
        <v>1.38</v>
      </c>
      <c r="F30" s="45">
        <v>1.45</v>
      </c>
      <c r="G30" s="45">
        <v>1.52</v>
      </c>
      <c r="H30" s="45">
        <v>1.58</v>
      </c>
      <c r="I30" s="45">
        <v>1.65</v>
      </c>
      <c r="J30" s="45">
        <v>1.72</v>
      </c>
      <c r="K30" s="45">
        <v>1.78</v>
      </c>
      <c r="L30" s="45">
        <v>1.85</v>
      </c>
      <c r="M30" s="45">
        <v>1.91</v>
      </c>
      <c r="N30" s="45">
        <v>1.98</v>
      </c>
      <c r="O30" s="45">
        <v>2.0499999999999998</v>
      </c>
      <c r="P30" s="45">
        <v>2.11</v>
      </c>
      <c r="Q30" s="45">
        <v>2.1800000000000002</v>
      </c>
      <c r="R30" s="45">
        <v>2.2400000000000002</v>
      </c>
      <c r="S30" s="45">
        <v>2.31</v>
      </c>
      <c r="T30" s="45">
        <v>2.38</v>
      </c>
      <c r="U30" s="45">
        <v>2.44</v>
      </c>
      <c r="V30" s="45">
        <v>2.5099999999999998</v>
      </c>
      <c r="W30" s="45">
        <v>2.58</v>
      </c>
      <c r="X30" s="45">
        <v>2.64</v>
      </c>
      <c r="Y30" s="45">
        <v>2.71</v>
      </c>
      <c r="Z30" s="45">
        <v>2.77</v>
      </c>
      <c r="AA30" s="45">
        <v>2.84</v>
      </c>
      <c r="AB30" s="45">
        <v>2.91</v>
      </c>
      <c r="AC30" s="45">
        <v>2.97</v>
      </c>
      <c r="AD30" s="45">
        <v>3.04</v>
      </c>
      <c r="AE30" s="45">
        <v>3.11</v>
      </c>
      <c r="AF30" s="45">
        <v>3.17</v>
      </c>
    </row>
    <row r="31" spans="1:32" ht="15" customHeight="1" x14ac:dyDescent="0.25">
      <c r="A31" s="43">
        <v>950</v>
      </c>
      <c r="B31" s="45">
        <v>1.36</v>
      </c>
      <c r="C31" s="45">
        <v>1.44</v>
      </c>
      <c r="D31" s="45">
        <v>1.52</v>
      </c>
      <c r="E31" s="45">
        <v>1.59</v>
      </c>
      <c r="F31" s="45">
        <v>1.67</v>
      </c>
      <c r="G31" s="45">
        <v>1.75</v>
      </c>
      <c r="H31" s="45">
        <v>1.82</v>
      </c>
      <c r="I31" s="45">
        <v>1.9</v>
      </c>
      <c r="J31" s="45">
        <v>1.97</v>
      </c>
      <c r="K31" s="45">
        <v>2.0499999999999998</v>
      </c>
      <c r="L31" s="45">
        <v>2.13</v>
      </c>
      <c r="M31" s="45">
        <v>2.2000000000000002</v>
      </c>
      <c r="N31" s="45">
        <v>2.2799999999999998</v>
      </c>
      <c r="O31" s="45">
        <v>2.36</v>
      </c>
      <c r="P31" s="45">
        <v>2.4300000000000002</v>
      </c>
      <c r="Q31" s="45">
        <v>2.5099999999999998</v>
      </c>
      <c r="R31" s="45">
        <v>2.58</v>
      </c>
      <c r="S31" s="45">
        <v>2.66</v>
      </c>
      <c r="T31" s="45">
        <v>2.74</v>
      </c>
      <c r="U31" s="45">
        <v>2.81</v>
      </c>
      <c r="V31" s="45">
        <v>2.89</v>
      </c>
      <c r="W31" s="45">
        <v>2.96</v>
      </c>
      <c r="X31" s="45">
        <v>3.04</v>
      </c>
      <c r="Y31" s="45">
        <v>3.12</v>
      </c>
      <c r="Z31" s="45">
        <v>3.19</v>
      </c>
      <c r="AA31" s="45">
        <v>3.27</v>
      </c>
      <c r="AB31" s="45">
        <v>3.35</v>
      </c>
      <c r="AC31" s="45">
        <v>3.42</v>
      </c>
      <c r="AD31" s="45">
        <v>3.5</v>
      </c>
      <c r="AE31" s="45">
        <v>3.57</v>
      </c>
      <c r="AF31" s="45">
        <v>3.65</v>
      </c>
    </row>
    <row r="32" spans="1:32" ht="15" customHeight="1" x14ac:dyDescent="0.25">
      <c r="A32" s="43">
        <v>1050</v>
      </c>
      <c r="B32" s="45">
        <v>1.52</v>
      </c>
      <c r="C32" s="45">
        <v>1.62</v>
      </c>
      <c r="D32" s="45">
        <v>1.72</v>
      </c>
      <c r="E32" s="45">
        <v>1.8</v>
      </c>
      <c r="F32" s="45">
        <v>1.89</v>
      </c>
      <c r="G32" s="45">
        <v>1.98</v>
      </c>
      <c r="H32" s="45">
        <v>2.06</v>
      </c>
      <c r="I32" s="45">
        <v>2.15</v>
      </c>
      <c r="J32" s="45">
        <v>2.23</v>
      </c>
      <c r="K32" s="45">
        <v>2.3199999999999998</v>
      </c>
      <c r="L32" s="45">
        <v>2.41</v>
      </c>
      <c r="M32" s="45">
        <v>2.4900000000000002</v>
      </c>
      <c r="N32" s="45">
        <v>2.58</v>
      </c>
      <c r="O32" s="45">
        <v>2.67</v>
      </c>
      <c r="P32" s="45">
        <v>2.75</v>
      </c>
      <c r="Q32" s="45">
        <v>2.84</v>
      </c>
      <c r="R32" s="45">
        <v>2.92</v>
      </c>
      <c r="S32" s="45">
        <v>3.01</v>
      </c>
      <c r="T32" s="45">
        <v>3.1</v>
      </c>
      <c r="U32" s="45">
        <v>3.18</v>
      </c>
      <c r="V32" s="45">
        <v>3.27</v>
      </c>
      <c r="W32" s="45">
        <v>3.35</v>
      </c>
      <c r="X32" s="45">
        <v>3.44</v>
      </c>
      <c r="Y32" s="45">
        <v>3.53</v>
      </c>
      <c r="Z32" s="45">
        <v>3.61</v>
      </c>
      <c r="AA32" s="45">
        <v>3.7</v>
      </c>
      <c r="AB32" s="45">
        <v>3.78</v>
      </c>
      <c r="AC32" s="45">
        <v>3.87</v>
      </c>
      <c r="AD32" s="45">
        <v>3.95</v>
      </c>
      <c r="AE32" s="45">
        <v>4.04</v>
      </c>
      <c r="AF32" s="45">
        <v>4.13</v>
      </c>
    </row>
    <row r="33" spans="1:32" ht="15" customHeight="1" x14ac:dyDescent="0.25">
      <c r="A33" s="43">
        <v>1150</v>
      </c>
      <c r="B33" s="45">
        <v>1.74</v>
      </c>
      <c r="C33" s="45">
        <v>1.82</v>
      </c>
      <c r="D33" s="45">
        <v>1.92</v>
      </c>
      <c r="E33" s="45">
        <v>2.0099999999999998</v>
      </c>
      <c r="F33" s="45">
        <v>2.11</v>
      </c>
      <c r="G33" s="45">
        <v>2.2000000000000002</v>
      </c>
      <c r="H33" s="45">
        <v>2.2999999999999998</v>
      </c>
      <c r="I33" s="45">
        <v>2.4</v>
      </c>
      <c r="J33" s="45">
        <v>2.4900000000000002</v>
      </c>
      <c r="K33" s="45">
        <v>2.59</v>
      </c>
      <c r="L33" s="45">
        <v>2.69</v>
      </c>
      <c r="M33" s="45">
        <v>2.78</v>
      </c>
      <c r="N33" s="45">
        <v>2.88</v>
      </c>
      <c r="O33" s="45">
        <v>2.97</v>
      </c>
      <c r="P33" s="45">
        <v>3.07</v>
      </c>
      <c r="Q33" s="45">
        <v>3.17</v>
      </c>
      <c r="R33" s="45">
        <v>3.26</v>
      </c>
      <c r="S33" s="45">
        <v>3.36</v>
      </c>
      <c r="T33" s="45">
        <v>3.45</v>
      </c>
      <c r="U33" s="45">
        <v>3.55</v>
      </c>
      <c r="V33" s="45">
        <v>3.65</v>
      </c>
      <c r="W33" s="45">
        <v>3.74</v>
      </c>
      <c r="X33" s="45">
        <v>3.84</v>
      </c>
      <c r="Y33" s="45">
        <v>3.94</v>
      </c>
      <c r="Z33" s="45">
        <v>4.03</v>
      </c>
      <c r="AA33" s="45">
        <v>4.13</v>
      </c>
      <c r="AB33" s="45">
        <v>4.22</v>
      </c>
      <c r="AC33" s="45">
        <v>4.32</v>
      </c>
      <c r="AD33" s="45">
        <v>4.42</v>
      </c>
      <c r="AE33" s="45">
        <v>4.51</v>
      </c>
      <c r="AF33" s="45">
        <v>4.6100000000000003</v>
      </c>
    </row>
    <row r="34" spans="1:32" ht="15" customHeight="1" x14ac:dyDescent="0.25">
      <c r="A34" s="43">
        <v>1250</v>
      </c>
      <c r="B34" s="45">
        <v>1.9</v>
      </c>
      <c r="C34" s="45">
        <v>2.0099999999999998</v>
      </c>
      <c r="D34" s="45">
        <v>2.11</v>
      </c>
      <c r="E34" s="45">
        <v>2.2200000000000002</v>
      </c>
      <c r="F34" s="45">
        <v>2.33</v>
      </c>
      <c r="G34" s="45">
        <v>2.4300000000000002</v>
      </c>
      <c r="H34" s="45">
        <v>2.54</v>
      </c>
      <c r="I34" s="45">
        <v>2.65</v>
      </c>
      <c r="J34" s="45">
        <v>2.75</v>
      </c>
      <c r="K34" s="45">
        <v>2.85</v>
      </c>
      <c r="L34" s="45">
        <v>2.96</v>
      </c>
      <c r="M34" s="45">
        <v>3.07</v>
      </c>
      <c r="N34" s="45">
        <v>3.17</v>
      </c>
      <c r="O34" s="45">
        <v>3.28</v>
      </c>
      <c r="P34" s="45">
        <v>3.39</v>
      </c>
      <c r="Q34" s="45">
        <v>3.5</v>
      </c>
      <c r="R34" s="45">
        <v>3.6</v>
      </c>
      <c r="S34" s="45">
        <v>3.71</v>
      </c>
      <c r="T34" s="45">
        <v>3.81</v>
      </c>
      <c r="U34" s="45">
        <v>3.92</v>
      </c>
      <c r="V34" s="45">
        <v>4.03</v>
      </c>
      <c r="W34" s="45">
        <v>4.13</v>
      </c>
      <c r="X34" s="45">
        <v>4.24</v>
      </c>
      <c r="Y34" s="45">
        <v>4.34</v>
      </c>
      <c r="Z34" s="45">
        <v>4.45</v>
      </c>
      <c r="AA34" s="45">
        <v>4.5599999999999996</v>
      </c>
      <c r="AB34" s="45">
        <v>4.66</v>
      </c>
      <c r="AC34" s="45">
        <v>4.7699999999999996</v>
      </c>
      <c r="AD34" s="45">
        <v>4.88</v>
      </c>
      <c r="AE34" s="45">
        <v>4.9800000000000004</v>
      </c>
      <c r="AF34" s="45">
        <v>5.09</v>
      </c>
    </row>
    <row r="35" spans="1:32" ht="15" customHeight="1" x14ac:dyDescent="0.25">
      <c r="A35" s="43">
        <v>1350</v>
      </c>
      <c r="B35" s="45">
        <v>2.08</v>
      </c>
      <c r="C35" s="45">
        <v>2.2000000000000002</v>
      </c>
      <c r="D35" s="45">
        <v>2.31</v>
      </c>
      <c r="E35" s="45">
        <v>2.4300000000000002</v>
      </c>
      <c r="F35" s="45">
        <v>2.5499999999999998</v>
      </c>
      <c r="G35" s="45">
        <v>2.66</v>
      </c>
      <c r="H35" s="45">
        <v>2.78</v>
      </c>
      <c r="I35" s="45">
        <v>2.89</v>
      </c>
      <c r="J35" s="45">
        <v>3.01</v>
      </c>
      <c r="K35" s="45">
        <v>3.13</v>
      </c>
      <c r="L35" s="45">
        <v>3.24</v>
      </c>
      <c r="M35" s="45">
        <v>3.36</v>
      </c>
      <c r="N35" s="45">
        <v>3.47</v>
      </c>
      <c r="O35" s="45">
        <v>3.59</v>
      </c>
      <c r="P35" s="45">
        <v>3.71</v>
      </c>
      <c r="Q35" s="45">
        <v>3.82</v>
      </c>
      <c r="R35" s="45">
        <v>3.94</v>
      </c>
      <c r="S35" s="45">
        <v>4.0599999999999996</v>
      </c>
      <c r="T35" s="45">
        <v>4.17</v>
      </c>
      <c r="U35" s="45">
        <v>4.29</v>
      </c>
      <c r="V35" s="45">
        <v>4.41</v>
      </c>
      <c r="W35" s="45">
        <v>4.5199999999999996</v>
      </c>
      <c r="X35" s="45">
        <v>4.6399999999999997</v>
      </c>
      <c r="Y35" s="45">
        <v>4.75</v>
      </c>
      <c r="Z35" s="45">
        <v>4.87</v>
      </c>
      <c r="AA35" s="45">
        <v>4.99</v>
      </c>
      <c r="AB35" s="45">
        <v>5.0999999999999996</v>
      </c>
      <c r="AC35" s="45">
        <v>5.22</v>
      </c>
      <c r="AD35" s="45">
        <v>5.33</v>
      </c>
      <c r="AE35" s="45">
        <v>5.45</v>
      </c>
      <c r="AF35" s="45">
        <v>5.57</v>
      </c>
    </row>
    <row r="36" spans="1:32" ht="15" customHeight="1" x14ac:dyDescent="0.25">
      <c r="A36" s="43">
        <v>1450</v>
      </c>
      <c r="B36" s="45">
        <v>2.2599999999999998</v>
      </c>
      <c r="C36" s="45">
        <v>2.39</v>
      </c>
      <c r="D36" s="45">
        <v>2.5099999999999998</v>
      </c>
      <c r="E36" s="45">
        <v>2.64</v>
      </c>
      <c r="F36" s="45">
        <v>2.77</v>
      </c>
      <c r="G36" s="45">
        <v>2.89</v>
      </c>
      <c r="H36" s="45">
        <v>3.02</v>
      </c>
      <c r="I36" s="45">
        <v>3.14</v>
      </c>
      <c r="J36" s="45">
        <v>3.27</v>
      </c>
      <c r="K36" s="45">
        <v>3.4</v>
      </c>
      <c r="L36" s="45">
        <v>3.52</v>
      </c>
      <c r="M36" s="45">
        <v>3.65</v>
      </c>
      <c r="N36" s="45">
        <v>3.77</v>
      </c>
      <c r="O36" s="45">
        <v>3.9</v>
      </c>
      <c r="P36" s="45">
        <v>4.03</v>
      </c>
      <c r="Q36" s="45">
        <v>4.1500000000000004</v>
      </c>
      <c r="R36" s="45">
        <v>4.28</v>
      </c>
      <c r="S36" s="45">
        <v>4.41</v>
      </c>
      <c r="T36" s="45">
        <v>4.53</v>
      </c>
      <c r="U36" s="45">
        <v>4.66</v>
      </c>
      <c r="V36" s="45">
        <v>4.78</v>
      </c>
      <c r="W36" s="45">
        <v>4.91</v>
      </c>
      <c r="X36" s="45">
        <v>5.04</v>
      </c>
      <c r="Y36" s="45">
        <v>5.16</v>
      </c>
      <c r="Z36" s="45">
        <v>5.29</v>
      </c>
      <c r="AA36" s="45">
        <v>5.42</v>
      </c>
      <c r="AB36" s="45">
        <v>5.54</v>
      </c>
      <c r="AC36" s="45">
        <v>5.67</v>
      </c>
      <c r="AD36" s="45">
        <v>5.79</v>
      </c>
      <c r="AE36" s="45">
        <v>5.92</v>
      </c>
      <c r="AF36" s="45">
        <v>6.05</v>
      </c>
    </row>
    <row r="37" spans="1:32" ht="15" customHeight="1" x14ac:dyDescent="0.25">
      <c r="A37" s="43">
        <v>1550</v>
      </c>
      <c r="B37" s="45">
        <v>2.44</v>
      </c>
      <c r="C37" s="45">
        <v>2.58</v>
      </c>
      <c r="D37" s="45">
        <v>2.71</v>
      </c>
      <c r="E37" s="45">
        <v>2.85</v>
      </c>
      <c r="F37" s="45">
        <v>2.98</v>
      </c>
      <c r="G37" s="45">
        <v>3.12</v>
      </c>
      <c r="H37" s="45">
        <v>3.26</v>
      </c>
      <c r="I37" s="45">
        <v>3.39</v>
      </c>
      <c r="J37" s="45">
        <v>3.53</v>
      </c>
      <c r="K37" s="45">
        <v>3.67</v>
      </c>
      <c r="L37" s="45">
        <v>3.8</v>
      </c>
      <c r="M37" s="45">
        <v>3.94</v>
      </c>
      <c r="N37" s="45">
        <v>4.07</v>
      </c>
      <c r="O37" s="45">
        <v>4.21</v>
      </c>
      <c r="P37" s="45">
        <v>4.3499999999999996</v>
      </c>
      <c r="Q37" s="45">
        <v>4.4800000000000004</v>
      </c>
      <c r="R37" s="45">
        <v>4.62</v>
      </c>
      <c r="S37" s="45">
        <v>4.76</v>
      </c>
      <c r="T37" s="45">
        <v>4.8899999999999997</v>
      </c>
      <c r="U37" s="45">
        <v>5.03</v>
      </c>
      <c r="V37" s="45">
        <v>5.16</v>
      </c>
      <c r="W37" s="45">
        <v>5.3</v>
      </c>
      <c r="X37" s="45">
        <v>5.44</v>
      </c>
      <c r="Y37" s="45">
        <v>5.57</v>
      </c>
      <c r="Z37" s="45">
        <v>5.71</v>
      </c>
      <c r="AA37" s="45">
        <v>5.84</v>
      </c>
      <c r="AB37" s="45">
        <v>5.98</v>
      </c>
      <c r="AC37" s="45">
        <v>6.12</v>
      </c>
      <c r="AD37" s="45">
        <v>6.25</v>
      </c>
      <c r="AE37" s="45">
        <v>6.39</v>
      </c>
      <c r="AF37" s="45">
        <v>6.53</v>
      </c>
    </row>
    <row r="38" spans="1:32" ht="15" customHeight="1" x14ac:dyDescent="0.25">
      <c r="A38" s="43">
        <v>1650</v>
      </c>
      <c r="B38" s="45">
        <v>2.62</v>
      </c>
      <c r="C38" s="45">
        <v>2.77</v>
      </c>
      <c r="D38" s="45">
        <v>2.91</v>
      </c>
      <c r="E38" s="45">
        <v>3.06</v>
      </c>
      <c r="F38" s="45">
        <v>3.2</v>
      </c>
      <c r="G38" s="45">
        <v>3.35</v>
      </c>
      <c r="H38" s="45">
        <v>3.5</v>
      </c>
      <c r="I38" s="45">
        <v>3.64</v>
      </c>
      <c r="J38" s="45">
        <v>3.79</v>
      </c>
      <c r="K38" s="45">
        <v>3.93</v>
      </c>
      <c r="L38" s="45">
        <v>4.08</v>
      </c>
      <c r="M38" s="45">
        <v>4.2300000000000004</v>
      </c>
      <c r="N38" s="45">
        <v>4.37</v>
      </c>
      <c r="O38" s="45">
        <v>4.5199999999999996</v>
      </c>
      <c r="P38" s="45">
        <v>4.67</v>
      </c>
      <c r="Q38" s="45">
        <v>4.8099999999999996</v>
      </c>
      <c r="R38" s="45">
        <v>4.96</v>
      </c>
      <c r="S38" s="45">
        <v>5.0999999999999996</v>
      </c>
      <c r="T38" s="45">
        <v>5.25</v>
      </c>
      <c r="U38" s="45">
        <v>5.4</v>
      </c>
      <c r="V38" s="45">
        <v>5.54</v>
      </c>
      <c r="W38" s="45">
        <v>5.69</v>
      </c>
      <c r="X38" s="45">
        <v>5.84</v>
      </c>
      <c r="Y38" s="45">
        <v>5.98</v>
      </c>
      <c r="Z38" s="45">
        <v>6.13</v>
      </c>
      <c r="AA38" s="45">
        <v>6.27</v>
      </c>
      <c r="AB38" s="45">
        <v>6.42</v>
      </c>
      <c r="AC38" s="45">
        <v>6.57</v>
      </c>
      <c r="AD38" s="45">
        <v>6.71</v>
      </c>
      <c r="AE38" s="45">
        <v>6.86</v>
      </c>
      <c r="AF38" s="45">
        <v>7</v>
      </c>
    </row>
    <row r="39" spans="1:32" ht="15" customHeight="1" x14ac:dyDescent="0.25">
      <c r="A39" s="43">
        <v>1750</v>
      </c>
      <c r="B39" s="45">
        <v>2.8</v>
      </c>
      <c r="C39" s="45">
        <v>2.95</v>
      </c>
      <c r="D39" s="45">
        <v>3.11</v>
      </c>
      <c r="E39" s="45">
        <v>3.27</v>
      </c>
      <c r="F39" s="45">
        <v>3.42</v>
      </c>
      <c r="G39" s="45">
        <v>3.58</v>
      </c>
      <c r="H39" s="45">
        <v>3.74</v>
      </c>
      <c r="I39" s="45">
        <v>3.89</v>
      </c>
      <c r="J39" s="45">
        <v>4.05</v>
      </c>
      <c r="K39" s="45">
        <v>4.2</v>
      </c>
      <c r="L39" s="45">
        <v>4.3600000000000003</v>
      </c>
      <c r="M39" s="45">
        <v>4.5199999999999996</v>
      </c>
      <c r="N39" s="45">
        <v>4.67</v>
      </c>
      <c r="O39" s="45">
        <v>4.83</v>
      </c>
      <c r="P39" s="45">
        <v>4.9800000000000004</v>
      </c>
      <c r="Q39" s="45">
        <v>5.14</v>
      </c>
      <c r="R39" s="45">
        <v>5.3</v>
      </c>
      <c r="S39" s="45">
        <v>5.45</v>
      </c>
      <c r="T39" s="45">
        <v>5.61</v>
      </c>
      <c r="U39" s="45">
        <v>5.77</v>
      </c>
      <c r="V39" s="45">
        <v>5.92</v>
      </c>
      <c r="W39" s="45">
        <v>6.08</v>
      </c>
      <c r="X39" s="45">
        <v>6.23</v>
      </c>
      <c r="Y39" s="45">
        <v>6.39</v>
      </c>
      <c r="Z39" s="45">
        <v>6.55</v>
      </c>
      <c r="AA39" s="45">
        <v>6.7</v>
      </c>
      <c r="AB39" s="45">
        <v>6.86</v>
      </c>
      <c r="AC39" s="45">
        <v>7.02</v>
      </c>
      <c r="AD39" s="45">
        <v>7.17</v>
      </c>
      <c r="AE39" s="45">
        <v>7.33</v>
      </c>
      <c r="AF39" s="45">
        <v>7.48</v>
      </c>
    </row>
    <row r="40" spans="1:32" ht="15" customHeight="1" x14ac:dyDescent="0.25">
      <c r="A40" s="43">
        <v>1850</v>
      </c>
      <c r="B40" s="45">
        <v>2.98</v>
      </c>
      <c r="C40" s="45">
        <v>3.14</v>
      </c>
      <c r="D40" s="45">
        <v>3.31</v>
      </c>
      <c r="E40" s="45">
        <v>3.48</v>
      </c>
      <c r="F40" s="45">
        <v>3.64</v>
      </c>
      <c r="G40" s="45">
        <v>3.81</v>
      </c>
      <c r="H40" s="45">
        <v>3.97</v>
      </c>
      <c r="I40" s="45">
        <v>4.1399999999999997</v>
      </c>
      <c r="J40" s="45">
        <v>4.3099999999999996</v>
      </c>
      <c r="K40" s="45">
        <v>4.47</v>
      </c>
      <c r="L40" s="45">
        <v>4.6399999999999997</v>
      </c>
      <c r="M40" s="45">
        <v>4.8099999999999996</v>
      </c>
      <c r="N40" s="45">
        <v>4.97</v>
      </c>
      <c r="O40" s="45">
        <v>5.14</v>
      </c>
      <c r="P40" s="45">
        <v>5.3</v>
      </c>
      <c r="Q40" s="45">
        <v>5.47</v>
      </c>
      <c r="R40" s="45">
        <v>5.64</v>
      </c>
      <c r="S40" s="45">
        <v>5.8</v>
      </c>
      <c r="T40" s="45">
        <v>5.97</v>
      </c>
      <c r="U40" s="45">
        <v>6.14</v>
      </c>
      <c r="V40" s="45">
        <v>6.3</v>
      </c>
      <c r="W40" s="45">
        <v>6.47</v>
      </c>
      <c r="X40" s="45">
        <v>6.63</v>
      </c>
      <c r="Y40" s="45">
        <v>6.8</v>
      </c>
      <c r="Z40" s="45">
        <v>6.97</v>
      </c>
      <c r="AA40" s="45">
        <v>7.13</v>
      </c>
      <c r="AB40" s="45">
        <v>7.3</v>
      </c>
      <c r="AC40" s="45">
        <v>7.46</v>
      </c>
      <c r="AD40" s="45">
        <v>7.63</v>
      </c>
      <c r="AE40" s="45">
        <v>7.8</v>
      </c>
      <c r="AF40" s="45">
        <v>7.96</v>
      </c>
    </row>
    <row r="41" spans="1:32" ht="15" customHeight="1" x14ac:dyDescent="0.25">
      <c r="A41" s="43">
        <v>1950</v>
      </c>
      <c r="B41" s="45">
        <v>3.16</v>
      </c>
      <c r="C41" s="45">
        <v>3.33</v>
      </c>
      <c r="D41" s="45">
        <v>3.51</v>
      </c>
      <c r="E41" s="45">
        <v>3.69</v>
      </c>
      <c r="F41" s="45">
        <v>3.86</v>
      </c>
      <c r="G41" s="45">
        <v>4.04</v>
      </c>
      <c r="H41" s="45">
        <v>4.21</v>
      </c>
      <c r="I41" s="45">
        <v>4.3899999999999997</v>
      </c>
      <c r="J41" s="45">
        <v>4.57</v>
      </c>
      <c r="K41" s="45">
        <v>4.74</v>
      </c>
      <c r="L41" s="45">
        <v>4.92</v>
      </c>
      <c r="M41" s="45">
        <v>5.09</v>
      </c>
      <c r="N41" s="45">
        <v>5.27</v>
      </c>
      <c r="O41" s="45">
        <v>5.45</v>
      </c>
      <c r="P41" s="45">
        <v>5.62</v>
      </c>
      <c r="Q41" s="45">
        <v>5.8</v>
      </c>
      <c r="R41" s="45">
        <v>5.98</v>
      </c>
      <c r="S41" s="45">
        <v>6.15</v>
      </c>
      <c r="T41" s="45">
        <v>6.33</v>
      </c>
      <c r="U41" s="45">
        <v>6.5</v>
      </c>
      <c r="V41" s="45">
        <v>6.68</v>
      </c>
      <c r="W41" s="45">
        <v>6.86</v>
      </c>
      <c r="X41" s="45">
        <v>7.03</v>
      </c>
      <c r="Y41" s="45">
        <v>7.21</v>
      </c>
      <c r="Z41" s="45">
        <v>7.39</v>
      </c>
      <c r="AA41" s="45">
        <v>7.56</v>
      </c>
      <c r="AB41" s="45">
        <v>7.74</v>
      </c>
      <c r="AC41" s="45">
        <v>7.91</v>
      </c>
      <c r="AD41" s="45">
        <v>8.09</v>
      </c>
      <c r="AE41" s="45">
        <v>8.27</v>
      </c>
      <c r="AF41" s="45">
        <v>8.44</v>
      </c>
    </row>
    <row r="42" spans="1:32" ht="15" customHeight="1" x14ac:dyDescent="0.25">
      <c r="A42" s="43">
        <v>2050</v>
      </c>
      <c r="B42" s="45">
        <v>3.34</v>
      </c>
      <c r="C42" s="45">
        <v>3.52</v>
      </c>
      <c r="D42" s="45">
        <v>3.71</v>
      </c>
      <c r="E42" s="45">
        <v>3.89</v>
      </c>
      <c r="F42" s="45">
        <v>4.08</v>
      </c>
      <c r="G42" s="45">
        <v>4.2699999999999996</v>
      </c>
      <c r="H42" s="45">
        <v>4.45</v>
      </c>
      <c r="I42" s="45">
        <v>4.6399999999999997</v>
      </c>
      <c r="J42" s="45">
        <v>4.83</v>
      </c>
      <c r="K42" s="45">
        <v>5.01</v>
      </c>
      <c r="L42" s="45">
        <v>5.2</v>
      </c>
      <c r="M42" s="45">
        <v>5.38</v>
      </c>
      <c r="N42" s="45">
        <v>5.57</v>
      </c>
      <c r="O42" s="45">
        <v>5.76</v>
      </c>
      <c r="P42" s="45">
        <v>5.94</v>
      </c>
      <c r="Q42" s="45">
        <v>6.13</v>
      </c>
      <c r="R42" s="45">
        <v>6.31</v>
      </c>
      <c r="S42" s="45">
        <v>6.5</v>
      </c>
      <c r="T42" s="45">
        <v>6.69</v>
      </c>
      <c r="U42" s="45">
        <v>6.87</v>
      </c>
      <c r="V42" s="45">
        <v>7.06</v>
      </c>
      <c r="W42" s="45">
        <v>7.25</v>
      </c>
      <c r="X42" s="45">
        <v>7.43</v>
      </c>
      <c r="Y42" s="45">
        <v>7.62</v>
      </c>
      <c r="Z42" s="45">
        <v>7.8</v>
      </c>
      <c r="AA42" s="45">
        <v>7.99</v>
      </c>
      <c r="AB42" s="45">
        <v>8.18</v>
      </c>
      <c r="AC42" s="45">
        <v>8.36</v>
      </c>
      <c r="AD42" s="45">
        <v>8.5500000000000007</v>
      </c>
      <c r="AE42" s="45">
        <v>8.74</v>
      </c>
      <c r="AF42" s="45">
        <v>8.92</v>
      </c>
    </row>
    <row r="43" spans="1:32" ht="15" customHeight="1" x14ac:dyDescent="0.25">
      <c r="A43" s="43">
        <v>2150</v>
      </c>
      <c r="B43" s="45">
        <v>3.52</v>
      </c>
      <c r="C43" s="45">
        <v>3.71</v>
      </c>
      <c r="D43" s="45">
        <v>3.91</v>
      </c>
      <c r="E43" s="45">
        <v>4.0999999999999996</v>
      </c>
      <c r="F43" s="45">
        <v>4.3</v>
      </c>
      <c r="G43" s="45">
        <v>4.5</v>
      </c>
      <c r="H43" s="45">
        <v>4.6900000000000004</v>
      </c>
      <c r="I43" s="45">
        <v>4.8899999999999997</v>
      </c>
      <c r="J43" s="45">
        <v>5.08</v>
      </c>
      <c r="K43" s="45">
        <v>5.28</v>
      </c>
      <c r="L43" s="45">
        <v>5.48</v>
      </c>
      <c r="M43" s="45">
        <v>5.67</v>
      </c>
      <c r="N43" s="45">
        <v>5.87</v>
      </c>
      <c r="O43" s="45">
        <v>6.07</v>
      </c>
      <c r="P43" s="45">
        <v>6.26</v>
      </c>
      <c r="Q43" s="45">
        <v>6.46</v>
      </c>
      <c r="R43" s="45">
        <v>6.65</v>
      </c>
      <c r="S43" s="45">
        <v>6.85</v>
      </c>
      <c r="T43" s="45">
        <v>7.05</v>
      </c>
      <c r="U43" s="45">
        <v>7.24</v>
      </c>
      <c r="V43" s="45">
        <v>7.44</v>
      </c>
      <c r="W43" s="45">
        <v>7.63</v>
      </c>
      <c r="X43" s="45">
        <v>7.83</v>
      </c>
      <c r="Y43" s="45">
        <v>8.0299999999999994</v>
      </c>
      <c r="Z43" s="45">
        <v>8.2200000000000006</v>
      </c>
      <c r="AA43" s="45">
        <v>8.42</v>
      </c>
      <c r="AB43" s="45">
        <v>8.6199999999999992</v>
      </c>
      <c r="AC43" s="45">
        <v>8.81</v>
      </c>
      <c r="AD43" s="45">
        <v>9.01</v>
      </c>
      <c r="AE43" s="45">
        <v>9.1999999999999993</v>
      </c>
      <c r="AF43" s="45">
        <v>9.4</v>
      </c>
    </row>
    <row r="44" spans="1:32" ht="15" customHeight="1" x14ac:dyDescent="0.25">
      <c r="A44" s="43">
        <v>2250</v>
      </c>
      <c r="B44" s="45">
        <v>3.69</v>
      </c>
      <c r="C44" s="45">
        <v>3.9</v>
      </c>
      <c r="D44" s="45">
        <v>4.1100000000000003</v>
      </c>
      <c r="E44" s="45">
        <v>4.3099999999999996</v>
      </c>
      <c r="F44" s="45">
        <v>4.5199999999999996</v>
      </c>
      <c r="G44" s="45">
        <v>4.7300000000000004</v>
      </c>
      <c r="H44" s="45">
        <v>4.93</v>
      </c>
      <c r="I44" s="45">
        <v>5.14</v>
      </c>
      <c r="J44" s="45">
        <v>5.34</v>
      </c>
      <c r="K44" s="45">
        <v>5.55</v>
      </c>
      <c r="L44" s="45">
        <v>5.76</v>
      </c>
      <c r="M44" s="45">
        <v>5.96</v>
      </c>
      <c r="N44" s="45">
        <v>6.17</v>
      </c>
      <c r="O44" s="45">
        <v>6.37</v>
      </c>
      <c r="P44" s="45">
        <v>6.58</v>
      </c>
      <c r="Q44" s="45">
        <v>6.79</v>
      </c>
      <c r="R44" s="45">
        <v>6.99</v>
      </c>
      <c r="S44" s="45">
        <v>7.2</v>
      </c>
      <c r="T44" s="45">
        <v>7.41</v>
      </c>
      <c r="U44" s="45">
        <v>7.61</v>
      </c>
      <c r="V44" s="45">
        <v>7.82</v>
      </c>
      <c r="W44" s="45">
        <v>8.02</v>
      </c>
      <c r="X44" s="45">
        <v>8.23</v>
      </c>
      <c r="Y44" s="45">
        <v>8.44</v>
      </c>
      <c r="Z44" s="45">
        <v>8.65</v>
      </c>
      <c r="AA44" s="45">
        <v>8.85</v>
      </c>
      <c r="AB44" s="45">
        <v>9.06</v>
      </c>
      <c r="AC44" s="45">
        <v>9.26</v>
      </c>
      <c r="AD44" s="45">
        <v>9.4700000000000006</v>
      </c>
      <c r="AE44" s="45">
        <v>9.67</v>
      </c>
      <c r="AF44" s="45">
        <v>9.8800000000000008</v>
      </c>
    </row>
    <row r="45" spans="1:32" ht="15" customHeight="1" x14ac:dyDescent="0.25">
      <c r="A45" s="43">
        <v>2350</v>
      </c>
      <c r="B45" s="45">
        <v>3.87</v>
      </c>
      <c r="C45" s="45">
        <v>4.09</v>
      </c>
      <c r="D45" s="45">
        <v>4.3099999999999996</v>
      </c>
      <c r="E45" s="45">
        <v>4.5199999999999996</v>
      </c>
      <c r="F45" s="45">
        <v>4.74</v>
      </c>
      <c r="G45" s="45">
        <v>4.95</v>
      </c>
      <c r="H45" s="45">
        <v>5.17</v>
      </c>
      <c r="I45" s="45">
        <v>5.39</v>
      </c>
      <c r="J45" s="45">
        <v>5.6</v>
      </c>
      <c r="K45" s="45">
        <v>5.82</v>
      </c>
      <c r="L45" s="45">
        <v>6.04</v>
      </c>
      <c r="M45" s="45">
        <v>6.25</v>
      </c>
      <c r="N45" s="45">
        <v>6.47</v>
      </c>
      <c r="O45" s="45">
        <v>6.68</v>
      </c>
      <c r="P45" s="45">
        <v>6.9</v>
      </c>
      <c r="Q45" s="45">
        <v>7.12</v>
      </c>
      <c r="R45" s="45">
        <v>7.33</v>
      </c>
      <c r="S45" s="45">
        <v>7.55</v>
      </c>
      <c r="T45" s="45">
        <v>7.76</v>
      </c>
      <c r="U45" s="45">
        <v>7.98</v>
      </c>
      <c r="V45" s="45">
        <v>8.1999999999999993</v>
      </c>
      <c r="W45" s="45">
        <v>8.41</v>
      </c>
      <c r="X45" s="45">
        <v>8.6300000000000008</v>
      </c>
      <c r="Y45" s="45">
        <v>8.85</v>
      </c>
      <c r="Z45" s="45">
        <v>9.06</v>
      </c>
      <c r="AA45" s="45">
        <v>9.2799999999999994</v>
      </c>
      <c r="AB45" s="45">
        <v>9.49</v>
      </c>
      <c r="AC45" s="45">
        <v>9.7100000000000009</v>
      </c>
      <c r="AD45" s="45">
        <v>9.93</v>
      </c>
      <c r="AE45" s="45">
        <v>10.14</v>
      </c>
      <c r="AF45" s="45">
        <v>10.36</v>
      </c>
    </row>
    <row r="46" spans="1:32" ht="15" customHeight="1" x14ac:dyDescent="0.25">
      <c r="A46" s="43">
        <v>2450</v>
      </c>
      <c r="B46" s="45">
        <v>4.05</v>
      </c>
      <c r="C46" s="45">
        <v>4.28</v>
      </c>
      <c r="D46" s="45">
        <v>4.51</v>
      </c>
      <c r="E46" s="45">
        <v>4.7300000000000004</v>
      </c>
      <c r="F46" s="45">
        <v>4.96</v>
      </c>
      <c r="G46" s="45">
        <v>5.18</v>
      </c>
      <c r="H46" s="45">
        <v>5.41</v>
      </c>
      <c r="I46" s="45">
        <v>5.64</v>
      </c>
      <c r="J46" s="45">
        <v>5.86</v>
      </c>
      <c r="K46" s="45">
        <v>6.09</v>
      </c>
      <c r="L46" s="45">
        <v>6.31</v>
      </c>
      <c r="M46" s="45">
        <v>6.54</v>
      </c>
      <c r="N46" s="45">
        <v>6.77</v>
      </c>
      <c r="O46" s="45">
        <v>6.99</v>
      </c>
      <c r="P46" s="45">
        <v>7.22</v>
      </c>
      <c r="Q46" s="45">
        <v>7.45</v>
      </c>
      <c r="R46" s="45">
        <v>7.67</v>
      </c>
      <c r="S46" s="45">
        <v>7.9</v>
      </c>
      <c r="T46" s="45">
        <v>8.1199999999999992</v>
      </c>
      <c r="U46" s="45">
        <v>8.35</v>
      </c>
      <c r="V46" s="45">
        <v>8.58</v>
      </c>
      <c r="W46" s="45">
        <v>8.8000000000000007</v>
      </c>
      <c r="X46" s="45">
        <v>9.0299999999999994</v>
      </c>
      <c r="Y46" s="45">
        <v>9.25</v>
      </c>
      <c r="Z46" s="45">
        <v>9.48</v>
      </c>
      <c r="AA46" s="45">
        <v>9.7100000000000009</v>
      </c>
      <c r="AB46" s="45">
        <v>9.93</v>
      </c>
      <c r="AC46" s="45">
        <v>10.16</v>
      </c>
      <c r="AD46" s="45">
        <v>10.38</v>
      </c>
      <c r="AE46" s="45">
        <v>10.61</v>
      </c>
      <c r="AF46" s="45">
        <v>10.83</v>
      </c>
    </row>
    <row r="47" spans="1:32" ht="15" customHeight="1" x14ac:dyDescent="0.25">
      <c r="A47" s="43">
        <v>2550</v>
      </c>
      <c r="B47" s="45">
        <v>4.2300000000000004</v>
      </c>
      <c r="C47" s="45">
        <v>4.47</v>
      </c>
      <c r="D47" s="45">
        <v>4.7</v>
      </c>
      <c r="E47" s="45">
        <v>4.9400000000000004</v>
      </c>
      <c r="F47" s="45">
        <v>5.18</v>
      </c>
      <c r="G47" s="45">
        <v>5.41</v>
      </c>
      <c r="H47" s="45">
        <v>5.65</v>
      </c>
      <c r="I47" s="45">
        <v>5.89</v>
      </c>
      <c r="J47" s="45">
        <v>6.12</v>
      </c>
      <c r="K47" s="45">
        <v>6.36</v>
      </c>
      <c r="L47" s="45">
        <v>6.59</v>
      </c>
      <c r="M47" s="45">
        <v>6.83</v>
      </c>
      <c r="N47" s="45">
        <v>7.07</v>
      </c>
      <c r="O47" s="45">
        <v>7.3</v>
      </c>
      <c r="P47" s="45">
        <v>7.54</v>
      </c>
      <c r="Q47" s="45">
        <v>7.77</v>
      </c>
      <c r="R47" s="45">
        <v>8.01</v>
      </c>
      <c r="S47" s="45">
        <v>8.25</v>
      </c>
      <c r="T47" s="45">
        <v>8.48</v>
      </c>
      <c r="U47" s="45">
        <v>8.7200000000000006</v>
      </c>
      <c r="V47" s="45">
        <v>8.9600000000000009</v>
      </c>
      <c r="W47" s="45">
        <v>9.19</v>
      </c>
      <c r="X47" s="45">
        <v>9.43</v>
      </c>
      <c r="Y47" s="45">
        <v>9.66</v>
      </c>
      <c r="Z47" s="45">
        <v>9.9</v>
      </c>
      <c r="AA47" s="45">
        <v>10.14</v>
      </c>
      <c r="AB47" s="45">
        <v>10.37</v>
      </c>
      <c r="AC47" s="45">
        <v>10.61</v>
      </c>
      <c r="AD47" s="45">
        <v>10.84</v>
      </c>
      <c r="AE47" s="45">
        <v>11.08</v>
      </c>
      <c r="AF47" s="45">
        <v>11.32</v>
      </c>
    </row>
    <row r="48" spans="1:32" ht="15" customHeight="1" x14ac:dyDescent="0.25">
      <c r="A48" s="43">
        <v>2650</v>
      </c>
      <c r="B48" s="45">
        <v>4.41</v>
      </c>
      <c r="C48" s="45">
        <v>4.66</v>
      </c>
      <c r="D48" s="45">
        <v>4.91</v>
      </c>
      <c r="E48" s="45">
        <v>5.15</v>
      </c>
      <c r="F48" s="45">
        <v>5.4</v>
      </c>
      <c r="G48" s="45">
        <v>5.66</v>
      </c>
      <c r="H48" s="45">
        <v>5.87</v>
      </c>
      <c r="I48" s="45">
        <v>6.12</v>
      </c>
      <c r="J48" s="45">
        <v>6.37</v>
      </c>
      <c r="K48" s="45">
        <v>6.61</v>
      </c>
      <c r="L48" s="45">
        <v>6.86</v>
      </c>
      <c r="M48" s="45">
        <v>7.11</v>
      </c>
      <c r="N48" s="45">
        <v>7.36</v>
      </c>
      <c r="O48" s="45">
        <v>7.61</v>
      </c>
      <c r="P48" s="45">
        <v>7.86</v>
      </c>
      <c r="Q48" s="45">
        <v>8.1</v>
      </c>
      <c r="R48" s="45">
        <v>8.35</v>
      </c>
      <c r="S48" s="45">
        <v>8.6</v>
      </c>
      <c r="T48" s="45">
        <v>8.85</v>
      </c>
      <c r="U48" s="45">
        <v>9.09</v>
      </c>
      <c r="V48" s="45">
        <v>9.34</v>
      </c>
      <c r="W48" s="45">
        <v>9.58</v>
      </c>
      <c r="X48" s="45">
        <v>9.83</v>
      </c>
      <c r="Y48" s="45">
        <v>10.07</v>
      </c>
      <c r="Z48" s="45">
        <v>10.32</v>
      </c>
      <c r="AA48" s="45">
        <v>10.57</v>
      </c>
      <c r="AB48" s="45">
        <v>10.81</v>
      </c>
      <c r="AC48" s="45">
        <v>11.06</v>
      </c>
      <c r="AD48" s="45">
        <v>11.3</v>
      </c>
      <c r="AE48" s="45">
        <v>11.55</v>
      </c>
      <c r="AF48" s="45">
        <v>11.79</v>
      </c>
    </row>
    <row r="49" spans="1:32" ht="15" customHeight="1" x14ac:dyDescent="0.25">
      <c r="A49" s="43">
        <v>2700</v>
      </c>
      <c r="B49" s="45">
        <v>4.59</v>
      </c>
      <c r="C49" s="45">
        <v>4.8499999999999996</v>
      </c>
      <c r="D49" s="45">
        <v>5.0999999999999996</v>
      </c>
      <c r="E49" s="45">
        <v>5.36</v>
      </c>
      <c r="F49" s="45">
        <v>5.61</v>
      </c>
      <c r="G49" s="45">
        <v>5.87</v>
      </c>
      <c r="H49" s="45">
        <v>6.13</v>
      </c>
      <c r="I49" s="45">
        <v>6.38</v>
      </c>
      <c r="J49" s="45">
        <v>6.64</v>
      </c>
      <c r="K49" s="45">
        <v>6.9</v>
      </c>
      <c r="L49" s="45">
        <v>7.15</v>
      </c>
      <c r="M49" s="45">
        <v>7.41</v>
      </c>
      <c r="N49" s="45">
        <v>7.66</v>
      </c>
      <c r="O49" s="45">
        <v>7.92</v>
      </c>
      <c r="P49" s="45">
        <v>8.18</v>
      </c>
      <c r="Q49" s="45">
        <v>8.43</v>
      </c>
      <c r="R49" s="45">
        <v>8.69</v>
      </c>
      <c r="S49" s="45">
        <v>8.9499999999999993</v>
      </c>
      <c r="T49" s="45">
        <v>9.1999999999999993</v>
      </c>
      <c r="U49" s="45">
        <v>9.4600000000000009</v>
      </c>
      <c r="V49" s="45">
        <v>9.7100000000000009</v>
      </c>
      <c r="W49" s="45">
        <v>9.9700000000000006</v>
      </c>
      <c r="X49" s="45">
        <v>10.23</v>
      </c>
      <c r="Y49" s="45">
        <v>10.48</v>
      </c>
      <c r="Z49" s="45">
        <v>10.74</v>
      </c>
      <c r="AA49" s="45">
        <v>10.99</v>
      </c>
      <c r="AB49" s="45">
        <v>11.25</v>
      </c>
      <c r="AC49" s="45">
        <v>11.51</v>
      </c>
      <c r="AD49" s="45">
        <v>11.76</v>
      </c>
      <c r="AE49" s="45">
        <v>12.02</v>
      </c>
      <c r="AF49" s="45">
        <v>12.28</v>
      </c>
    </row>
    <row r="51" spans="1:32" ht="15" customHeight="1" x14ac:dyDescent="0.25">
      <c r="A51" s="46" t="s">
        <v>243</v>
      </c>
      <c r="B51" s="47">
        <v>466</v>
      </c>
      <c r="C51" s="47">
        <v>473</v>
      </c>
      <c r="D51" s="47">
        <v>480</v>
      </c>
      <c r="E51" s="47">
        <v>488</v>
      </c>
      <c r="F51" s="47">
        <v>503</v>
      </c>
      <c r="G51" s="47">
        <v>509</v>
      </c>
      <c r="H51" s="47">
        <v>515</v>
      </c>
      <c r="I51" s="47">
        <v>524</v>
      </c>
      <c r="J51" s="47">
        <v>531</v>
      </c>
      <c r="K51" s="47">
        <v>537</v>
      </c>
      <c r="L51" s="47">
        <v>544</v>
      </c>
      <c r="M51" s="47">
        <v>553</v>
      </c>
      <c r="N51" s="47">
        <v>558</v>
      </c>
      <c r="O51" s="47">
        <v>566</v>
      </c>
      <c r="P51" s="47">
        <v>572</v>
      </c>
      <c r="Q51" s="47">
        <v>580</v>
      </c>
      <c r="R51" s="47">
        <v>593</v>
      </c>
      <c r="S51" s="47">
        <v>600</v>
      </c>
      <c r="T51" s="47">
        <v>609</v>
      </c>
      <c r="U51" s="47">
        <v>615</v>
      </c>
      <c r="V51" s="47">
        <v>622</v>
      </c>
      <c r="W51" s="47">
        <v>629</v>
      </c>
      <c r="X51" s="47">
        <v>636</v>
      </c>
      <c r="Y51" s="47">
        <v>641</v>
      </c>
      <c r="Z51" s="47">
        <v>649</v>
      </c>
      <c r="AA51" s="47">
        <v>656</v>
      </c>
      <c r="AB51" s="47">
        <v>663</v>
      </c>
      <c r="AC51" s="47">
        <v>670</v>
      </c>
      <c r="AD51" s="47">
        <v>679</v>
      </c>
      <c r="AE51" s="47">
        <v>684</v>
      </c>
      <c r="AF51" s="47">
        <v>692</v>
      </c>
    </row>
    <row r="53" spans="1:32" ht="15" customHeight="1" x14ac:dyDescent="0.25">
      <c r="A53" s="121" t="s">
        <v>262</v>
      </c>
      <c r="B53" s="93"/>
      <c r="C53" s="93"/>
      <c r="D53" s="93"/>
      <c r="E53" s="93"/>
      <c r="F53" s="93"/>
      <c r="G53" s="93"/>
      <c r="H53" s="93"/>
      <c r="I53" s="93"/>
      <c r="J53" s="93"/>
      <c r="K53" s="93"/>
      <c r="L53" s="93"/>
      <c r="M53" s="93"/>
      <c r="N53" s="93"/>
      <c r="O53" s="93"/>
      <c r="P53" s="93"/>
      <c r="Q53" s="93"/>
      <c r="R53" s="93"/>
      <c r="S53" s="93"/>
      <c r="T53" s="93"/>
      <c r="U53" s="93"/>
      <c r="V53" s="93"/>
      <c r="W53" s="93"/>
      <c r="X53" s="93"/>
      <c r="Y53" s="93"/>
      <c r="Z53" s="93"/>
      <c r="AA53" s="93"/>
      <c r="AB53" s="93"/>
      <c r="AC53" s="93"/>
      <c r="AD53" s="93"/>
      <c r="AE53" s="93"/>
      <c r="AF53" s="93"/>
    </row>
    <row r="54" spans="1:32" ht="15" customHeight="1" x14ac:dyDescent="0.25">
      <c r="A54" s="48" t="s">
        <v>263</v>
      </c>
      <c r="B54" s="49">
        <f>Paramètres!$B$2</f>
        <v>0.51500000000000001</v>
      </c>
    </row>
    <row r="55" spans="1:32" ht="15" customHeight="1" x14ac:dyDescent="0.25">
      <c r="A55" s="43" t="s">
        <v>260</v>
      </c>
      <c r="B55" s="43">
        <v>2000</v>
      </c>
      <c r="C55" s="43">
        <v>2100</v>
      </c>
      <c r="D55" s="43">
        <v>2200</v>
      </c>
      <c r="E55" s="43">
        <v>2300</v>
      </c>
      <c r="F55" s="43">
        <v>2400</v>
      </c>
      <c r="G55" s="43">
        <v>2500</v>
      </c>
      <c r="H55" s="43">
        <v>2600</v>
      </c>
      <c r="I55" s="43">
        <v>2700</v>
      </c>
      <c r="J55" s="43">
        <v>2800</v>
      </c>
      <c r="K55" s="43">
        <v>2900</v>
      </c>
      <c r="L55" s="43">
        <v>3000</v>
      </c>
      <c r="M55" s="43">
        <v>3100</v>
      </c>
      <c r="N55" s="43">
        <v>3200</v>
      </c>
      <c r="O55" s="43">
        <v>3300</v>
      </c>
      <c r="P55" s="43">
        <v>3400</v>
      </c>
      <c r="Q55" s="43">
        <v>3500</v>
      </c>
      <c r="R55" s="43">
        <v>3600</v>
      </c>
      <c r="S55" s="43">
        <v>3700</v>
      </c>
      <c r="T55" s="43">
        <v>3800</v>
      </c>
      <c r="U55" s="43">
        <v>3900</v>
      </c>
      <c r="V55" s="43">
        <v>4000</v>
      </c>
      <c r="W55" s="43">
        <v>4100</v>
      </c>
      <c r="X55" s="43">
        <v>4200</v>
      </c>
      <c r="Y55" s="43">
        <v>4300</v>
      </c>
      <c r="Z55" s="43">
        <v>4400</v>
      </c>
      <c r="AA55" s="43">
        <v>4500</v>
      </c>
      <c r="AB55" s="43">
        <v>4600</v>
      </c>
      <c r="AC55" s="43">
        <v>4700</v>
      </c>
      <c r="AD55" s="43">
        <v>4800</v>
      </c>
      <c r="AE55" s="43">
        <v>4900</v>
      </c>
      <c r="AF55" s="43">
        <v>5000</v>
      </c>
    </row>
    <row r="56" spans="1:32" ht="15" customHeight="1" x14ac:dyDescent="0.25">
      <c r="A56" s="43">
        <v>750</v>
      </c>
      <c r="B56" s="44">
        <f>B5*(1-Paramètres!$B$2)</f>
        <v>1170.3050000000001</v>
      </c>
      <c r="C56" s="44">
        <f>C5*(1-Paramètres!$B$2)</f>
        <v>1195.04</v>
      </c>
      <c r="D56" s="44">
        <f>D5*(1-Paramètres!$B$2)</f>
        <v>1218.8050000000001</v>
      </c>
      <c r="E56" s="44">
        <f>E5*(1-Paramètres!$B$2)</f>
        <v>1242.57</v>
      </c>
      <c r="F56" s="44">
        <f>F5*(1-Paramètres!$B$2)</f>
        <v>1267.79</v>
      </c>
      <c r="G56" s="44">
        <f>G5*(1-Paramètres!$B$2)</f>
        <v>1291.5550000000001</v>
      </c>
      <c r="H56" s="44">
        <f>H5*(1-Paramètres!$B$2)</f>
        <v>1316.7749999999999</v>
      </c>
      <c r="I56" s="44">
        <f>I5*(1-Paramètres!$B$2)</f>
        <v>1340.54</v>
      </c>
      <c r="J56" s="44">
        <f>J5*(1-Paramètres!$B$2)</f>
        <v>1363.82</v>
      </c>
      <c r="K56" s="44">
        <f>K5*(1-Paramètres!$B$2)</f>
        <v>1388.5550000000001</v>
      </c>
      <c r="L56" s="44">
        <f>L5*(1-Paramètres!$B$2)</f>
        <v>1412.32</v>
      </c>
      <c r="M56" s="44">
        <f>M5*(1-Paramètres!$B$2)</f>
        <v>1480.7049999999999</v>
      </c>
      <c r="N56" s="44">
        <f>N5*(1-Paramètres!$B$2)</f>
        <v>1548.12</v>
      </c>
      <c r="O56" s="44">
        <f>O5*(1-Paramètres!$B$2)</f>
        <v>1572.37</v>
      </c>
      <c r="P56" s="44">
        <f>P5*(1-Paramètres!$B$2)</f>
        <v>1596.62</v>
      </c>
      <c r="Q56" s="44">
        <f>Q5*(1-Paramètres!$B$2)</f>
        <v>1620.385</v>
      </c>
      <c r="R56" s="44">
        <f>R5*(1-Paramètres!$B$2)</f>
        <v>1644.1499999999999</v>
      </c>
      <c r="S56" s="44">
        <f>S5*(1-Paramètres!$B$2)</f>
        <v>1668.885</v>
      </c>
      <c r="T56" s="44">
        <f>T5*(1-Paramètres!$B$2)</f>
        <v>1692.6499999999999</v>
      </c>
      <c r="U56" s="44">
        <f>U5*(1-Paramètres!$B$2)</f>
        <v>1718.355</v>
      </c>
      <c r="V56" s="44">
        <f>V5*(1-Paramètres!$B$2)</f>
        <v>1742.12</v>
      </c>
      <c r="W56" s="44">
        <f>W5*(1-Paramètres!$B$2)</f>
        <v>1765.3999999999999</v>
      </c>
      <c r="X56" s="44">
        <f>X5*(1-Paramètres!$B$2)</f>
        <v>1790.135</v>
      </c>
      <c r="Y56" s="44">
        <f>Y5*(1-Paramètres!$B$2)</f>
        <v>1814.385</v>
      </c>
      <c r="Z56" s="44">
        <f>Z5*(1-Paramètres!$B$2)</f>
        <v>1838.1499999999999</v>
      </c>
      <c r="AA56" s="44">
        <f>AA5*(1-Paramètres!$B$2)</f>
        <v>1862.3999999999999</v>
      </c>
      <c r="AB56" s="44">
        <f>AB5*(1-Paramètres!$B$2)</f>
        <v>1887.62</v>
      </c>
      <c r="AC56" s="44">
        <f>AC5*(1-Paramètres!$B$2)</f>
        <v>1911.87</v>
      </c>
      <c r="AD56" s="44">
        <f>AD5*(1-Paramètres!$B$2)</f>
        <v>1936.12</v>
      </c>
      <c r="AE56" s="44">
        <f>AE5*(1-Paramètres!$B$2)</f>
        <v>1960.855</v>
      </c>
      <c r="AF56" s="44">
        <f>AF5*(1-Paramètres!$B$2)</f>
        <v>1985.105</v>
      </c>
    </row>
    <row r="57" spans="1:32" ht="15" customHeight="1" x14ac:dyDescent="0.25">
      <c r="A57" s="43">
        <v>850</v>
      </c>
      <c r="B57" s="44">
        <f>B6*(1-Paramètres!$B$2)</f>
        <v>1214.925</v>
      </c>
      <c r="C57" s="44">
        <f>C6*(1-Paramètres!$B$2)</f>
        <v>1238.69</v>
      </c>
      <c r="D57" s="44">
        <f>D6*(1-Paramètres!$B$2)</f>
        <v>1263.9099999999999</v>
      </c>
      <c r="E57" s="44">
        <f>E6*(1-Paramètres!$B$2)</f>
        <v>1289.1299999999999</v>
      </c>
      <c r="F57" s="44">
        <f>F6*(1-Paramètres!$B$2)</f>
        <v>1314.35</v>
      </c>
      <c r="G57" s="44">
        <f>G6*(1-Paramètres!$B$2)</f>
        <v>1339.57</v>
      </c>
      <c r="H57" s="44">
        <f>H6*(1-Paramètres!$B$2)</f>
        <v>1363.82</v>
      </c>
      <c r="I57" s="44">
        <f>I6*(1-Paramètres!$B$2)</f>
        <v>1389.5249999999999</v>
      </c>
      <c r="J57" s="44">
        <f>J6*(1-Paramètres!$B$2)</f>
        <v>1414.26</v>
      </c>
      <c r="K57" s="44">
        <f>K6*(1-Paramètres!$B$2)</f>
        <v>1440.45</v>
      </c>
      <c r="L57" s="44">
        <f>L6*(1-Paramètres!$B$2)</f>
        <v>1465.1849999999999</v>
      </c>
      <c r="M57" s="44">
        <f>M6*(1-Paramètres!$B$2)</f>
        <v>1533.085</v>
      </c>
      <c r="N57" s="44">
        <f>N6*(1-Paramètres!$B$2)</f>
        <v>1600.5</v>
      </c>
      <c r="O57" s="44">
        <f>O6*(1-Paramètres!$B$2)</f>
        <v>1625.72</v>
      </c>
      <c r="P57" s="44">
        <f>P6*(1-Paramètres!$B$2)</f>
        <v>1650.94</v>
      </c>
      <c r="Q57" s="44">
        <f>Q6*(1-Paramètres!$B$2)</f>
        <v>1675.675</v>
      </c>
      <c r="R57" s="44">
        <f>R6*(1-Paramètres!$B$2)</f>
        <v>1701.3799999999999</v>
      </c>
      <c r="S57" s="44">
        <f>S6*(1-Paramètres!$B$2)</f>
        <v>1725.6299999999999</v>
      </c>
      <c r="T57" s="44">
        <f>T6*(1-Paramètres!$B$2)</f>
        <v>1751.335</v>
      </c>
      <c r="U57" s="44">
        <f>U6*(1-Paramètres!$B$2)</f>
        <v>1776.5550000000001</v>
      </c>
      <c r="V57" s="44">
        <f>V6*(1-Paramètres!$B$2)</f>
        <v>1801.7749999999999</v>
      </c>
      <c r="W57" s="44">
        <f>W6*(1-Paramètres!$B$2)</f>
        <v>1826.51</v>
      </c>
      <c r="X57" s="44">
        <f>X6*(1-Paramètres!$B$2)</f>
        <v>1851.73</v>
      </c>
      <c r="Y57" s="44">
        <f>Y6*(1-Paramètres!$B$2)</f>
        <v>1876.95</v>
      </c>
      <c r="Z57" s="44">
        <f>Z6*(1-Paramètres!$B$2)</f>
        <v>1901.6849999999999</v>
      </c>
      <c r="AA57" s="44">
        <f>AA6*(1-Paramètres!$B$2)</f>
        <v>1926.905</v>
      </c>
      <c r="AB57" s="44">
        <f>AB6*(1-Paramètres!$B$2)</f>
        <v>1951.6399999999999</v>
      </c>
      <c r="AC57" s="44">
        <f>AC6*(1-Paramètres!$B$2)</f>
        <v>1976.375</v>
      </c>
      <c r="AD57" s="44">
        <f>AD6*(1-Paramètres!$B$2)</f>
        <v>2002.08</v>
      </c>
      <c r="AE57" s="44">
        <f>AE6*(1-Paramètres!$B$2)</f>
        <v>2026.33</v>
      </c>
      <c r="AF57" s="44">
        <f>AF6*(1-Paramètres!$B$2)</f>
        <v>2051.0650000000001</v>
      </c>
    </row>
    <row r="58" spans="1:32" ht="15" customHeight="1" x14ac:dyDescent="0.25">
      <c r="A58" s="43">
        <v>950</v>
      </c>
      <c r="B58" s="44">
        <f>B7*(1-Paramètres!$B$2)</f>
        <v>1257.605</v>
      </c>
      <c r="C58" s="44">
        <f>C7*(1-Paramètres!$B$2)</f>
        <v>1283.7950000000001</v>
      </c>
      <c r="D58" s="44">
        <f>D7*(1-Paramètres!$B$2)</f>
        <v>1309.5</v>
      </c>
      <c r="E58" s="44">
        <f>E7*(1-Paramètres!$B$2)</f>
        <v>1336.175</v>
      </c>
      <c r="F58" s="44">
        <f>F7*(1-Paramètres!$B$2)</f>
        <v>1361.8799999999999</v>
      </c>
      <c r="G58" s="44">
        <f>G7*(1-Paramètres!$B$2)</f>
        <v>1386.615</v>
      </c>
      <c r="H58" s="44">
        <f>H7*(1-Paramètres!$B$2)</f>
        <v>1412.32</v>
      </c>
      <c r="I58" s="44">
        <f>I7*(1-Paramètres!$B$2)</f>
        <v>1439.9649999999999</v>
      </c>
      <c r="J58" s="44">
        <f>J7*(1-Paramètres!$B$2)</f>
        <v>1465.1849999999999</v>
      </c>
      <c r="K58" s="44">
        <f>K7*(1-Paramètres!$B$2)</f>
        <v>1490.8899999999999</v>
      </c>
      <c r="L58" s="44">
        <f>L7*(1-Paramètres!$B$2)</f>
        <v>1517.08</v>
      </c>
      <c r="M58" s="44">
        <f>M7*(1-Paramètres!$B$2)</f>
        <v>1585.4649999999999</v>
      </c>
      <c r="N58" s="44">
        <f>N7*(1-Paramètres!$B$2)</f>
        <v>1655.3050000000001</v>
      </c>
      <c r="O58" s="44">
        <f>O7*(1-Paramètres!$B$2)</f>
        <v>1680.5249999999999</v>
      </c>
      <c r="P58" s="44">
        <f>P7*(1-Paramètres!$B$2)</f>
        <v>1705.7449999999999</v>
      </c>
      <c r="Q58" s="44">
        <f>Q7*(1-Paramètres!$B$2)</f>
        <v>1732.4199999999998</v>
      </c>
      <c r="R58" s="44">
        <f>R7*(1-Paramètres!$B$2)</f>
        <v>1757.155</v>
      </c>
      <c r="S58" s="44">
        <f>S7*(1-Paramètres!$B$2)</f>
        <v>1783.83</v>
      </c>
      <c r="T58" s="44">
        <f>T7*(1-Paramètres!$B$2)</f>
        <v>1809.05</v>
      </c>
      <c r="U58" s="44">
        <f>U7*(1-Paramètres!$B$2)</f>
        <v>1835.24</v>
      </c>
      <c r="V58" s="44">
        <f>V7*(1-Paramètres!$B$2)</f>
        <v>1861.4299999999998</v>
      </c>
      <c r="W58" s="44">
        <f>W7*(1-Paramètres!$B$2)</f>
        <v>1887.62</v>
      </c>
      <c r="X58" s="44">
        <f>X7*(1-Paramètres!$B$2)</f>
        <v>1912.84</v>
      </c>
      <c r="Y58" s="44">
        <f>Y7*(1-Paramètres!$B$2)</f>
        <v>1938.5449999999998</v>
      </c>
      <c r="Z58" s="44">
        <f>Z7*(1-Paramètres!$B$2)</f>
        <v>1964.25</v>
      </c>
      <c r="AA58" s="44">
        <f>AA7*(1-Paramètres!$B$2)</f>
        <v>1990.44</v>
      </c>
      <c r="AB58" s="44">
        <f>AB7*(1-Paramètres!$B$2)</f>
        <v>2016.145</v>
      </c>
      <c r="AC58" s="44">
        <f>AC7*(1-Paramètres!$B$2)</f>
        <v>2042.82</v>
      </c>
      <c r="AD58" s="44">
        <f>AD7*(1-Paramètres!$B$2)</f>
        <v>2067.5549999999998</v>
      </c>
      <c r="AE58" s="44">
        <f>AE7*(1-Paramètres!$B$2)</f>
        <v>2093.2599999999998</v>
      </c>
      <c r="AF58" s="44">
        <f>AF7*(1-Paramètres!$B$2)</f>
        <v>2119.4499999999998</v>
      </c>
    </row>
    <row r="59" spans="1:32" ht="15" customHeight="1" x14ac:dyDescent="0.25">
      <c r="A59" s="43">
        <v>1050</v>
      </c>
      <c r="B59" s="44">
        <f>B8*(1-Paramètres!$B$2)</f>
        <v>1302.2249999999999</v>
      </c>
      <c r="C59" s="44">
        <f>C8*(1-Paramètres!$B$2)</f>
        <v>1328.8999999999999</v>
      </c>
      <c r="D59" s="44">
        <f>D8*(1-Paramètres!$B$2)</f>
        <v>1356.5450000000001</v>
      </c>
      <c r="E59" s="44">
        <f>E8*(1-Paramètres!$B$2)</f>
        <v>1381.7649999999999</v>
      </c>
      <c r="F59" s="44">
        <f>F8*(1-Paramètres!$B$2)</f>
        <v>1408.44</v>
      </c>
      <c r="G59" s="44">
        <f>G8*(1-Paramètres!$B$2)</f>
        <v>1435.115</v>
      </c>
      <c r="H59" s="44">
        <f>H8*(1-Paramètres!$B$2)</f>
        <v>1461.79</v>
      </c>
      <c r="I59" s="44">
        <f>I8*(1-Paramètres!$B$2)</f>
        <v>1489.4349999999999</v>
      </c>
      <c r="J59" s="44">
        <f>J8*(1-Paramètres!$B$2)</f>
        <v>1514.1699999999998</v>
      </c>
      <c r="K59" s="44">
        <f>K8*(1-Paramètres!$B$2)</f>
        <v>1541.33</v>
      </c>
      <c r="L59" s="44">
        <f>L8*(1-Paramètres!$B$2)</f>
        <v>1568.9749999999999</v>
      </c>
      <c r="M59" s="44">
        <f>M8*(1-Paramètres!$B$2)</f>
        <v>1638.33</v>
      </c>
      <c r="N59" s="44">
        <f>N8*(1-Paramètres!$B$2)</f>
        <v>1708.1699999999998</v>
      </c>
      <c r="O59" s="44">
        <f>O8*(1-Paramètres!$B$2)</f>
        <v>1734.845</v>
      </c>
      <c r="P59" s="44">
        <f>P8*(1-Paramètres!$B$2)</f>
        <v>1761.52</v>
      </c>
      <c r="Q59" s="44">
        <f>Q8*(1-Paramètres!$B$2)</f>
        <v>1786.74</v>
      </c>
      <c r="R59" s="44">
        <f>R8*(1-Paramètres!$B$2)</f>
        <v>1814.385</v>
      </c>
      <c r="S59" s="44">
        <f>S8*(1-Paramètres!$B$2)</f>
        <v>1840.575</v>
      </c>
      <c r="T59" s="44">
        <f>T8*(1-Paramètres!$B$2)</f>
        <v>1868.22</v>
      </c>
      <c r="U59" s="44">
        <f>U8*(1-Paramètres!$B$2)</f>
        <v>1894.895</v>
      </c>
      <c r="V59" s="44">
        <f>V8*(1-Paramètres!$B$2)</f>
        <v>1921.57</v>
      </c>
      <c r="W59" s="44">
        <f>W8*(1-Paramètres!$B$2)</f>
        <v>1947.2749999999999</v>
      </c>
      <c r="X59" s="44">
        <f>X8*(1-Paramètres!$B$2)</f>
        <v>1973.4649999999999</v>
      </c>
      <c r="Y59" s="44">
        <f>Y8*(1-Paramètres!$B$2)</f>
        <v>1999.655</v>
      </c>
      <c r="Z59" s="44">
        <f>Z8*(1-Paramètres!$B$2)</f>
        <v>2026.8150000000001</v>
      </c>
      <c r="AA59" s="44">
        <f>AA8*(1-Paramètres!$B$2)</f>
        <v>2053.0050000000001</v>
      </c>
      <c r="AB59" s="44">
        <f>AB8*(1-Paramètres!$B$2)</f>
        <v>2080.165</v>
      </c>
      <c r="AC59" s="44">
        <f>AC8*(1-Paramètres!$B$2)</f>
        <v>2107.3249999999998</v>
      </c>
      <c r="AD59" s="44">
        <f>AD8*(1-Paramètres!$B$2)</f>
        <v>2133.5149999999999</v>
      </c>
      <c r="AE59" s="44">
        <f>AE8*(1-Paramètres!$B$2)</f>
        <v>2160.19</v>
      </c>
      <c r="AF59" s="44">
        <f>AF8*(1-Paramètres!$B$2)</f>
        <v>2186.38</v>
      </c>
    </row>
    <row r="60" spans="1:32" ht="15" customHeight="1" x14ac:dyDescent="0.25">
      <c r="A60" s="43">
        <v>1150</v>
      </c>
      <c r="B60" s="44">
        <f>B9*(1-Paramètres!$B$2)</f>
        <v>1345.3899999999999</v>
      </c>
      <c r="C60" s="44">
        <f>C9*(1-Paramètres!$B$2)</f>
        <v>1373.52</v>
      </c>
      <c r="D60" s="44">
        <f>D9*(1-Paramètres!$B$2)</f>
        <v>1401.165</v>
      </c>
      <c r="E60" s="44">
        <f>E9*(1-Paramètres!$B$2)</f>
        <v>1428.325</v>
      </c>
      <c r="F60" s="44">
        <f>F9*(1-Paramètres!$B$2)</f>
        <v>1455</v>
      </c>
      <c r="G60" s="44">
        <f>G9*(1-Paramètres!$B$2)</f>
        <v>1483.1299999999999</v>
      </c>
      <c r="H60" s="44">
        <f>H9*(1-Paramètres!$B$2)</f>
        <v>1510.29</v>
      </c>
      <c r="I60" s="44">
        <f>I9*(1-Paramètres!$B$2)</f>
        <v>1536.9649999999999</v>
      </c>
      <c r="J60" s="44">
        <f>J9*(1-Paramètres!$B$2)</f>
        <v>1565.095</v>
      </c>
      <c r="K60" s="44">
        <f>K9*(1-Paramètres!$B$2)</f>
        <v>1592.74</v>
      </c>
      <c r="L60" s="44">
        <f>L9*(1-Paramètres!$B$2)</f>
        <v>1619.415</v>
      </c>
      <c r="M60" s="44">
        <f>M9*(1-Paramètres!$B$2)</f>
        <v>1691.1949999999999</v>
      </c>
      <c r="N60" s="44">
        <f>N9*(1-Paramètres!$B$2)</f>
        <v>1761.52</v>
      </c>
      <c r="O60" s="44">
        <f>O9*(1-Paramètres!$B$2)</f>
        <v>1788.68</v>
      </c>
      <c r="P60" s="44">
        <f>P9*(1-Paramètres!$B$2)</f>
        <v>1815.84</v>
      </c>
      <c r="Q60" s="44">
        <f>Q9*(1-Paramètres!$B$2)</f>
        <v>1843.4849999999999</v>
      </c>
      <c r="R60" s="44">
        <f>R9*(1-Paramètres!$B$2)</f>
        <v>1871.615</v>
      </c>
      <c r="S60" s="44">
        <f>S9*(1-Paramètres!$B$2)</f>
        <v>1898.7749999999999</v>
      </c>
      <c r="T60" s="44">
        <f>T9*(1-Paramètres!$B$2)</f>
        <v>1926.4199999999998</v>
      </c>
      <c r="U60" s="44">
        <f>U9*(1-Paramètres!$B$2)</f>
        <v>1954.0650000000001</v>
      </c>
      <c r="V60" s="44">
        <f>V9*(1-Paramètres!$B$2)</f>
        <v>1981.2249999999999</v>
      </c>
      <c r="W60" s="44">
        <f>W9*(1-Paramètres!$B$2)</f>
        <v>2008.385</v>
      </c>
      <c r="X60" s="44">
        <f>X9*(1-Paramètres!$B$2)</f>
        <v>2035.06</v>
      </c>
      <c r="Y60" s="44">
        <f>Y9*(1-Paramètres!$B$2)</f>
        <v>2063.6749999999997</v>
      </c>
      <c r="Z60" s="44">
        <f>Z9*(1-Paramètres!$B$2)</f>
        <v>2090.35</v>
      </c>
      <c r="AA60" s="44">
        <f>AA9*(1-Paramètres!$B$2)</f>
        <v>2117.5099999999998</v>
      </c>
      <c r="AB60" s="44">
        <f>AB9*(1-Paramètres!$B$2)</f>
        <v>2146.125</v>
      </c>
      <c r="AC60" s="44">
        <f>AC9*(1-Paramètres!$B$2)</f>
        <v>2173.2849999999999</v>
      </c>
      <c r="AD60" s="44">
        <f>AD9*(1-Paramètres!$B$2)</f>
        <v>2199.96</v>
      </c>
      <c r="AE60" s="44">
        <f>AE9*(1-Paramètres!$B$2)</f>
        <v>2227.605</v>
      </c>
      <c r="AF60" s="44">
        <f>AF9*(1-Paramètres!$B$2)</f>
        <v>2255.7350000000001</v>
      </c>
    </row>
    <row r="61" spans="1:32" ht="15" customHeight="1" x14ac:dyDescent="0.25">
      <c r="A61" s="43">
        <v>1250</v>
      </c>
      <c r="B61" s="44">
        <f>B10*(1-Paramètres!$B$2)</f>
        <v>1389.04</v>
      </c>
      <c r="C61" s="44">
        <f>C10*(1-Paramètres!$B$2)</f>
        <v>1418.1399999999999</v>
      </c>
      <c r="D61" s="44">
        <f>D10*(1-Paramètres!$B$2)</f>
        <v>1446.27</v>
      </c>
      <c r="E61" s="44">
        <f>E10*(1-Paramètres!$B$2)</f>
        <v>1473.43</v>
      </c>
      <c r="F61" s="44">
        <f>F10*(1-Paramètres!$B$2)</f>
        <v>1502.53</v>
      </c>
      <c r="G61" s="44">
        <f>G10*(1-Paramètres!$B$2)</f>
        <v>1530.175</v>
      </c>
      <c r="H61" s="44">
        <f>H10*(1-Paramètres!$B$2)</f>
        <v>1558.3050000000001</v>
      </c>
      <c r="I61" s="44">
        <f>I10*(1-Paramètres!$B$2)</f>
        <v>1587.8899999999999</v>
      </c>
      <c r="J61" s="44">
        <f>J10*(1-Paramètres!$B$2)</f>
        <v>1615.05</v>
      </c>
      <c r="K61" s="44">
        <f>K10*(1-Paramètres!$B$2)</f>
        <v>1643.665</v>
      </c>
      <c r="L61" s="44">
        <f>L10*(1-Paramètres!$B$2)</f>
        <v>1671.7949999999998</v>
      </c>
      <c r="M61" s="44">
        <f>M10*(1-Paramètres!$B$2)</f>
        <v>1743.575</v>
      </c>
      <c r="N61" s="44">
        <f>N10*(1-Paramètres!$B$2)</f>
        <v>1815.355</v>
      </c>
      <c r="O61" s="44">
        <f>O10*(1-Paramètres!$B$2)</f>
        <v>1842.5149999999999</v>
      </c>
      <c r="P61" s="44">
        <f>P10*(1-Paramètres!$B$2)</f>
        <v>1871.615</v>
      </c>
      <c r="Q61" s="44">
        <f>Q10*(1-Paramètres!$B$2)</f>
        <v>1900.23</v>
      </c>
      <c r="R61" s="44">
        <f>R10*(1-Paramètres!$B$2)</f>
        <v>1927.3899999999999</v>
      </c>
      <c r="S61" s="44">
        <f>S10*(1-Paramètres!$B$2)</f>
        <v>1956.0049999999999</v>
      </c>
      <c r="T61" s="44">
        <f>T10*(1-Paramètres!$B$2)</f>
        <v>1984.62</v>
      </c>
      <c r="U61" s="44">
        <f>U10*(1-Paramètres!$B$2)</f>
        <v>2012.2649999999999</v>
      </c>
      <c r="V61" s="44">
        <f>V10*(1-Paramètres!$B$2)</f>
        <v>2041.365</v>
      </c>
      <c r="W61" s="44">
        <f>W10*(1-Paramètres!$B$2)</f>
        <v>2069.0099999999998</v>
      </c>
      <c r="X61" s="44">
        <f>X10*(1-Paramètres!$B$2)</f>
        <v>2096.6549999999997</v>
      </c>
      <c r="Y61" s="44">
        <f>Y10*(1-Paramètres!$B$2)</f>
        <v>2125.27</v>
      </c>
      <c r="Z61" s="44">
        <f>Z10*(1-Paramètres!$B$2)</f>
        <v>2153.8849999999998</v>
      </c>
      <c r="AA61" s="44">
        <f>AA10*(1-Paramètres!$B$2)</f>
        <v>2180.56</v>
      </c>
      <c r="AB61" s="44">
        <f>AB10*(1-Paramètres!$B$2)</f>
        <v>2209.66</v>
      </c>
      <c r="AC61" s="44">
        <f>AC10*(1-Paramètres!$B$2)</f>
        <v>2237.79</v>
      </c>
      <c r="AD61" s="44">
        <f>AD10*(1-Paramètres!$B$2)</f>
        <v>2265.4349999999999</v>
      </c>
      <c r="AE61" s="44">
        <f>AE10*(1-Paramètres!$B$2)</f>
        <v>2293.5650000000001</v>
      </c>
      <c r="AF61" s="44">
        <f>AF10*(1-Paramètres!$B$2)</f>
        <v>2322.1799999999998</v>
      </c>
    </row>
    <row r="62" spans="1:32" ht="15" customHeight="1" x14ac:dyDescent="0.25">
      <c r="A62" s="43">
        <v>1350</v>
      </c>
      <c r="B62" s="44">
        <f>B11*(1-Paramètres!$B$2)</f>
        <v>1433.175</v>
      </c>
      <c r="C62" s="44">
        <f>C11*(1-Paramètres!$B$2)</f>
        <v>1462.76</v>
      </c>
      <c r="D62" s="44">
        <f>D11*(1-Paramètres!$B$2)</f>
        <v>1491.86</v>
      </c>
      <c r="E62" s="44">
        <f>E11*(1-Paramètres!$B$2)</f>
        <v>1520.4749999999999</v>
      </c>
      <c r="F62" s="44">
        <f>F11*(1-Paramètres!$B$2)</f>
        <v>1549.575</v>
      </c>
      <c r="G62" s="44">
        <f>G11*(1-Paramètres!$B$2)</f>
        <v>1578.19</v>
      </c>
      <c r="H62" s="44">
        <f>H11*(1-Paramètres!$B$2)</f>
        <v>1607.29</v>
      </c>
      <c r="I62" s="44">
        <f>I11*(1-Paramètres!$B$2)</f>
        <v>1635.905</v>
      </c>
      <c r="J62" s="44">
        <f>J11*(1-Paramètres!$B$2)</f>
        <v>1666.46</v>
      </c>
      <c r="K62" s="44">
        <f>K11*(1-Paramètres!$B$2)</f>
        <v>1694.59</v>
      </c>
      <c r="L62" s="44">
        <f>L11*(1-Paramètres!$B$2)</f>
        <v>1723.2049999999999</v>
      </c>
      <c r="M62" s="44">
        <f>M11*(1-Paramètres!$B$2)</f>
        <v>1796.925</v>
      </c>
      <c r="N62" s="44">
        <f>N11*(1-Paramètres!$B$2)</f>
        <v>1868.7049999999999</v>
      </c>
      <c r="O62" s="44">
        <f>O11*(1-Paramètres!$B$2)</f>
        <v>1900.7149999999999</v>
      </c>
      <c r="P62" s="44">
        <f>P11*(1-Paramètres!$B$2)</f>
        <v>1928.36</v>
      </c>
      <c r="Q62" s="44">
        <f>Q11*(1-Paramètres!$B$2)</f>
        <v>1957.9449999999999</v>
      </c>
      <c r="R62" s="44">
        <f>R11*(1-Paramètres!$B$2)</f>
        <v>1984.62</v>
      </c>
      <c r="S62" s="44">
        <f>S11*(1-Paramètres!$B$2)</f>
        <v>2013.2349999999999</v>
      </c>
      <c r="T62" s="44">
        <f>T11*(1-Paramètres!$B$2)</f>
        <v>2041.365</v>
      </c>
      <c r="U62" s="44">
        <f>U11*(1-Paramètres!$B$2)</f>
        <v>2071.4349999999999</v>
      </c>
      <c r="V62" s="44">
        <f>V11*(1-Paramètres!$B$2)</f>
        <v>2099.5650000000001</v>
      </c>
      <c r="W62" s="44">
        <f>W11*(1-Paramètres!$B$2)</f>
        <v>2129.6349999999998</v>
      </c>
      <c r="X62" s="44">
        <f>X11*(1-Paramètres!$B$2)</f>
        <v>2157.2799999999997</v>
      </c>
      <c r="Y62" s="44">
        <f>Y11*(1-Paramètres!$B$2)</f>
        <v>2186.8649999999998</v>
      </c>
      <c r="Z62" s="44">
        <f>Z11*(1-Paramètres!$B$2)</f>
        <v>2215.48</v>
      </c>
      <c r="AA62" s="44">
        <f>AA11*(1-Paramètres!$B$2)</f>
        <v>2245.5499999999997</v>
      </c>
      <c r="AB62" s="44">
        <f>AB11*(1-Paramètres!$B$2)</f>
        <v>2273.6799999999998</v>
      </c>
      <c r="AC62" s="44">
        <f>AC11*(1-Paramètres!$B$2)</f>
        <v>2302.7799999999997</v>
      </c>
      <c r="AD62" s="44">
        <f>AD11*(1-Paramètres!$B$2)</f>
        <v>2331.88</v>
      </c>
      <c r="AE62" s="44">
        <f>AE11*(1-Paramètres!$B$2)</f>
        <v>2360.98</v>
      </c>
      <c r="AF62" s="44">
        <f>AF11*(1-Paramètres!$B$2)</f>
        <v>2390.08</v>
      </c>
    </row>
    <row r="63" spans="1:32" ht="15" customHeight="1" x14ac:dyDescent="0.25">
      <c r="A63" s="43">
        <v>1450</v>
      </c>
      <c r="B63" s="44">
        <f>B12*(1-Paramètres!$B$2)</f>
        <v>1476.34</v>
      </c>
      <c r="C63" s="44">
        <f>C12*(1-Paramètres!$B$2)</f>
        <v>1507.3799999999999</v>
      </c>
      <c r="D63" s="44">
        <f>D12*(1-Paramètres!$B$2)</f>
        <v>1535.9949999999999</v>
      </c>
      <c r="E63" s="44">
        <f>E12*(1-Paramètres!$B$2)</f>
        <v>1567.52</v>
      </c>
      <c r="F63" s="44">
        <f>F12*(1-Paramètres!$B$2)</f>
        <v>1596.62</v>
      </c>
      <c r="G63" s="44">
        <f>G12*(1-Paramètres!$B$2)</f>
        <v>1625.72</v>
      </c>
      <c r="H63" s="44">
        <f>H12*(1-Paramètres!$B$2)</f>
        <v>1655.79</v>
      </c>
      <c r="I63" s="44">
        <f>I12*(1-Paramètres!$B$2)</f>
        <v>1685.375</v>
      </c>
      <c r="J63" s="44">
        <f>J12*(1-Paramètres!$B$2)</f>
        <v>1716.8999999999999</v>
      </c>
      <c r="K63" s="44">
        <f>K12*(1-Paramètres!$B$2)</f>
        <v>1745.5149999999999</v>
      </c>
      <c r="L63" s="44">
        <f>L12*(1-Paramètres!$B$2)</f>
        <v>1775.1</v>
      </c>
      <c r="M63" s="44">
        <f>M12*(1-Paramètres!$B$2)</f>
        <v>1847.85</v>
      </c>
      <c r="N63" s="44">
        <f>N12*(1-Paramètres!$B$2)</f>
        <v>1921.57</v>
      </c>
      <c r="O63" s="44">
        <f>O12*(1-Paramètres!$B$2)</f>
        <v>1950.6699999999998</v>
      </c>
      <c r="P63" s="44">
        <f>P12*(1-Paramètres!$B$2)</f>
        <v>1981.71</v>
      </c>
      <c r="Q63" s="44">
        <f>Q12*(1-Paramètres!$B$2)</f>
        <v>2011.2949999999998</v>
      </c>
      <c r="R63" s="44">
        <f>R12*(1-Paramètres!$B$2)</f>
        <v>2041.365</v>
      </c>
      <c r="S63" s="44">
        <f>S12*(1-Paramètres!$B$2)</f>
        <v>2069.98</v>
      </c>
      <c r="T63" s="44">
        <f>T12*(1-Paramètres!$B$2)</f>
        <v>2099.5650000000001</v>
      </c>
      <c r="U63" s="44">
        <f>U12*(1-Paramètres!$B$2)</f>
        <v>2129.15</v>
      </c>
      <c r="V63" s="44">
        <f>V12*(1-Paramètres!$B$2)</f>
        <v>2158.7350000000001</v>
      </c>
      <c r="W63" s="44">
        <f>W12*(1-Paramètres!$B$2)</f>
        <v>2188.8049999999998</v>
      </c>
      <c r="X63" s="44">
        <f>X12*(1-Paramètres!$B$2)</f>
        <v>2218.875</v>
      </c>
      <c r="Y63" s="44">
        <f>Y12*(1-Paramètres!$B$2)</f>
        <v>2249.915</v>
      </c>
      <c r="Z63" s="44">
        <f>Z12*(1-Paramètres!$B$2)</f>
        <v>2279.0149999999999</v>
      </c>
      <c r="AA63" s="44">
        <f>AA12*(1-Paramètres!$B$2)</f>
        <v>2308.6</v>
      </c>
      <c r="AB63" s="44">
        <f>AB12*(1-Paramètres!$B$2)</f>
        <v>2339.1549999999997</v>
      </c>
      <c r="AC63" s="44">
        <f>AC12*(1-Paramètres!$B$2)</f>
        <v>2368.2550000000001</v>
      </c>
      <c r="AD63" s="44">
        <f>AD12*(1-Paramètres!$B$2)</f>
        <v>2398.3249999999998</v>
      </c>
      <c r="AE63" s="44">
        <f>AE12*(1-Paramètres!$B$2)</f>
        <v>2428.395</v>
      </c>
      <c r="AF63" s="44">
        <f>AF12*(1-Paramètres!$B$2)</f>
        <v>2457.4949999999999</v>
      </c>
    </row>
    <row r="64" spans="1:32" ht="15" customHeight="1" x14ac:dyDescent="0.25">
      <c r="A64" s="43">
        <v>1550</v>
      </c>
      <c r="B64" s="44">
        <f>B13*(1-Paramètres!$B$2)</f>
        <v>1520.4749999999999</v>
      </c>
      <c r="C64" s="44">
        <f>C13*(1-Paramètres!$B$2)</f>
        <v>1552</v>
      </c>
      <c r="D64" s="44">
        <f>D13*(1-Paramètres!$B$2)</f>
        <v>1581.1</v>
      </c>
      <c r="E64" s="44">
        <f>E13*(1-Paramètres!$B$2)</f>
        <v>1612.625</v>
      </c>
      <c r="F64" s="44">
        <f>F13*(1-Paramètres!$B$2)</f>
        <v>1643.665</v>
      </c>
      <c r="G64" s="44">
        <f>G13*(1-Paramètres!$B$2)</f>
        <v>1673.7349999999999</v>
      </c>
      <c r="H64" s="44">
        <f>H13*(1-Paramètres!$B$2)</f>
        <v>1704.7749999999999</v>
      </c>
      <c r="I64" s="44">
        <f>I13*(1-Paramètres!$B$2)</f>
        <v>1735.33</v>
      </c>
      <c r="J64" s="44">
        <f>J13*(1-Paramètres!$B$2)</f>
        <v>1765.3999999999999</v>
      </c>
      <c r="K64" s="44">
        <f>K13*(1-Paramètres!$B$2)</f>
        <v>1796.44</v>
      </c>
      <c r="L64" s="44">
        <f>L13*(1-Paramètres!$B$2)</f>
        <v>1826.9949999999999</v>
      </c>
      <c r="M64" s="44">
        <f>M13*(1-Paramètres!$B$2)</f>
        <v>1901.2</v>
      </c>
      <c r="N64" s="44">
        <f>N13*(1-Paramètres!$B$2)</f>
        <v>1974.4349999999999</v>
      </c>
      <c r="O64" s="44">
        <f>O13*(1-Paramètres!$B$2)</f>
        <v>2005.96</v>
      </c>
      <c r="P64" s="44">
        <f>P13*(1-Paramètres!$B$2)</f>
        <v>2035.06</v>
      </c>
      <c r="Q64" s="44">
        <f>Q13*(1-Paramètres!$B$2)</f>
        <v>2066.585</v>
      </c>
      <c r="R64" s="44">
        <f>R13*(1-Paramètres!$B$2)</f>
        <v>2096.6549999999997</v>
      </c>
      <c r="S64" s="44">
        <f>S13*(1-Paramètres!$B$2)</f>
        <v>2127.6950000000002</v>
      </c>
      <c r="T64" s="44">
        <f>T13*(1-Paramètres!$B$2)</f>
        <v>2157.7649999999999</v>
      </c>
      <c r="U64" s="44">
        <f>U13*(1-Paramètres!$B$2)</f>
        <v>2188.3200000000002</v>
      </c>
      <c r="V64" s="44">
        <f>V13*(1-Paramètres!$B$2)</f>
        <v>2218.875</v>
      </c>
      <c r="W64" s="44">
        <f>W13*(1-Paramètres!$B$2)</f>
        <v>2250.4</v>
      </c>
      <c r="X64" s="44">
        <f>X13*(1-Paramètres!$B$2)</f>
        <v>2279.9850000000001</v>
      </c>
      <c r="Y64" s="44">
        <f>Y13*(1-Paramètres!$B$2)</f>
        <v>2311.5099999999998</v>
      </c>
      <c r="Z64" s="44">
        <f>Z13*(1-Paramètres!$B$2)</f>
        <v>2341.0949999999998</v>
      </c>
      <c r="AA64" s="44">
        <f>AA13*(1-Paramètres!$B$2)</f>
        <v>2371.65</v>
      </c>
      <c r="AB64" s="44">
        <f>AB13*(1-Paramètres!$B$2)</f>
        <v>2402.69</v>
      </c>
      <c r="AC64" s="44">
        <f>AC13*(1-Paramètres!$B$2)</f>
        <v>2433.2449999999999</v>
      </c>
      <c r="AD64" s="44">
        <f>AD13*(1-Paramètres!$B$2)</f>
        <v>2463.7999999999997</v>
      </c>
      <c r="AE64" s="44">
        <f>AE13*(1-Paramètres!$B$2)</f>
        <v>2494.84</v>
      </c>
      <c r="AF64" s="44">
        <f>AF13*(1-Paramètres!$B$2)</f>
        <v>2525.88</v>
      </c>
    </row>
    <row r="65" spans="1:32" ht="15" customHeight="1" x14ac:dyDescent="0.25">
      <c r="A65" s="43">
        <v>1650</v>
      </c>
      <c r="B65" s="44">
        <f>B14*(1-Paramètres!$B$2)</f>
        <v>1563.6399999999999</v>
      </c>
      <c r="C65" s="44">
        <f>C14*(1-Paramètres!$B$2)</f>
        <v>1595.165</v>
      </c>
      <c r="D65" s="44">
        <f>D14*(1-Paramètres!$B$2)</f>
        <v>1628.145</v>
      </c>
      <c r="E65" s="44">
        <f>E14*(1-Paramètres!$B$2)</f>
        <v>1658.7</v>
      </c>
      <c r="F65" s="44">
        <f>F14*(1-Paramètres!$B$2)</f>
        <v>1690.71</v>
      </c>
      <c r="G65" s="44">
        <f>G14*(1-Paramètres!$B$2)</f>
        <v>1722.2349999999999</v>
      </c>
      <c r="H65" s="44">
        <f>H14*(1-Paramètres!$B$2)</f>
        <v>1753.76</v>
      </c>
      <c r="I65" s="44">
        <f>I14*(1-Paramètres!$B$2)</f>
        <v>1784.3150000000001</v>
      </c>
      <c r="J65" s="44">
        <f>J14*(1-Paramètres!$B$2)</f>
        <v>1815.84</v>
      </c>
      <c r="K65" s="44">
        <f>K14*(1-Paramètres!$B$2)</f>
        <v>1847.365</v>
      </c>
      <c r="L65" s="44">
        <f>L14*(1-Paramètres!$B$2)</f>
        <v>1878.405</v>
      </c>
      <c r="M65" s="44">
        <f>M14*(1-Paramètres!$B$2)</f>
        <v>1954.0650000000001</v>
      </c>
      <c r="N65" s="44">
        <f>N14*(1-Paramètres!$B$2)</f>
        <v>2027.3</v>
      </c>
      <c r="O65" s="44">
        <f>O14*(1-Paramètres!$B$2)</f>
        <v>2060.2799999999997</v>
      </c>
      <c r="P65" s="44">
        <f>P14*(1-Paramètres!$B$2)</f>
        <v>2090.35</v>
      </c>
      <c r="Q65" s="44">
        <f>Q14*(1-Paramètres!$B$2)</f>
        <v>2120.9049999999997</v>
      </c>
      <c r="R65" s="44">
        <f>R14*(1-Paramètres!$B$2)</f>
        <v>2153.8849999999998</v>
      </c>
      <c r="S65" s="44">
        <f>S14*(1-Paramètres!$B$2)</f>
        <v>2184.44</v>
      </c>
      <c r="T65" s="44">
        <f>T14*(1-Paramètres!$B$2)</f>
        <v>2216.9349999999999</v>
      </c>
      <c r="U65" s="44">
        <f>U14*(1-Paramètres!$B$2)</f>
        <v>2248.46</v>
      </c>
      <c r="V65" s="44">
        <f>V14*(1-Paramètres!$B$2)</f>
        <v>2279.5</v>
      </c>
      <c r="W65" s="44">
        <f>W14*(1-Paramètres!$B$2)</f>
        <v>2311.0250000000001</v>
      </c>
      <c r="X65" s="44">
        <f>X14*(1-Paramètres!$B$2)</f>
        <v>2341.0949999999998</v>
      </c>
      <c r="Y65" s="44">
        <f>Y14*(1-Paramètres!$B$2)</f>
        <v>2373.105</v>
      </c>
      <c r="Z65" s="44">
        <f>Z14*(1-Paramètres!$B$2)</f>
        <v>2405.1149999999998</v>
      </c>
      <c r="AA65" s="44">
        <f>AA14*(1-Paramètres!$B$2)</f>
        <v>2437.125</v>
      </c>
      <c r="AB65" s="44">
        <f>AB14*(1-Paramètres!$B$2)</f>
        <v>2467.6799999999998</v>
      </c>
      <c r="AC65" s="44">
        <f>AC14*(1-Paramètres!$B$2)</f>
        <v>2499.69</v>
      </c>
      <c r="AD65" s="44">
        <f>AD14*(1-Paramètres!$B$2)</f>
        <v>2529.7599999999998</v>
      </c>
      <c r="AE65" s="44">
        <f>AE14*(1-Paramètres!$B$2)</f>
        <v>2562.2550000000001</v>
      </c>
      <c r="AF65" s="44">
        <f>AF14*(1-Paramètres!$B$2)</f>
        <v>2592.81</v>
      </c>
    </row>
    <row r="66" spans="1:32" ht="15" customHeight="1" x14ac:dyDescent="0.25">
      <c r="A66" s="43">
        <v>1750</v>
      </c>
      <c r="B66" s="44">
        <f>B15*(1-Paramètres!$B$2)</f>
        <v>1608.26</v>
      </c>
      <c r="C66" s="44">
        <f>C15*(1-Paramètres!$B$2)</f>
        <v>1643.18</v>
      </c>
      <c r="D66" s="44">
        <f>D15*(1-Paramètres!$B$2)</f>
        <v>1672.28</v>
      </c>
      <c r="E66" s="44">
        <f>E15*(1-Paramètres!$B$2)</f>
        <v>1705.26</v>
      </c>
      <c r="F66" s="44">
        <f>F15*(1-Paramètres!$B$2)</f>
        <v>1738.24</v>
      </c>
      <c r="G66" s="44">
        <f>G15*(1-Paramètres!$B$2)</f>
        <v>1769.7649999999999</v>
      </c>
      <c r="H66" s="44">
        <f>H15*(1-Paramètres!$B$2)</f>
        <v>1801.7749999999999</v>
      </c>
      <c r="I66" s="44">
        <f>I15*(1-Paramètres!$B$2)</f>
        <v>1833.7849999999999</v>
      </c>
      <c r="J66" s="44">
        <f>J15*(1-Paramètres!$B$2)</f>
        <v>1864.34</v>
      </c>
      <c r="K66" s="44">
        <f>K15*(1-Paramètres!$B$2)</f>
        <v>1897.8049999999998</v>
      </c>
      <c r="L66" s="44">
        <f>L15*(1-Paramètres!$B$2)</f>
        <v>1931.27</v>
      </c>
      <c r="M66" s="44">
        <f>M15*(1-Paramètres!$B$2)</f>
        <v>2006.9299999999998</v>
      </c>
      <c r="N66" s="44">
        <f>N15*(1-Paramètres!$B$2)</f>
        <v>2082.59</v>
      </c>
      <c r="O66" s="44">
        <f>O15*(1-Paramètres!$B$2)</f>
        <v>2113.63</v>
      </c>
      <c r="P66" s="44">
        <f>P15*(1-Paramètres!$B$2)</f>
        <v>2145.1549999999997</v>
      </c>
      <c r="Q66" s="44">
        <f>Q15*(1-Paramètres!$B$2)</f>
        <v>2177.65</v>
      </c>
      <c r="R66" s="44">
        <f>R15*(1-Paramètres!$B$2)</f>
        <v>2210.145</v>
      </c>
      <c r="S66" s="44">
        <f>S15*(1-Paramètres!$B$2)</f>
        <v>2241.67</v>
      </c>
      <c r="T66" s="44">
        <f>T15*(1-Paramètres!$B$2)</f>
        <v>2275.1349999999998</v>
      </c>
      <c r="U66" s="44">
        <f>U15*(1-Paramètres!$B$2)</f>
        <v>2306.66</v>
      </c>
      <c r="V66" s="44">
        <f>V15*(1-Paramètres!$B$2)</f>
        <v>2339.1549999999997</v>
      </c>
      <c r="W66" s="44">
        <f>W15*(1-Paramètres!$B$2)</f>
        <v>2370.6799999999998</v>
      </c>
      <c r="X66" s="44">
        <f>X15*(1-Paramètres!$B$2)</f>
        <v>2403.66</v>
      </c>
      <c r="Y66" s="44">
        <f>Y15*(1-Paramètres!$B$2)</f>
        <v>2436.1549999999997</v>
      </c>
      <c r="Z66" s="44">
        <f>Z15*(1-Paramètres!$B$2)</f>
        <v>2467.6799999999998</v>
      </c>
      <c r="AA66" s="44">
        <f>AA15*(1-Paramètres!$B$2)</f>
        <v>2500.1749999999997</v>
      </c>
      <c r="AB66" s="44">
        <f>AB15*(1-Paramètres!$B$2)</f>
        <v>2532.1849999999999</v>
      </c>
      <c r="AC66" s="44">
        <f>AC15*(1-Paramètres!$B$2)</f>
        <v>2564.6799999999998</v>
      </c>
      <c r="AD66" s="44">
        <f>AD15*(1-Paramètres!$B$2)</f>
        <v>2597.66</v>
      </c>
      <c r="AE66" s="44">
        <f>AE15*(1-Paramètres!$B$2)</f>
        <v>2797.9650000000001</v>
      </c>
      <c r="AF66" s="44">
        <f>AF15*(1-Paramètres!$B$2)</f>
        <v>2998.27</v>
      </c>
    </row>
    <row r="67" spans="1:32" ht="15" customHeight="1" x14ac:dyDescent="0.25">
      <c r="A67" s="43">
        <v>1850</v>
      </c>
      <c r="B67" s="44">
        <f>B16*(1-Paramètres!$B$2)</f>
        <v>1652.8799999999999</v>
      </c>
      <c r="C67" s="44">
        <f>C16*(1-Paramètres!$B$2)</f>
        <v>1684.8899999999999</v>
      </c>
      <c r="D67" s="44">
        <f>D16*(1-Paramètres!$B$2)</f>
        <v>1718.84</v>
      </c>
      <c r="E67" s="44">
        <f>E16*(1-Paramètres!$B$2)</f>
        <v>1750.85</v>
      </c>
      <c r="F67" s="44">
        <f>F16*(1-Paramètres!$B$2)</f>
        <v>1783.83</v>
      </c>
      <c r="G67" s="44">
        <f>G16*(1-Paramètres!$B$2)</f>
        <v>1817.2949999999998</v>
      </c>
      <c r="H67" s="44">
        <f>H16*(1-Paramètres!$B$2)</f>
        <v>1850.76</v>
      </c>
      <c r="I67" s="44">
        <f>I16*(1-Paramètres!$B$2)</f>
        <v>1882.2849999999999</v>
      </c>
      <c r="J67" s="44">
        <f>J16*(1-Paramètres!$B$2)</f>
        <v>1914.2949999999998</v>
      </c>
      <c r="K67" s="44">
        <f>K16*(1-Paramètres!$B$2)</f>
        <v>1949.2149999999999</v>
      </c>
      <c r="L67" s="44">
        <f>L16*(1-Paramètres!$B$2)</f>
        <v>1983.6499999999999</v>
      </c>
      <c r="M67" s="44">
        <f>M16*(1-Paramètres!$B$2)</f>
        <v>2059.7950000000001</v>
      </c>
      <c r="N67" s="44">
        <f>N16*(1-Paramètres!$B$2)</f>
        <v>2134</v>
      </c>
      <c r="O67" s="44">
        <f>O16*(1-Paramètres!$B$2)</f>
        <v>2166.4949999999999</v>
      </c>
      <c r="P67" s="44">
        <f>P16*(1-Paramètres!$B$2)</f>
        <v>2198.9899999999998</v>
      </c>
      <c r="Q67" s="44">
        <f>Q16*(1-Paramètres!$B$2)</f>
        <v>2234.395</v>
      </c>
      <c r="R67" s="44">
        <f>R16*(1-Paramètres!$B$2)</f>
        <v>2265.92</v>
      </c>
      <c r="S67" s="44">
        <f>S16*(1-Paramètres!$B$2)</f>
        <v>2299.87</v>
      </c>
      <c r="T67" s="44">
        <f>T16*(1-Paramètres!$B$2)</f>
        <v>2332.3649999999998</v>
      </c>
      <c r="U67" s="44">
        <f>U16*(1-Paramètres!$B$2)</f>
        <v>2365.83</v>
      </c>
      <c r="V67" s="44">
        <f>V16*(1-Paramètres!$B$2)</f>
        <v>2398.3249999999998</v>
      </c>
      <c r="W67" s="44">
        <f>W16*(1-Paramètres!$B$2)</f>
        <v>2431.3049999999998</v>
      </c>
      <c r="X67" s="44">
        <f>X16*(1-Paramètres!$B$2)</f>
        <v>2463.7999999999997</v>
      </c>
      <c r="Y67" s="44">
        <f>Y16*(1-Paramètres!$B$2)</f>
        <v>2498.7199999999998</v>
      </c>
      <c r="Z67" s="44">
        <f>Z16*(1-Paramètres!$B$2)</f>
        <v>2530.2449999999999</v>
      </c>
      <c r="AA67" s="44">
        <f>AA16*(1-Paramètres!$B$2)</f>
        <v>2563.71</v>
      </c>
      <c r="AB67" s="44">
        <f>AB16*(1-Paramètres!$B$2)</f>
        <v>2597.66</v>
      </c>
      <c r="AC67" s="44">
        <f>AC16*(1-Paramètres!$B$2)</f>
        <v>2804.7550000000001</v>
      </c>
      <c r="AD67" s="44">
        <f>AD16*(1-Paramètres!$B$2)</f>
        <v>2838.22</v>
      </c>
      <c r="AE67" s="44">
        <f>AE16*(1-Paramètres!$B$2)</f>
        <v>2871.2</v>
      </c>
      <c r="AF67" s="44">
        <f>AF16*(1-Paramètres!$B$2)</f>
        <v>3045.7999999999997</v>
      </c>
    </row>
    <row r="68" spans="1:32" ht="15" customHeight="1" x14ac:dyDescent="0.25">
      <c r="A68" s="43">
        <v>1950</v>
      </c>
      <c r="B68" s="44">
        <f>B17*(1-Paramètres!$B$2)</f>
        <v>1695.56</v>
      </c>
      <c r="C68" s="44">
        <f>C17*(1-Paramètres!$B$2)</f>
        <v>1729.51</v>
      </c>
      <c r="D68" s="44">
        <f>D17*(1-Paramètres!$B$2)</f>
        <v>1763.46</v>
      </c>
      <c r="E68" s="44">
        <f>E17*(1-Paramètres!$B$2)</f>
        <v>1797.4099999999999</v>
      </c>
      <c r="F68" s="44">
        <f>F17*(1-Paramètres!$B$2)</f>
        <v>1831.36</v>
      </c>
      <c r="G68" s="44">
        <f>G17*(1-Paramètres!$B$2)</f>
        <v>1863.855</v>
      </c>
      <c r="H68" s="44">
        <f>H17*(1-Paramètres!$B$2)</f>
        <v>1898.7749999999999</v>
      </c>
      <c r="I68" s="44">
        <f>I17*(1-Paramètres!$B$2)</f>
        <v>1933.21</v>
      </c>
      <c r="J68" s="44">
        <f>J17*(1-Paramètres!$B$2)</f>
        <v>1966.19</v>
      </c>
      <c r="K68" s="44">
        <f>K17*(1-Paramètres!$B$2)</f>
        <v>1999.655</v>
      </c>
      <c r="L68" s="44">
        <f>L17*(1-Paramètres!$B$2)</f>
        <v>2034.09</v>
      </c>
      <c r="M68" s="44">
        <f>M17*(1-Paramètres!$B$2)</f>
        <v>2111.69</v>
      </c>
      <c r="N68" s="44">
        <f>N17*(1-Paramètres!$B$2)</f>
        <v>2187.835</v>
      </c>
      <c r="O68" s="44">
        <f>O17*(1-Paramètres!$B$2)</f>
        <v>2222.7550000000001</v>
      </c>
      <c r="P68" s="44">
        <f>P17*(1-Paramètres!$B$2)</f>
        <v>2255.7350000000001</v>
      </c>
      <c r="Q68" s="44">
        <f>Q17*(1-Paramètres!$B$2)</f>
        <v>2288.7150000000001</v>
      </c>
      <c r="R68" s="44">
        <f>R17*(1-Paramètres!$B$2)</f>
        <v>2322.665</v>
      </c>
      <c r="S68" s="44">
        <f>S17*(1-Paramètres!$B$2)</f>
        <v>2356.6149999999998</v>
      </c>
      <c r="T68" s="44">
        <f>T17*(1-Paramètres!$B$2)</f>
        <v>2390.08</v>
      </c>
      <c r="U68" s="44">
        <f>U17*(1-Paramètres!$B$2)</f>
        <v>2425</v>
      </c>
      <c r="V68" s="44">
        <f>V17*(1-Paramètres!$B$2)</f>
        <v>2458.9499999999998</v>
      </c>
      <c r="W68" s="44">
        <f>W17*(1-Paramètres!$B$2)</f>
        <v>2492.415</v>
      </c>
      <c r="X68" s="44">
        <f>X17*(1-Paramètres!$B$2)</f>
        <v>2525.88</v>
      </c>
      <c r="Y68" s="44">
        <f>Y17*(1-Paramètres!$B$2)</f>
        <v>2560.7999999999997</v>
      </c>
      <c r="Z68" s="44">
        <f>Z17*(1-Paramètres!$B$2)</f>
        <v>2593.2950000000001</v>
      </c>
      <c r="AA68" s="44">
        <f>AA17*(1-Paramètres!$B$2)</f>
        <v>2800.39</v>
      </c>
      <c r="AB68" s="44">
        <f>AB17*(1-Paramètres!$B$2)</f>
        <v>3007.4850000000001</v>
      </c>
      <c r="AC68" s="44">
        <f>AC17*(1-Paramètres!$B$2)</f>
        <v>3048.2249999999999</v>
      </c>
      <c r="AD68" s="44">
        <f>AD17*(1-Paramètres!$B$2)</f>
        <v>3090.42</v>
      </c>
      <c r="AE68" s="44">
        <f>AE17*(1-Paramètres!$B$2)</f>
        <v>3131.645</v>
      </c>
      <c r="AF68" s="44">
        <f>AF17*(1-Paramètres!$B$2)</f>
        <v>3173.355</v>
      </c>
    </row>
    <row r="69" spans="1:32" ht="15" customHeight="1" x14ac:dyDescent="0.25">
      <c r="A69" s="43">
        <v>2050</v>
      </c>
      <c r="B69" s="44">
        <f>B18*(1-Paramètres!$B$2)</f>
        <v>1740.18</v>
      </c>
      <c r="C69" s="44">
        <f>C18*(1-Paramètres!$B$2)</f>
        <v>1774.615</v>
      </c>
      <c r="D69" s="44">
        <f>D18*(1-Paramètres!$B$2)</f>
        <v>1808.5650000000001</v>
      </c>
      <c r="E69" s="44">
        <f>E18*(1-Paramètres!$B$2)</f>
        <v>1843.4849999999999</v>
      </c>
      <c r="F69" s="44">
        <f>F18*(1-Paramètres!$B$2)</f>
        <v>1877.9199999999998</v>
      </c>
      <c r="G69" s="44">
        <f>G18*(1-Paramètres!$B$2)</f>
        <v>1912.84</v>
      </c>
      <c r="H69" s="44">
        <f>H18*(1-Paramètres!$B$2)</f>
        <v>1947.2749999999999</v>
      </c>
      <c r="I69" s="44">
        <f>I18*(1-Paramètres!$B$2)</f>
        <v>1983.165</v>
      </c>
      <c r="J69" s="44">
        <f>J18*(1-Paramètres!$B$2)</f>
        <v>2016.145</v>
      </c>
      <c r="K69" s="44">
        <f>K18*(1-Paramètres!$B$2)</f>
        <v>2050.0949999999998</v>
      </c>
      <c r="L69" s="44">
        <f>L18*(1-Paramètres!$B$2)</f>
        <v>2085.9850000000001</v>
      </c>
      <c r="M69" s="44">
        <f>M18*(1-Paramètres!$B$2)</f>
        <v>2163.585</v>
      </c>
      <c r="N69" s="44">
        <f>N18*(1-Paramètres!$B$2)</f>
        <v>2240.6999999999998</v>
      </c>
      <c r="O69" s="44">
        <f>O18*(1-Paramètres!$B$2)</f>
        <v>2277.0749999999998</v>
      </c>
      <c r="P69" s="44">
        <f>P18*(1-Paramètres!$B$2)</f>
        <v>2311.0250000000001</v>
      </c>
      <c r="Q69" s="44">
        <f>Q18*(1-Paramètres!$B$2)</f>
        <v>2344.9749999999999</v>
      </c>
      <c r="R69" s="44">
        <f>R18*(1-Paramètres!$B$2)</f>
        <v>2379.895</v>
      </c>
      <c r="S69" s="44">
        <f>S18*(1-Paramètres!$B$2)</f>
        <v>2415.2999999999997</v>
      </c>
      <c r="T69" s="44">
        <f>T18*(1-Paramètres!$B$2)</f>
        <v>2449.25</v>
      </c>
      <c r="U69" s="44">
        <f>U18*(1-Paramètres!$B$2)</f>
        <v>2483.1999999999998</v>
      </c>
      <c r="V69" s="44">
        <f>V18*(1-Paramètres!$B$2)</f>
        <v>2518.605</v>
      </c>
      <c r="W69" s="44">
        <f>W18*(1-Paramètres!$B$2)</f>
        <v>2552.5549999999998</v>
      </c>
      <c r="X69" s="44">
        <f>X18*(1-Paramètres!$B$2)</f>
        <v>2618.0299999999997</v>
      </c>
      <c r="Y69" s="44">
        <f>Y18*(1-Paramètres!$B$2)</f>
        <v>2962.38</v>
      </c>
      <c r="Z69" s="44">
        <f>Z18*(1-Paramètres!$B$2)</f>
        <v>3004.5749999999998</v>
      </c>
      <c r="AA69" s="44">
        <f>AA18*(1-Paramètres!$B$2)</f>
        <v>3089.45</v>
      </c>
      <c r="AB69" s="44">
        <f>AB18*(1-Paramètres!$B$2)</f>
        <v>3132.13</v>
      </c>
      <c r="AC69" s="44">
        <f>AC18*(1-Paramètres!$B$2)</f>
        <v>3169.96</v>
      </c>
      <c r="AD69" s="44">
        <f>AD18*(1-Paramètres!$B$2)</f>
        <v>3217.49</v>
      </c>
      <c r="AE69" s="44">
        <f>AE18*(1-Paramètres!$B$2)</f>
        <v>3260.17</v>
      </c>
      <c r="AF69" s="44">
        <f>AF18*(1-Paramètres!$B$2)</f>
        <v>3302.85</v>
      </c>
    </row>
    <row r="70" spans="1:32" ht="15" customHeight="1" x14ac:dyDescent="0.25">
      <c r="A70" s="43">
        <v>2150</v>
      </c>
      <c r="B70" s="44">
        <f>B19*(1-Paramètres!$B$2)</f>
        <v>1783.345</v>
      </c>
      <c r="C70" s="44">
        <f>C19*(1-Paramètres!$B$2)</f>
        <v>1819.2349999999999</v>
      </c>
      <c r="D70" s="44">
        <f>D19*(1-Paramètres!$B$2)</f>
        <v>1855.125</v>
      </c>
      <c r="E70" s="44">
        <f>E19*(1-Paramètres!$B$2)</f>
        <v>1889.56</v>
      </c>
      <c r="F70" s="44">
        <f>F19*(1-Paramètres!$B$2)</f>
        <v>1924.9649999999999</v>
      </c>
      <c r="G70" s="44">
        <f>G19*(1-Paramètres!$B$2)</f>
        <v>1960.855</v>
      </c>
      <c r="H70" s="44">
        <f>H19*(1-Paramètres!$B$2)</f>
        <v>1995.7749999999999</v>
      </c>
      <c r="I70" s="44">
        <f>I19*(1-Paramètres!$B$2)</f>
        <v>2032.1499999999999</v>
      </c>
      <c r="J70" s="44">
        <f>J19*(1-Paramètres!$B$2)</f>
        <v>2067.0700000000002</v>
      </c>
      <c r="K70" s="44">
        <f>K19*(1-Paramètres!$B$2)</f>
        <v>2102.4749999999999</v>
      </c>
      <c r="L70" s="44">
        <f>L19*(1-Paramètres!$B$2)</f>
        <v>2137.88</v>
      </c>
      <c r="M70" s="44">
        <f>M19*(1-Paramètres!$B$2)</f>
        <v>2216.4499999999998</v>
      </c>
      <c r="N70" s="44">
        <f>N19*(1-Paramètres!$B$2)</f>
        <v>2294.5349999999999</v>
      </c>
      <c r="O70" s="44">
        <f>O19*(1-Paramètres!$B$2)</f>
        <v>2329.94</v>
      </c>
      <c r="P70" s="44">
        <f>P19*(1-Paramètres!$B$2)</f>
        <v>2366.3150000000001</v>
      </c>
      <c r="Q70" s="44">
        <f>Q19*(1-Paramètres!$B$2)</f>
        <v>2401.7199999999998</v>
      </c>
      <c r="R70" s="44">
        <f>R19*(1-Paramètres!$B$2)</f>
        <v>2437.125</v>
      </c>
      <c r="S70" s="44">
        <f>S19*(1-Paramètres!$B$2)</f>
        <v>2471.0749999999998</v>
      </c>
      <c r="T70" s="44">
        <f>T19*(1-Paramètres!$B$2)</f>
        <v>2506.9650000000001</v>
      </c>
      <c r="U70" s="44">
        <f>U19*(1-Paramètres!$B$2)</f>
        <v>2555.9499999999998</v>
      </c>
      <c r="V70" s="44">
        <f>V19*(1-Paramètres!$B$2)</f>
        <v>2586.9899999999998</v>
      </c>
      <c r="W70" s="44">
        <f>W19*(1-Paramètres!$B$2)</f>
        <v>2954.1349999999998</v>
      </c>
      <c r="X70" s="44">
        <f>X19*(1-Paramètres!$B$2)</f>
        <v>2997.2999999999997</v>
      </c>
      <c r="Y70" s="44">
        <f>Y19*(1-Paramètres!$B$2)</f>
        <v>3040.95</v>
      </c>
      <c r="Z70" s="44">
        <f>Z19*(1-Paramètres!$B$2)</f>
        <v>3084.1149999999998</v>
      </c>
      <c r="AA70" s="44">
        <f>AA19*(1-Paramètres!$B$2)</f>
        <v>3128.25</v>
      </c>
      <c r="AB70" s="44">
        <f>AB19*(1-Paramètres!$B$2)</f>
        <v>3172.87</v>
      </c>
      <c r="AC70" s="44">
        <f>AC19*(1-Paramètres!$B$2)</f>
        <v>3214.58</v>
      </c>
      <c r="AD70" s="44">
        <f>AD19*(1-Paramètres!$B$2)</f>
        <v>3259.6849999999999</v>
      </c>
      <c r="AE70" s="44">
        <f>AE19*(1-Paramètres!$B$2)</f>
        <v>3303.335</v>
      </c>
      <c r="AF70" s="44">
        <f>AF19*(1-Paramètres!$B$2)</f>
        <v>3346.0149999999999</v>
      </c>
    </row>
    <row r="71" spans="1:32" ht="15" customHeight="1" x14ac:dyDescent="0.25">
      <c r="A71" s="43">
        <v>2250</v>
      </c>
      <c r="B71" s="44">
        <f>B20*(1-Paramètres!$B$2)</f>
        <v>1826.9949999999999</v>
      </c>
      <c r="C71" s="44">
        <f>C20*(1-Paramètres!$B$2)</f>
        <v>1862.885</v>
      </c>
      <c r="D71" s="44">
        <f>D20*(1-Paramètres!$B$2)</f>
        <v>1900.7149999999999</v>
      </c>
      <c r="E71" s="44">
        <f>E20*(1-Paramètres!$B$2)</f>
        <v>1936.12</v>
      </c>
      <c r="F71" s="44">
        <f>F20*(1-Paramètres!$B$2)</f>
        <v>1972.01</v>
      </c>
      <c r="G71" s="44">
        <f>G20*(1-Paramètres!$B$2)</f>
        <v>2008.385</v>
      </c>
      <c r="H71" s="44">
        <f>H20*(1-Paramètres!$B$2)</f>
        <v>2045.2449999999999</v>
      </c>
      <c r="I71" s="44">
        <f>I20*(1-Paramètres!$B$2)</f>
        <v>2079.6799999999998</v>
      </c>
      <c r="J71" s="44">
        <f>J20*(1-Paramètres!$B$2)</f>
        <v>2117.0250000000001</v>
      </c>
      <c r="K71" s="44">
        <f>K20*(1-Paramètres!$B$2)</f>
        <v>2152.4299999999998</v>
      </c>
      <c r="L71" s="44">
        <f>L20*(1-Paramètres!$B$2)</f>
        <v>2188.8049999999998</v>
      </c>
      <c r="M71" s="44">
        <f>M20*(1-Paramètres!$B$2)</f>
        <v>2266.89</v>
      </c>
      <c r="N71" s="44">
        <f>N20*(1-Paramètres!$B$2)</f>
        <v>2348.37</v>
      </c>
      <c r="O71" s="44">
        <f>O20*(1-Paramètres!$B$2)</f>
        <v>2385.23</v>
      </c>
      <c r="P71" s="44">
        <f>P20*(1-Paramètres!$B$2)</f>
        <v>2419.1799999999998</v>
      </c>
      <c r="Q71" s="44">
        <f>Q20*(1-Paramètres!$B$2)</f>
        <v>2456.5250000000001</v>
      </c>
      <c r="R71" s="44">
        <f>R20*(1-Paramètres!$B$2)</f>
        <v>2492.415</v>
      </c>
      <c r="S71" s="44">
        <f>S20*(1-Paramètres!$B$2)</f>
        <v>2528.3049999999998</v>
      </c>
      <c r="T71" s="44">
        <f>T20*(1-Paramètres!$B$2)</f>
        <v>2565.165</v>
      </c>
      <c r="U71" s="44">
        <f>U20*(1-Paramètres!$B$2)</f>
        <v>2775.6549999999997</v>
      </c>
      <c r="V71" s="44">
        <f>V20*(1-Paramètres!$B$2)</f>
        <v>2985.1749999999997</v>
      </c>
      <c r="W71" s="44">
        <f>W20*(1-Paramètres!$B$2)</f>
        <v>3029.31</v>
      </c>
      <c r="X71" s="44">
        <f>X20*(1-Paramètres!$B$2)</f>
        <v>3074.9</v>
      </c>
      <c r="Y71" s="44">
        <f>Y20*(1-Paramètres!$B$2)</f>
        <v>3119.52</v>
      </c>
      <c r="Z71" s="44">
        <f>Z20*(1-Paramètres!$B$2)</f>
        <v>3165.11</v>
      </c>
      <c r="AA71" s="44">
        <f>AA20*(1-Paramètres!$B$2)</f>
        <v>3209.2449999999999</v>
      </c>
      <c r="AB71" s="44">
        <f>AB20*(1-Paramètres!$B$2)</f>
        <v>3254.35</v>
      </c>
      <c r="AC71" s="44">
        <f>AC20*(1-Paramètres!$B$2)</f>
        <v>3299.4549999999999</v>
      </c>
      <c r="AD71" s="44">
        <f>AD20*(1-Paramètres!$B$2)</f>
        <v>3344.56</v>
      </c>
      <c r="AE71" s="44">
        <f>AE20*(1-Paramètres!$B$2)</f>
        <v>3388.6949999999997</v>
      </c>
      <c r="AF71" s="44">
        <f>AF20*(1-Paramètres!$B$2)</f>
        <v>3434.77</v>
      </c>
    </row>
    <row r="72" spans="1:32" ht="15" customHeight="1" x14ac:dyDescent="0.25">
      <c r="A72" s="43">
        <v>2350</v>
      </c>
      <c r="B72" s="44">
        <f>B21*(1-Paramètres!$B$2)</f>
        <v>1897.8049999999998</v>
      </c>
      <c r="C72" s="44">
        <f>C21*(1-Paramètres!$B$2)</f>
        <v>1935.1499999999999</v>
      </c>
      <c r="D72" s="44">
        <f>D21*(1-Paramètres!$B$2)</f>
        <v>1972.01</v>
      </c>
      <c r="E72" s="44">
        <f>E21*(1-Paramètres!$B$2)</f>
        <v>2008.87</v>
      </c>
      <c r="F72" s="44">
        <f>F21*(1-Paramètres!$B$2)</f>
        <v>2046.2149999999999</v>
      </c>
      <c r="G72" s="44">
        <f>G21*(1-Paramètres!$B$2)</f>
        <v>2084.0450000000001</v>
      </c>
      <c r="H72" s="44">
        <f>H21*(1-Paramètres!$B$2)</f>
        <v>2119.9349999999999</v>
      </c>
      <c r="I72" s="44">
        <f>I21*(1-Paramètres!$B$2)</f>
        <v>2156.31</v>
      </c>
      <c r="J72" s="44">
        <f>J21*(1-Paramètres!$B$2)</f>
        <v>2194.14</v>
      </c>
      <c r="K72" s="44">
        <f>K21*(1-Paramètres!$B$2)</f>
        <v>2231.4850000000001</v>
      </c>
      <c r="L72" s="44">
        <f>L21*(1-Paramètres!$B$2)</f>
        <v>2268.3449999999998</v>
      </c>
      <c r="M72" s="44">
        <f>M21*(1-Paramètres!$B$2)</f>
        <v>2348.855</v>
      </c>
      <c r="N72" s="44">
        <f>N21*(1-Paramètres!$B$2)</f>
        <v>2428.88</v>
      </c>
      <c r="O72" s="44">
        <f>O21*(1-Paramètres!$B$2)</f>
        <v>2466.2249999999999</v>
      </c>
      <c r="P72" s="44">
        <f>P21*(1-Paramètres!$B$2)</f>
        <v>2502.1149999999998</v>
      </c>
      <c r="Q72" s="44">
        <f>Q21*(1-Paramètres!$B$2)</f>
        <v>2539.9449999999997</v>
      </c>
      <c r="R72" s="44">
        <f>R21*(1-Paramètres!$B$2)</f>
        <v>2577.29</v>
      </c>
      <c r="S72" s="44">
        <f>S21*(1-Paramètres!$B$2)</f>
        <v>3020.0949999999998</v>
      </c>
      <c r="T72" s="44">
        <f>T21*(1-Paramètres!$B$2)</f>
        <v>3057.44</v>
      </c>
      <c r="U72" s="44">
        <f>U21*(1-Paramètres!$B$2)</f>
        <v>3414.8849999999998</v>
      </c>
      <c r="V72" s="44">
        <f>V21*(1-Paramètres!$B$2)</f>
        <v>3475.9949999999999</v>
      </c>
      <c r="W72" s="44">
        <f>W21*(1-Paramètres!$B$2)</f>
        <v>3519.645</v>
      </c>
      <c r="X72" s="44">
        <f>X21*(1-Paramètres!$B$2)</f>
        <v>3564.75</v>
      </c>
      <c r="Y72" s="44">
        <f>Y21*(1-Paramètres!$B$2)</f>
        <v>3607.43</v>
      </c>
      <c r="Z72" s="44">
        <f>Z21*(1-Paramètres!$B$2)</f>
        <v>3649.625</v>
      </c>
      <c r="AA72" s="44">
        <f>AA21*(1-Paramètres!$B$2)</f>
        <v>3695.2149999999997</v>
      </c>
      <c r="AB72" s="44">
        <f>AB21*(1-Paramètres!$B$2)</f>
        <v>3739.835</v>
      </c>
      <c r="AC72" s="44">
        <f>AC21*(1-Paramètres!$B$2)</f>
        <v>3783</v>
      </c>
      <c r="AD72" s="44">
        <f>AD21*(1-Paramètres!$B$2)</f>
        <v>3827.62</v>
      </c>
      <c r="AE72" s="44">
        <f>AE21*(1-Paramètres!$B$2)</f>
        <v>3872.24</v>
      </c>
      <c r="AF72" s="44">
        <f>AF21*(1-Paramètres!$B$2)</f>
        <v>3916.8599999999997</v>
      </c>
    </row>
    <row r="73" spans="1:32" ht="15" customHeight="1" x14ac:dyDescent="0.25">
      <c r="A73" s="43">
        <v>2450</v>
      </c>
      <c r="B73" s="44">
        <f>B22*(1-Paramètres!$B$2)</f>
        <v>1941.4549999999999</v>
      </c>
      <c r="C73" s="44">
        <f>C22*(1-Paramètres!$B$2)</f>
        <v>1980.74</v>
      </c>
      <c r="D73" s="44">
        <f>D22*(1-Paramètres!$B$2)</f>
        <v>2017.115</v>
      </c>
      <c r="E73" s="44">
        <f>E22*(1-Paramètres!$B$2)</f>
        <v>2054.9450000000002</v>
      </c>
      <c r="F73" s="44">
        <f>F22*(1-Paramètres!$B$2)</f>
        <v>2093.2599999999998</v>
      </c>
      <c r="G73" s="44">
        <f>G22*(1-Paramètres!$B$2)</f>
        <v>2132.06</v>
      </c>
      <c r="H73" s="44">
        <f>H22*(1-Paramètres!$B$2)</f>
        <v>2168.92</v>
      </c>
      <c r="I73" s="44">
        <f>I22*(1-Paramètres!$B$2)</f>
        <v>2206.2649999999999</v>
      </c>
      <c r="J73" s="44">
        <f>J22*(1-Paramètres!$B$2)</f>
        <v>2244.58</v>
      </c>
      <c r="K73" s="44">
        <f>K22*(1-Paramètres!$B$2)</f>
        <v>2281.9249999999997</v>
      </c>
      <c r="L73" s="44">
        <f>L22*(1-Paramètres!$B$2)</f>
        <v>2318.7849999999999</v>
      </c>
      <c r="M73" s="44">
        <f>M22*(1-Paramètres!$B$2)</f>
        <v>2399.7799999999997</v>
      </c>
      <c r="N73" s="44">
        <f>N22*(1-Paramètres!$B$2)</f>
        <v>2481.7449999999999</v>
      </c>
      <c r="O73" s="44">
        <f>O22*(1-Paramètres!$B$2)</f>
        <v>2520.06</v>
      </c>
      <c r="P73" s="44">
        <f>P22*(1-Paramètres!$B$2)</f>
        <v>2556.92</v>
      </c>
      <c r="Q73" s="44">
        <f>Q22*(1-Paramètres!$B$2)</f>
        <v>2764.9850000000001</v>
      </c>
      <c r="R73" s="44">
        <f>R22*(1-Paramètres!$B$2)</f>
        <v>2972.08</v>
      </c>
      <c r="S73" s="44">
        <f>S22*(1-Paramètres!$B$2)</f>
        <v>3020.58</v>
      </c>
      <c r="T73" s="44">
        <f>T22*(1-Paramètres!$B$2)</f>
        <v>3068.11</v>
      </c>
      <c r="U73" s="44">
        <f>U22*(1-Paramètres!$B$2)</f>
        <v>3116.125</v>
      </c>
      <c r="V73" s="44">
        <f>V22*(1-Paramètres!$B$2)</f>
        <v>3163.6549999999997</v>
      </c>
      <c r="W73" s="44">
        <f>W22*(1-Paramètres!$B$2)</f>
        <v>3209.2449999999999</v>
      </c>
      <c r="X73" s="44">
        <f>X22*(1-Paramètres!$B$2)</f>
        <v>3304.79</v>
      </c>
      <c r="Y73" s="44">
        <f>Y22*(1-Paramètres!$B$2)</f>
        <v>3350.8649999999998</v>
      </c>
      <c r="Z73" s="44">
        <f>Z22*(1-Paramètres!$B$2)</f>
        <v>3398.395</v>
      </c>
      <c r="AA73" s="44">
        <f>AA22*(1-Paramètres!$B$2)</f>
        <v>3445.44</v>
      </c>
      <c r="AB73" s="44">
        <f>AB22*(1-Paramètres!$B$2)</f>
        <v>3492.4850000000001</v>
      </c>
      <c r="AC73" s="44">
        <f>AC22*(1-Paramètres!$B$2)</f>
        <v>3540.0149999999999</v>
      </c>
      <c r="AD73" s="44">
        <f>AD22*(1-Paramètres!$B$2)</f>
        <v>3584.15</v>
      </c>
      <c r="AE73" s="44">
        <f>AE22*(1-Paramètres!$B$2)</f>
        <v>3590.94</v>
      </c>
      <c r="AF73" s="44">
        <f>AF22*(1-Paramètres!$B$2)</f>
        <v>3590.94</v>
      </c>
    </row>
    <row r="74" spans="1:32" ht="15" customHeight="1" x14ac:dyDescent="0.25">
      <c r="A74" s="43">
        <v>2550</v>
      </c>
      <c r="B74" s="44">
        <f>B23*(1-Paramètres!$B$2)</f>
        <v>1986.075</v>
      </c>
      <c r="C74" s="44">
        <f>C23*(1-Paramètres!$B$2)</f>
        <v>2024.3899999999999</v>
      </c>
      <c r="D74" s="44">
        <f>D23*(1-Paramètres!$B$2)</f>
        <v>2063.6749999999997</v>
      </c>
      <c r="E74" s="44">
        <f>E23*(1-Paramètres!$B$2)</f>
        <v>2101.5050000000001</v>
      </c>
      <c r="F74" s="44">
        <f>F23*(1-Paramètres!$B$2)</f>
        <v>2139.8200000000002</v>
      </c>
      <c r="G74" s="44">
        <f>G23*(1-Paramètres!$B$2)</f>
        <v>2178.1349999999998</v>
      </c>
      <c r="H74" s="44">
        <f>H23*(1-Paramètres!$B$2)</f>
        <v>2217.9049999999997</v>
      </c>
      <c r="I74" s="44">
        <f>I23*(1-Paramètres!$B$2)</f>
        <v>2256.2199999999998</v>
      </c>
      <c r="J74" s="44">
        <f>J23*(1-Paramètres!$B$2)</f>
        <v>2294.5349999999999</v>
      </c>
      <c r="K74" s="44">
        <f>K23*(1-Paramètres!$B$2)</f>
        <v>2332.85</v>
      </c>
      <c r="L74" s="44">
        <f>L23*(1-Paramètres!$B$2)</f>
        <v>2370.6799999999998</v>
      </c>
      <c r="M74" s="44">
        <f>M23*(1-Paramètres!$B$2)</f>
        <v>2452.16</v>
      </c>
      <c r="N74" s="44">
        <f>N23*(1-Paramètres!$B$2)</f>
        <v>2534.61</v>
      </c>
      <c r="O74" s="44">
        <f>O23*(1-Paramètres!$B$2)</f>
        <v>2573.41</v>
      </c>
      <c r="P74" s="44">
        <f>P23*(1-Paramètres!$B$2)</f>
        <v>2756.2550000000001</v>
      </c>
      <c r="Q74" s="44">
        <f>Q23*(1-Paramètres!$B$2)</f>
        <v>2994.875</v>
      </c>
      <c r="R74" s="44">
        <f>R23*(1-Paramètres!$B$2)</f>
        <v>3043.375</v>
      </c>
      <c r="S74" s="44">
        <f>S23*(1-Paramètres!$B$2)</f>
        <v>3092.8449999999998</v>
      </c>
      <c r="T74" s="44">
        <f>T23*(1-Paramètres!$B$2)</f>
        <v>3139.89</v>
      </c>
      <c r="U74" s="44">
        <f>U23*(1-Paramètres!$B$2)</f>
        <v>3188.39</v>
      </c>
      <c r="V74" s="44">
        <f>V23*(1-Paramètres!$B$2)</f>
        <v>3237.375</v>
      </c>
      <c r="W74" s="44">
        <f>W23*(1-Paramètres!$B$2)</f>
        <v>3285.875</v>
      </c>
      <c r="X74" s="44">
        <f>X23*(1-Paramètres!$B$2)</f>
        <v>3334.86</v>
      </c>
      <c r="Y74" s="44">
        <f>Y23*(1-Paramètres!$B$2)</f>
        <v>3382.875</v>
      </c>
      <c r="Z74" s="44">
        <f>Z23*(1-Paramètres!$B$2)</f>
        <v>3431.86</v>
      </c>
      <c r="AA74" s="44">
        <f>AA23*(1-Paramètres!$B$2)</f>
        <v>3478.9049999999997</v>
      </c>
      <c r="AB74" s="44">
        <f>AB23*(1-Paramètres!$B$2)</f>
        <v>3527.89</v>
      </c>
      <c r="AC74" s="44">
        <f>AC23*(1-Paramètres!$B$2)</f>
        <v>3576.39</v>
      </c>
      <c r="AD74" s="44">
        <f>AD23*(1-Paramètres!$B$2)</f>
        <v>3624.89</v>
      </c>
      <c r="AE74" s="44">
        <f>AE23*(1-Paramètres!$B$2)</f>
        <v>3673.39</v>
      </c>
      <c r="AF74" s="44">
        <f>AF23*(1-Paramètres!$B$2)</f>
        <v>3721.89</v>
      </c>
    </row>
    <row r="75" spans="1:32" ht="15" customHeight="1" x14ac:dyDescent="0.25">
      <c r="A75" s="43">
        <v>2650</v>
      </c>
      <c r="B75" s="44">
        <f>B24*(1-Paramètres!$B$2)</f>
        <v>2030.6949999999999</v>
      </c>
      <c r="C75" s="44">
        <f>C24*(1-Paramètres!$B$2)</f>
        <v>2068.04</v>
      </c>
      <c r="D75" s="44">
        <f>D24*(1-Paramètres!$B$2)</f>
        <v>2110.2350000000001</v>
      </c>
      <c r="E75" s="44">
        <f>E24*(1-Paramètres!$B$2)</f>
        <v>2148.0650000000001</v>
      </c>
      <c r="F75" s="44">
        <f>F24*(1-Paramètres!$B$2)</f>
        <v>2186.38</v>
      </c>
      <c r="G75" s="44">
        <f>G24*(1-Paramètres!$B$2)</f>
        <v>2226.15</v>
      </c>
      <c r="H75" s="44">
        <f>H24*(1-Paramètres!$B$2)</f>
        <v>2266.89</v>
      </c>
      <c r="I75" s="44">
        <f>I24*(1-Paramètres!$B$2)</f>
        <v>2306.1749999999997</v>
      </c>
      <c r="J75" s="44">
        <f>J24*(1-Paramètres!$B$2)</f>
        <v>2344.4899999999998</v>
      </c>
      <c r="K75" s="44">
        <f>K24*(1-Paramètres!$B$2)</f>
        <v>2383.7750000000001</v>
      </c>
      <c r="L75" s="44">
        <f>L24*(1-Paramètres!$B$2)</f>
        <v>2422.5749999999998</v>
      </c>
      <c r="M75" s="44">
        <f>M24*(1-Paramètres!$B$2)</f>
        <v>2504.54</v>
      </c>
      <c r="N75" s="44">
        <f>N24*(1-Paramètres!$B$2)</f>
        <v>2587.4749999999999</v>
      </c>
      <c r="O75" s="44">
        <f>O24*(1-Paramètres!$B$2)</f>
        <v>2960.44</v>
      </c>
      <c r="P75" s="44">
        <f>P24*(1-Paramètres!$B$2)</f>
        <v>3013.79</v>
      </c>
      <c r="Q75" s="44">
        <f>Q24*(1-Paramètres!$B$2)</f>
        <v>3093.33</v>
      </c>
      <c r="R75" s="44">
        <f>R24*(1-Paramètres!$B$2)</f>
        <v>3254.35</v>
      </c>
      <c r="S75" s="44">
        <f>S24*(1-Paramètres!$B$2)</f>
        <v>3283.45</v>
      </c>
      <c r="T75" s="44">
        <f>T24*(1-Paramètres!$B$2)</f>
        <v>3401.79</v>
      </c>
      <c r="U75" s="44">
        <f>U24*(1-Paramètres!$B$2)</f>
        <v>3451.7449999999999</v>
      </c>
      <c r="V75" s="44">
        <f>V24*(1-Paramètres!$B$2)</f>
        <v>3501.7</v>
      </c>
      <c r="W75" s="44">
        <f>W24*(1-Paramètres!$B$2)</f>
        <v>3551.17</v>
      </c>
      <c r="X75" s="44">
        <f>X24*(1-Paramètres!$B$2)</f>
        <v>3601.61</v>
      </c>
      <c r="Y75" s="44">
        <f>Y24*(1-Paramètres!$B$2)</f>
        <v>3652.0499999999997</v>
      </c>
      <c r="Z75" s="44">
        <f>Z24*(1-Paramètres!$B$2)</f>
        <v>3702.9749999999999</v>
      </c>
      <c r="AA75" s="44">
        <f>AA24*(1-Paramètres!$B$2)</f>
        <v>3753.415</v>
      </c>
      <c r="AB75" s="44">
        <f>AB24*(1-Paramètres!$B$2)</f>
        <v>3804.3399999999997</v>
      </c>
      <c r="AC75" s="44">
        <f>AC24*(1-Paramètres!$B$2)</f>
        <v>3855.75</v>
      </c>
      <c r="AD75" s="44">
        <f>AD24*(1-Paramètres!$B$2)</f>
        <v>3906.6749999999997</v>
      </c>
      <c r="AE75" s="44">
        <f>AE24*(1-Paramètres!$B$2)</f>
        <v>3957.6</v>
      </c>
      <c r="AF75" s="44">
        <f>AF24*(1-Paramètres!$B$2)</f>
        <v>4008.5250000000001</v>
      </c>
    </row>
    <row r="76" spans="1:32" ht="15" customHeight="1" x14ac:dyDescent="0.25">
      <c r="A76" s="43">
        <v>2700</v>
      </c>
      <c r="B76" s="44">
        <f>B25*(1-Paramètres!$B$2)</f>
        <v>2075.3150000000001</v>
      </c>
      <c r="C76" s="44">
        <f>C25*(1-Paramètres!$B$2)</f>
        <v>2111.69</v>
      </c>
      <c r="D76" s="44">
        <f>D25*(1-Paramètres!$B$2)</f>
        <v>2156.7950000000001</v>
      </c>
      <c r="E76" s="44">
        <f>E25*(1-Paramètres!$B$2)</f>
        <v>2194.625</v>
      </c>
      <c r="F76" s="44">
        <f>F25*(1-Paramètres!$B$2)</f>
        <v>2232.94</v>
      </c>
      <c r="G76" s="44">
        <f>G25*(1-Paramètres!$B$2)</f>
        <v>2274.165</v>
      </c>
      <c r="H76" s="44">
        <f>H25*(1-Paramètres!$B$2)</f>
        <v>2315.875</v>
      </c>
      <c r="I76" s="44">
        <f>I25*(1-Paramètres!$B$2)</f>
        <v>2356.13</v>
      </c>
      <c r="J76" s="44">
        <f>J25*(1-Paramètres!$B$2)</f>
        <v>2394.4449999999997</v>
      </c>
      <c r="K76" s="44">
        <f>K25*(1-Paramètres!$B$2)</f>
        <v>2434.2150000000001</v>
      </c>
      <c r="L76" s="44">
        <f>L25*(1-Paramètres!$B$2)</f>
        <v>2474.4699999999998</v>
      </c>
      <c r="M76" s="44">
        <f>M25*(1-Paramètres!$B$2)</f>
        <v>2556.92</v>
      </c>
      <c r="N76" s="44">
        <f>N25*(1-Paramètres!$B$2)</f>
        <v>2640.34</v>
      </c>
      <c r="O76" s="44">
        <f>O25*(1-Paramètres!$B$2)</f>
        <v>3043.375</v>
      </c>
      <c r="P76" s="44">
        <f>P25*(1-Paramètres!$B$2)</f>
        <v>3083.145</v>
      </c>
      <c r="Q76" s="44">
        <f>Q25*(1-Paramètres!$B$2)</f>
        <v>3134.5549999999998</v>
      </c>
      <c r="R76" s="44">
        <f>R25*(1-Paramètres!$B$2)</f>
        <v>3234.4649999999997</v>
      </c>
      <c r="S76" s="44">
        <f>S25*(1-Paramètres!$B$2)</f>
        <v>3237.375</v>
      </c>
      <c r="T76" s="44">
        <f>T25*(1-Paramètres!$B$2)</f>
        <v>3283.45</v>
      </c>
      <c r="U76" s="44">
        <f>U25*(1-Paramètres!$B$2)</f>
        <v>3332.92</v>
      </c>
      <c r="V76" s="44">
        <f>V25*(1-Paramètres!$B$2)</f>
        <v>3384.8150000000001</v>
      </c>
      <c r="W76" s="44">
        <f>W25*(1-Paramètres!$B$2)</f>
        <v>3439.62</v>
      </c>
      <c r="X76" s="44">
        <f>X25*(1-Paramètres!$B$2)</f>
        <v>3492</v>
      </c>
      <c r="Y76" s="44">
        <f>Y25*(1-Paramètres!$B$2)</f>
        <v>3539.0450000000001</v>
      </c>
      <c r="Z76" s="44">
        <f>Z25*(1-Paramètres!$B$2)</f>
        <v>3593.85</v>
      </c>
      <c r="AA76" s="44">
        <f>AA25*(1-Paramètres!$B$2)</f>
        <v>3639.9249999999997</v>
      </c>
      <c r="AB76" s="44">
        <f>AB25*(1-Paramètres!$B$2)</f>
        <v>3692.79</v>
      </c>
      <c r="AC76" s="44">
        <f>AC25*(1-Paramètres!$B$2)</f>
        <v>3742.7449999999999</v>
      </c>
      <c r="AD76" s="44">
        <f>AD25*(1-Paramètres!$B$2)</f>
        <v>3792.7</v>
      </c>
      <c r="AE76" s="44">
        <f>AE25*(1-Paramètres!$B$2)</f>
        <v>3919.77</v>
      </c>
      <c r="AF76" s="44">
        <f>AF25*(1-Paramètres!$B$2)</f>
        <v>4053.63</v>
      </c>
    </row>
  </sheetData>
  <mergeCells count="4">
    <mergeCell ref="A1:AF1"/>
    <mergeCell ref="A27:AF27"/>
    <mergeCell ref="A3:AF3"/>
    <mergeCell ref="A53:AF5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76"/>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37" width="9" customWidth="1"/>
  </cols>
  <sheetData>
    <row r="1" spans="1:37" ht="24" customHeight="1" x14ac:dyDescent="0.25">
      <c r="A1" s="126" t="s">
        <v>265</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row>
    <row r="3" spans="1:37" ht="15" customHeight="1" x14ac:dyDescent="0.25">
      <c r="A3" s="121" t="s">
        <v>259</v>
      </c>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row>
    <row r="4" spans="1:37" ht="15" customHeight="1" x14ac:dyDescent="0.25">
      <c r="A4" s="43" t="s">
        <v>260</v>
      </c>
      <c r="B4" s="43">
        <v>2500</v>
      </c>
      <c r="C4" s="43">
        <v>2600</v>
      </c>
      <c r="D4" s="43">
        <v>2700</v>
      </c>
      <c r="E4" s="43">
        <v>2800</v>
      </c>
      <c r="F4" s="43">
        <v>2900</v>
      </c>
      <c r="G4" s="43">
        <v>3000</v>
      </c>
      <c r="H4" s="43">
        <v>3100</v>
      </c>
      <c r="I4" s="43">
        <v>3200</v>
      </c>
      <c r="J4" s="43">
        <v>3300</v>
      </c>
      <c r="K4" s="43">
        <v>3400</v>
      </c>
      <c r="L4" s="43">
        <v>3500</v>
      </c>
      <c r="M4" s="43">
        <v>3600</v>
      </c>
      <c r="N4" s="43">
        <v>3700</v>
      </c>
      <c r="O4" s="43">
        <v>3800</v>
      </c>
      <c r="P4" s="43">
        <v>3900</v>
      </c>
      <c r="Q4" s="43">
        <v>4000</v>
      </c>
      <c r="R4" s="43">
        <v>4100</v>
      </c>
      <c r="S4" s="43">
        <v>4200</v>
      </c>
      <c r="T4" s="43">
        <v>4300</v>
      </c>
      <c r="U4" s="43">
        <v>4400</v>
      </c>
      <c r="V4" s="43">
        <v>4500</v>
      </c>
      <c r="W4" s="43">
        <v>4600</v>
      </c>
      <c r="X4" s="43">
        <v>4700</v>
      </c>
      <c r="Y4" s="43">
        <v>4800</v>
      </c>
      <c r="Z4" s="43">
        <v>4900</v>
      </c>
      <c r="AA4" s="43">
        <v>5000</v>
      </c>
      <c r="AB4" s="43">
        <v>5100</v>
      </c>
      <c r="AC4" s="43">
        <v>5200</v>
      </c>
      <c r="AD4" s="43">
        <v>5300</v>
      </c>
      <c r="AE4" s="43">
        <v>5400</v>
      </c>
      <c r="AF4" s="43">
        <v>5500</v>
      </c>
      <c r="AG4" s="43">
        <v>5600</v>
      </c>
      <c r="AH4" s="43">
        <v>5700</v>
      </c>
      <c r="AI4" s="43">
        <v>5800</v>
      </c>
      <c r="AJ4" s="43">
        <v>5900</v>
      </c>
      <c r="AK4" s="43">
        <v>6050</v>
      </c>
    </row>
    <row r="5" spans="1:37" ht="15" customHeight="1" x14ac:dyDescent="0.25">
      <c r="A5" s="43">
        <v>750</v>
      </c>
      <c r="B5" s="44">
        <v>3178</v>
      </c>
      <c r="C5" s="44">
        <v>3271</v>
      </c>
      <c r="D5" s="44">
        <v>3316</v>
      </c>
      <c r="E5" s="44">
        <v>3362</v>
      </c>
      <c r="F5" s="44">
        <v>3408</v>
      </c>
      <c r="G5" s="44">
        <v>3452</v>
      </c>
      <c r="H5" s="44">
        <v>3498</v>
      </c>
      <c r="I5" s="44">
        <v>3545</v>
      </c>
      <c r="J5" s="44">
        <v>3588</v>
      </c>
      <c r="K5" s="44">
        <v>3634</v>
      </c>
      <c r="L5" s="44">
        <v>3679</v>
      </c>
      <c r="M5" s="44">
        <v>3724</v>
      </c>
      <c r="N5" s="44">
        <v>3770</v>
      </c>
      <c r="O5" s="44">
        <v>3816</v>
      </c>
      <c r="P5" s="44">
        <v>3861</v>
      </c>
      <c r="Q5" s="44">
        <v>3908</v>
      </c>
      <c r="R5" s="44">
        <v>3953</v>
      </c>
      <c r="S5" s="44">
        <v>3997</v>
      </c>
      <c r="T5" s="44">
        <v>4044</v>
      </c>
      <c r="U5" s="44">
        <v>4090</v>
      </c>
      <c r="V5" s="44">
        <v>4136</v>
      </c>
      <c r="W5" s="44">
        <v>4178</v>
      </c>
      <c r="X5" s="44">
        <v>4222</v>
      </c>
      <c r="Y5" s="44">
        <v>4268</v>
      </c>
      <c r="Z5" s="44">
        <v>4315</v>
      </c>
      <c r="AA5" s="44">
        <v>4361</v>
      </c>
      <c r="AB5" s="44">
        <v>4407</v>
      </c>
      <c r="AC5" s="44">
        <v>4450</v>
      </c>
      <c r="AD5" s="44">
        <v>4495</v>
      </c>
      <c r="AE5" s="44">
        <v>4542</v>
      </c>
      <c r="AF5" s="44">
        <v>4587</v>
      </c>
      <c r="AG5" s="44">
        <v>4632</v>
      </c>
      <c r="AH5" s="44">
        <v>4678</v>
      </c>
      <c r="AI5" s="44">
        <v>4722</v>
      </c>
      <c r="AJ5" s="44">
        <v>4768</v>
      </c>
      <c r="AK5" s="44">
        <v>4815</v>
      </c>
    </row>
    <row r="6" spans="1:37" ht="15" customHeight="1" x14ac:dyDescent="0.25">
      <c r="A6" s="43">
        <v>850</v>
      </c>
      <c r="B6" s="44">
        <v>3286</v>
      </c>
      <c r="C6" s="44">
        <v>3380</v>
      </c>
      <c r="D6" s="44">
        <v>3426</v>
      </c>
      <c r="E6" s="44">
        <v>3472</v>
      </c>
      <c r="F6" s="44">
        <v>3521</v>
      </c>
      <c r="G6" s="44">
        <v>3567</v>
      </c>
      <c r="H6" s="44">
        <v>3613</v>
      </c>
      <c r="I6" s="44">
        <v>3661</v>
      </c>
      <c r="J6" s="44">
        <v>3709</v>
      </c>
      <c r="K6" s="44">
        <v>3755</v>
      </c>
      <c r="L6" s="44">
        <v>3801</v>
      </c>
      <c r="M6" s="44">
        <v>3848</v>
      </c>
      <c r="N6" s="44">
        <v>3895</v>
      </c>
      <c r="O6" s="44">
        <v>3941</v>
      </c>
      <c r="P6" s="44">
        <v>3988</v>
      </c>
      <c r="Q6" s="44">
        <v>4036</v>
      </c>
      <c r="R6" s="44">
        <v>4082</v>
      </c>
      <c r="S6" s="44">
        <v>4130</v>
      </c>
      <c r="T6" s="44">
        <v>4176</v>
      </c>
      <c r="U6" s="44">
        <v>4222</v>
      </c>
      <c r="V6" s="44">
        <v>4271</v>
      </c>
      <c r="W6" s="44">
        <v>4317</v>
      </c>
      <c r="X6" s="44">
        <v>4364</v>
      </c>
      <c r="Y6" s="44">
        <v>4412</v>
      </c>
      <c r="Z6" s="44">
        <v>4458</v>
      </c>
      <c r="AA6" s="44">
        <v>4504</v>
      </c>
      <c r="AB6" s="44">
        <v>4552</v>
      </c>
      <c r="AC6" s="44">
        <v>4599</v>
      </c>
      <c r="AD6" s="44">
        <v>4647</v>
      </c>
      <c r="AE6" s="44">
        <v>4695</v>
      </c>
      <c r="AF6" s="44">
        <v>4742</v>
      </c>
      <c r="AG6" s="44">
        <v>4788</v>
      </c>
      <c r="AH6" s="44">
        <v>4836</v>
      </c>
      <c r="AI6" s="44">
        <v>4881</v>
      </c>
      <c r="AJ6" s="44">
        <v>4927</v>
      </c>
      <c r="AK6" s="44">
        <v>4974</v>
      </c>
    </row>
    <row r="7" spans="1:37" ht="15" customHeight="1" x14ac:dyDescent="0.25">
      <c r="A7" s="43">
        <v>950</v>
      </c>
      <c r="B7" s="44">
        <v>3392</v>
      </c>
      <c r="C7" s="44">
        <v>3488</v>
      </c>
      <c r="D7" s="44">
        <v>3539</v>
      </c>
      <c r="E7" s="44">
        <v>3586</v>
      </c>
      <c r="F7" s="44">
        <v>3633</v>
      </c>
      <c r="G7" s="44">
        <v>3681</v>
      </c>
      <c r="H7" s="44">
        <v>3729</v>
      </c>
      <c r="I7" s="44">
        <v>3780</v>
      </c>
      <c r="J7" s="44">
        <v>3828</v>
      </c>
      <c r="K7" s="44">
        <v>3877</v>
      </c>
      <c r="L7" s="44">
        <v>3923</v>
      </c>
      <c r="M7" s="44">
        <v>3973</v>
      </c>
      <c r="N7" s="44">
        <v>4021</v>
      </c>
      <c r="O7" s="44">
        <v>4069</v>
      </c>
      <c r="P7" s="44">
        <v>4117</v>
      </c>
      <c r="Q7" s="44">
        <v>4168</v>
      </c>
      <c r="R7" s="44">
        <v>4216</v>
      </c>
      <c r="S7" s="44">
        <v>4263</v>
      </c>
      <c r="T7" s="44">
        <v>4312</v>
      </c>
      <c r="U7" s="44">
        <v>4361</v>
      </c>
      <c r="V7" s="44">
        <v>4410</v>
      </c>
      <c r="W7" s="44">
        <v>4456</v>
      </c>
      <c r="X7" s="44">
        <v>4504</v>
      </c>
      <c r="Y7" s="44">
        <v>4554</v>
      </c>
      <c r="Z7" s="44">
        <v>4605</v>
      </c>
      <c r="AA7" s="44">
        <v>4652</v>
      </c>
      <c r="AB7" s="44">
        <v>4700</v>
      </c>
      <c r="AC7" s="44">
        <v>4750</v>
      </c>
      <c r="AD7" s="44">
        <v>4799</v>
      </c>
      <c r="AE7" s="44">
        <v>4845</v>
      </c>
      <c r="AF7" s="44">
        <v>4893</v>
      </c>
      <c r="AG7" s="44">
        <v>4942</v>
      </c>
      <c r="AH7" s="44">
        <v>4988</v>
      </c>
      <c r="AI7" s="44">
        <v>5038</v>
      </c>
      <c r="AJ7" s="44">
        <v>5088</v>
      </c>
      <c r="AK7" s="44">
        <v>5135</v>
      </c>
    </row>
    <row r="8" spans="1:37" ht="15" customHeight="1" x14ac:dyDescent="0.25">
      <c r="A8" s="43">
        <v>1050</v>
      </c>
      <c r="B8" s="44">
        <v>3498</v>
      </c>
      <c r="C8" s="44">
        <v>3597</v>
      </c>
      <c r="D8" s="44">
        <v>3649</v>
      </c>
      <c r="E8" s="44">
        <v>3699</v>
      </c>
      <c r="F8" s="44">
        <v>3748</v>
      </c>
      <c r="G8" s="44">
        <v>3796</v>
      </c>
      <c r="H8" s="44">
        <v>3844</v>
      </c>
      <c r="I8" s="44">
        <v>3897</v>
      </c>
      <c r="J8" s="44">
        <v>3946</v>
      </c>
      <c r="K8" s="44">
        <v>3997</v>
      </c>
      <c r="L8" s="44">
        <v>4046</v>
      </c>
      <c r="M8" s="44">
        <v>4096</v>
      </c>
      <c r="N8" s="44">
        <v>4148</v>
      </c>
      <c r="O8" s="44">
        <v>4197</v>
      </c>
      <c r="P8" s="44">
        <v>4251</v>
      </c>
      <c r="Q8" s="44">
        <v>4299</v>
      </c>
      <c r="R8" s="44">
        <v>4346</v>
      </c>
      <c r="S8" s="44">
        <v>4397</v>
      </c>
      <c r="T8" s="44">
        <v>4446</v>
      </c>
      <c r="U8" s="44">
        <v>4495</v>
      </c>
      <c r="V8" s="44">
        <v>4545</v>
      </c>
      <c r="W8" s="44">
        <v>4595</v>
      </c>
      <c r="X8" s="44">
        <v>4644</v>
      </c>
      <c r="Y8" s="44">
        <v>4694</v>
      </c>
      <c r="Z8" s="44">
        <v>4747</v>
      </c>
      <c r="AA8" s="44">
        <v>4798</v>
      </c>
      <c r="AB8" s="44">
        <v>4846</v>
      </c>
      <c r="AC8" s="44">
        <v>4897</v>
      </c>
      <c r="AD8" s="44">
        <v>4946</v>
      </c>
      <c r="AE8" s="44">
        <v>4997</v>
      </c>
      <c r="AF8" s="44">
        <v>5046</v>
      </c>
      <c r="AG8" s="44">
        <v>5095</v>
      </c>
      <c r="AH8" s="44">
        <v>5145</v>
      </c>
      <c r="AI8" s="44">
        <v>5197</v>
      </c>
      <c r="AJ8" s="44">
        <v>5246</v>
      </c>
      <c r="AK8" s="44">
        <v>5296</v>
      </c>
    </row>
    <row r="9" spans="1:37" ht="15" customHeight="1" x14ac:dyDescent="0.25">
      <c r="A9" s="43">
        <v>1150</v>
      </c>
      <c r="B9" s="44">
        <v>3602</v>
      </c>
      <c r="C9" s="44">
        <v>3706</v>
      </c>
      <c r="D9" s="44">
        <v>3759</v>
      </c>
      <c r="E9" s="44">
        <v>3809</v>
      </c>
      <c r="F9" s="44">
        <v>3861</v>
      </c>
      <c r="G9" s="44">
        <v>3912</v>
      </c>
      <c r="H9" s="44">
        <v>3964</v>
      </c>
      <c r="I9" s="44">
        <v>4016</v>
      </c>
      <c r="J9" s="44">
        <v>4066</v>
      </c>
      <c r="K9" s="44">
        <v>4117</v>
      </c>
      <c r="L9" s="44">
        <v>4171</v>
      </c>
      <c r="M9" s="44">
        <v>4222</v>
      </c>
      <c r="N9" s="44">
        <v>4273</v>
      </c>
      <c r="O9" s="44">
        <v>4324</v>
      </c>
      <c r="P9" s="44">
        <v>4373</v>
      </c>
      <c r="Q9" s="44">
        <v>4427</v>
      </c>
      <c r="R9" s="44">
        <v>4481</v>
      </c>
      <c r="S9" s="44">
        <v>4533</v>
      </c>
      <c r="T9" s="44">
        <v>4583</v>
      </c>
      <c r="U9" s="44">
        <v>4632</v>
      </c>
      <c r="V9" s="44">
        <v>4683</v>
      </c>
      <c r="W9" s="44">
        <v>4735</v>
      </c>
      <c r="X9" s="44">
        <v>4785</v>
      </c>
      <c r="Y9" s="44">
        <v>4837</v>
      </c>
      <c r="Z9" s="44">
        <v>4889</v>
      </c>
      <c r="AA9" s="44">
        <v>4942</v>
      </c>
      <c r="AB9" s="44">
        <v>4994</v>
      </c>
      <c r="AC9" s="44">
        <v>5046</v>
      </c>
      <c r="AD9" s="44">
        <v>5096</v>
      </c>
      <c r="AE9" s="44">
        <v>5148</v>
      </c>
      <c r="AF9" s="44">
        <v>5199</v>
      </c>
      <c r="AG9" s="44">
        <v>5253</v>
      </c>
      <c r="AH9" s="44">
        <v>5302</v>
      </c>
      <c r="AI9" s="44">
        <v>5356</v>
      </c>
      <c r="AJ9" s="44">
        <v>5407</v>
      </c>
      <c r="AK9" s="44">
        <v>5455</v>
      </c>
    </row>
    <row r="10" spans="1:37" ht="15" customHeight="1" x14ac:dyDescent="0.25">
      <c r="A10" s="43">
        <v>1250</v>
      </c>
      <c r="B10" s="44">
        <v>3710</v>
      </c>
      <c r="C10" s="44">
        <v>3816</v>
      </c>
      <c r="D10" s="44">
        <v>3869</v>
      </c>
      <c r="E10" s="44">
        <v>3921</v>
      </c>
      <c r="F10" s="44">
        <v>3974</v>
      </c>
      <c r="G10" s="44">
        <v>4027</v>
      </c>
      <c r="H10" s="44">
        <v>4080</v>
      </c>
      <c r="I10" s="44">
        <v>4133</v>
      </c>
      <c r="J10" s="44">
        <v>4185</v>
      </c>
      <c r="K10" s="44">
        <v>4238</v>
      </c>
      <c r="L10" s="44">
        <v>4294</v>
      </c>
      <c r="M10" s="44">
        <v>4345</v>
      </c>
      <c r="N10" s="44">
        <v>4398</v>
      </c>
      <c r="O10" s="44">
        <v>4450</v>
      </c>
      <c r="P10" s="44">
        <v>4503</v>
      </c>
      <c r="Q10" s="44">
        <v>4557</v>
      </c>
      <c r="R10" s="44">
        <v>4610</v>
      </c>
      <c r="S10" s="44">
        <v>4663</v>
      </c>
      <c r="T10" s="44">
        <v>4716</v>
      </c>
      <c r="U10" s="44">
        <v>4768</v>
      </c>
      <c r="V10" s="44">
        <v>4822</v>
      </c>
      <c r="W10" s="44">
        <v>4877</v>
      </c>
      <c r="X10" s="44">
        <v>4928</v>
      </c>
      <c r="Y10" s="44">
        <v>4982</v>
      </c>
      <c r="Z10" s="44">
        <v>5034</v>
      </c>
      <c r="AA10" s="44">
        <v>5088</v>
      </c>
      <c r="AB10" s="44">
        <v>5140</v>
      </c>
      <c r="AC10" s="44">
        <v>5194</v>
      </c>
      <c r="AD10" s="44">
        <v>5246</v>
      </c>
      <c r="AE10" s="44">
        <v>5299</v>
      </c>
      <c r="AF10" s="44">
        <v>5351</v>
      </c>
      <c r="AG10" s="44">
        <v>5403</v>
      </c>
      <c r="AH10" s="44">
        <v>5459</v>
      </c>
      <c r="AI10" s="44">
        <v>5511</v>
      </c>
      <c r="AJ10" s="44">
        <v>5564</v>
      </c>
      <c r="AK10" s="44">
        <v>5616</v>
      </c>
    </row>
    <row r="11" spans="1:37" ht="15" customHeight="1" x14ac:dyDescent="0.25">
      <c r="A11" s="43">
        <v>1350</v>
      </c>
      <c r="B11" s="44">
        <v>3816</v>
      </c>
      <c r="C11" s="44">
        <v>3923</v>
      </c>
      <c r="D11" s="44">
        <v>3981</v>
      </c>
      <c r="E11" s="44">
        <v>4035</v>
      </c>
      <c r="F11" s="44">
        <v>4090</v>
      </c>
      <c r="G11" s="44">
        <v>4142</v>
      </c>
      <c r="H11" s="44">
        <v>4196</v>
      </c>
      <c r="I11" s="44">
        <v>4252</v>
      </c>
      <c r="J11" s="44">
        <v>4304</v>
      </c>
      <c r="K11" s="44">
        <v>4358</v>
      </c>
      <c r="L11" s="44">
        <v>4413</v>
      </c>
      <c r="M11" s="44">
        <v>4467</v>
      </c>
      <c r="N11" s="44">
        <v>4520</v>
      </c>
      <c r="O11" s="44">
        <v>4575</v>
      </c>
      <c r="P11" s="44">
        <v>4630</v>
      </c>
      <c r="Q11" s="44">
        <v>4684</v>
      </c>
      <c r="R11" s="44">
        <v>4738</v>
      </c>
      <c r="S11" s="44">
        <v>4793</v>
      </c>
      <c r="T11" s="44">
        <v>4854</v>
      </c>
      <c r="U11" s="44">
        <v>4907</v>
      </c>
      <c r="V11" s="44">
        <v>4961</v>
      </c>
      <c r="W11" s="44">
        <v>5014</v>
      </c>
      <c r="X11" s="44">
        <v>5070</v>
      </c>
      <c r="Y11" s="44">
        <v>5125</v>
      </c>
      <c r="Z11" s="44">
        <v>5179</v>
      </c>
      <c r="AA11" s="44">
        <v>5234</v>
      </c>
      <c r="AB11" s="44">
        <v>5288</v>
      </c>
      <c r="AC11" s="44">
        <v>5343</v>
      </c>
      <c r="AD11" s="44">
        <v>5400</v>
      </c>
      <c r="AE11" s="44">
        <v>5454</v>
      </c>
      <c r="AF11" s="44">
        <v>5510</v>
      </c>
      <c r="AG11" s="44">
        <v>5563</v>
      </c>
      <c r="AH11" s="44">
        <v>5617</v>
      </c>
      <c r="AI11" s="44">
        <v>5672</v>
      </c>
      <c r="AJ11" s="44">
        <v>5725</v>
      </c>
      <c r="AK11" s="44">
        <v>5780</v>
      </c>
    </row>
    <row r="12" spans="1:37" ht="15" customHeight="1" x14ac:dyDescent="0.25">
      <c r="A12" s="43">
        <v>1450</v>
      </c>
      <c r="B12" s="44">
        <v>3921</v>
      </c>
      <c r="C12" s="44">
        <v>4035</v>
      </c>
      <c r="D12" s="44">
        <v>4091</v>
      </c>
      <c r="E12" s="44">
        <v>4146</v>
      </c>
      <c r="F12" s="44">
        <v>4201</v>
      </c>
      <c r="G12" s="44">
        <v>4258</v>
      </c>
      <c r="H12" s="44">
        <v>4313</v>
      </c>
      <c r="I12" s="44">
        <v>4368</v>
      </c>
      <c r="J12" s="44">
        <v>4426</v>
      </c>
      <c r="K12" s="44">
        <v>4483</v>
      </c>
      <c r="L12" s="44">
        <v>4537</v>
      </c>
      <c r="M12" s="44">
        <v>4593</v>
      </c>
      <c r="N12" s="44">
        <v>4651</v>
      </c>
      <c r="O12" s="44">
        <v>4705</v>
      </c>
      <c r="P12" s="44">
        <v>4762</v>
      </c>
      <c r="Q12" s="44">
        <v>4817</v>
      </c>
      <c r="R12" s="44">
        <v>4876</v>
      </c>
      <c r="S12" s="44">
        <v>4929</v>
      </c>
      <c r="T12" s="44">
        <v>4985</v>
      </c>
      <c r="U12" s="44">
        <v>5043</v>
      </c>
      <c r="V12" s="44">
        <v>5098</v>
      </c>
      <c r="W12" s="44">
        <v>5155</v>
      </c>
      <c r="X12" s="44">
        <v>5210</v>
      </c>
      <c r="Y12" s="44">
        <v>5266</v>
      </c>
      <c r="Z12" s="44">
        <v>5323</v>
      </c>
      <c r="AA12" s="44">
        <v>5377</v>
      </c>
      <c r="AB12" s="44">
        <v>5433</v>
      </c>
      <c r="AC12" s="44">
        <v>5490</v>
      </c>
      <c r="AD12" s="44">
        <v>5548</v>
      </c>
      <c r="AE12" s="44">
        <v>5603</v>
      </c>
      <c r="AF12" s="44">
        <v>5659</v>
      </c>
      <c r="AG12" s="44">
        <v>5715</v>
      </c>
      <c r="AH12" s="44">
        <v>5771</v>
      </c>
      <c r="AI12" s="44">
        <v>5828</v>
      </c>
      <c r="AJ12" s="44">
        <v>5885</v>
      </c>
      <c r="AK12" s="44">
        <v>5941</v>
      </c>
    </row>
    <row r="13" spans="1:37" ht="15" customHeight="1" x14ac:dyDescent="0.25">
      <c r="A13" s="43">
        <v>1550</v>
      </c>
      <c r="B13" s="44">
        <v>4027</v>
      </c>
      <c r="C13" s="44">
        <v>4141</v>
      </c>
      <c r="D13" s="44">
        <v>4199</v>
      </c>
      <c r="E13" s="44">
        <v>4254</v>
      </c>
      <c r="F13" s="44">
        <v>4315</v>
      </c>
      <c r="G13" s="44">
        <v>4371</v>
      </c>
      <c r="H13" s="44">
        <v>4430</v>
      </c>
      <c r="I13" s="44">
        <v>4488</v>
      </c>
      <c r="J13" s="44">
        <v>4544</v>
      </c>
      <c r="K13" s="44">
        <v>4602</v>
      </c>
      <c r="L13" s="44">
        <v>4660</v>
      </c>
      <c r="M13" s="44">
        <v>4717</v>
      </c>
      <c r="N13" s="44">
        <v>4774</v>
      </c>
      <c r="O13" s="44">
        <v>4832</v>
      </c>
      <c r="P13" s="44">
        <v>4888</v>
      </c>
      <c r="Q13" s="44">
        <v>4947</v>
      </c>
      <c r="R13" s="44">
        <v>5006</v>
      </c>
      <c r="S13" s="44">
        <v>5062</v>
      </c>
      <c r="T13" s="44">
        <v>5120</v>
      </c>
      <c r="U13" s="44">
        <v>5178</v>
      </c>
      <c r="V13" s="44">
        <v>5237</v>
      </c>
      <c r="W13" s="44">
        <v>5294</v>
      </c>
      <c r="X13" s="44">
        <v>5353</v>
      </c>
      <c r="Y13" s="44">
        <v>5410</v>
      </c>
      <c r="Z13" s="44">
        <v>5467</v>
      </c>
      <c r="AA13" s="44">
        <v>5525</v>
      </c>
      <c r="AB13" s="44">
        <v>5583</v>
      </c>
      <c r="AC13" s="44">
        <v>5638</v>
      </c>
      <c r="AD13" s="44">
        <v>5696</v>
      </c>
      <c r="AE13" s="44">
        <v>5755</v>
      </c>
      <c r="AF13" s="44">
        <v>5812</v>
      </c>
      <c r="AG13" s="44">
        <v>5868</v>
      </c>
      <c r="AH13" s="44">
        <v>5928</v>
      </c>
      <c r="AI13" s="44">
        <v>5987</v>
      </c>
      <c r="AJ13" s="44">
        <v>6045</v>
      </c>
      <c r="AK13" s="44">
        <v>6101</v>
      </c>
    </row>
    <row r="14" spans="1:37" ht="15" customHeight="1" x14ac:dyDescent="0.25">
      <c r="A14" s="43">
        <v>1650</v>
      </c>
      <c r="B14" s="44">
        <v>4132</v>
      </c>
      <c r="C14" s="44">
        <v>4253</v>
      </c>
      <c r="D14" s="44">
        <v>4309</v>
      </c>
      <c r="E14" s="44">
        <v>4368</v>
      </c>
      <c r="F14" s="44">
        <v>4429</v>
      </c>
      <c r="G14" s="44">
        <v>4488</v>
      </c>
      <c r="H14" s="44">
        <v>4545</v>
      </c>
      <c r="I14" s="44">
        <v>4607</v>
      </c>
      <c r="J14" s="44">
        <v>4663</v>
      </c>
      <c r="K14" s="44">
        <v>4722</v>
      </c>
      <c r="L14" s="44">
        <v>4781</v>
      </c>
      <c r="M14" s="44">
        <v>4842</v>
      </c>
      <c r="N14" s="44">
        <v>4901</v>
      </c>
      <c r="O14" s="44">
        <v>4961</v>
      </c>
      <c r="P14" s="44">
        <v>5020</v>
      </c>
      <c r="Q14" s="44">
        <v>5079</v>
      </c>
      <c r="R14" s="44">
        <v>5137</v>
      </c>
      <c r="S14" s="44">
        <v>5197</v>
      </c>
      <c r="T14" s="44">
        <v>5255</v>
      </c>
      <c r="U14" s="44">
        <v>5315</v>
      </c>
      <c r="V14" s="44">
        <v>5374</v>
      </c>
      <c r="W14" s="44">
        <v>5431</v>
      </c>
      <c r="X14" s="44">
        <v>5494</v>
      </c>
      <c r="Y14" s="44">
        <v>5552</v>
      </c>
      <c r="Z14" s="44">
        <v>5609</v>
      </c>
      <c r="AA14" s="44">
        <v>5671</v>
      </c>
      <c r="AB14" s="44">
        <v>5728</v>
      </c>
      <c r="AC14" s="44">
        <v>5786</v>
      </c>
      <c r="AD14" s="44">
        <v>5845</v>
      </c>
      <c r="AE14" s="44">
        <v>5905</v>
      </c>
      <c r="AF14" s="44">
        <v>5963</v>
      </c>
      <c r="AG14" s="44">
        <v>6024</v>
      </c>
      <c r="AH14" s="44">
        <v>6083</v>
      </c>
      <c r="AI14" s="44">
        <v>6142</v>
      </c>
      <c r="AJ14" s="44">
        <v>6201</v>
      </c>
      <c r="AK14" s="44">
        <v>6260</v>
      </c>
    </row>
    <row r="15" spans="1:37" ht="15" customHeight="1" x14ac:dyDescent="0.25">
      <c r="A15" s="43">
        <v>1750</v>
      </c>
      <c r="B15" s="44">
        <v>4237</v>
      </c>
      <c r="C15" s="44">
        <v>4359</v>
      </c>
      <c r="D15" s="44">
        <v>4423</v>
      </c>
      <c r="E15" s="44">
        <v>4482</v>
      </c>
      <c r="F15" s="44">
        <v>4541</v>
      </c>
      <c r="G15" s="44">
        <v>4602</v>
      </c>
      <c r="H15" s="44">
        <v>4662</v>
      </c>
      <c r="I15" s="44">
        <v>4722</v>
      </c>
      <c r="J15" s="44">
        <v>4782</v>
      </c>
      <c r="K15" s="44">
        <v>4844</v>
      </c>
      <c r="L15" s="44">
        <v>4904</v>
      </c>
      <c r="M15" s="44">
        <v>4965</v>
      </c>
      <c r="N15" s="44">
        <v>5027</v>
      </c>
      <c r="O15" s="44">
        <v>5088</v>
      </c>
      <c r="P15" s="44">
        <v>5147</v>
      </c>
      <c r="Q15" s="44">
        <v>5209</v>
      </c>
      <c r="R15" s="44">
        <v>5268</v>
      </c>
      <c r="S15" s="44">
        <v>5329</v>
      </c>
      <c r="T15" s="44">
        <v>5389</v>
      </c>
      <c r="U15" s="44">
        <v>5451</v>
      </c>
      <c r="V15" s="44">
        <v>5510</v>
      </c>
      <c r="W15" s="44">
        <v>5571</v>
      </c>
      <c r="X15" s="44">
        <v>5633</v>
      </c>
      <c r="Y15" s="44">
        <v>5692</v>
      </c>
      <c r="Z15" s="44">
        <v>5754</v>
      </c>
      <c r="AA15" s="44">
        <v>5814</v>
      </c>
      <c r="AB15" s="44">
        <v>5875</v>
      </c>
      <c r="AC15" s="44">
        <v>5937</v>
      </c>
      <c r="AD15" s="44">
        <v>5995</v>
      </c>
      <c r="AE15" s="44">
        <v>6058</v>
      </c>
      <c r="AF15" s="44">
        <v>6118</v>
      </c>
      <c r="AG15" s="44">
        <v>6177</v>
      </c>
      <c r="AH15" s="44">
        <v>6239</v>
      </c>
      <c r="AI15" s="44">
        <v>6300</v>
      </c>
      <c r="AJ15" s="44">
        <v>6361</v>
      </c>
      <c r="AK15" s="44">
        <v>6422</v>
      </c>
    </row>
    <row r="16" spans="1:37" ht="15" customHeight="1" x14ac:dyDescent="0.25">
      <c r="A16" s="43">
        <v>1850</v>
      </c>
      <c r="B16" s="44">
        <v>4344</v>
      </c>
      <c r="C16" s="44">
        <v>4469</v>
      </c>
      <c r="D16" s="44">
        <v>4533</v>
      </c>
      <c r="E16" s="44">
        <v>4592</v>
      </c>
      <c r="F16" s="44">
        <v>4654</v>
      </c>
      <c r="G16" s="44">
        <v>4714</v>
      </c>
      <c r="H16" s="44">
        <v>4778</v>
      </c>
      <c r="I16" s="44">
        <v>4842</v>
      </c>
      <c r="J16" s="44">
        <v>4901</v>
      </c>
      <c r="K16" s="44">
        <v>4964</v>
      </c>
      <c r="L16" s="44">
        <v>5026</v>
      </c>
      <c r="M16" s="44">
        <v>5089</v>
      </c>
      <c r="N16" s="44">
        <v>5152</v>
      </c>
      <c r="O16" s="44">
        <v>5215</v>
      </c>
      <c r="P16" s="44">
        <v>5277</v>
      </c>
      <c r="Q16" s="44">
        <v>5338</v>
      </c>
      <c r="R16" s="44">
        <v>5400</v>
      </c>
      <c r="S16" s="44">
        <v>5463</v>
      </c>
      <c r="T16" s="44">
        <v>5525</v>
      </c>
      <c r="U16" s="44">
        <v>5588</v>
      </c>
      <c r="V16" s="44">
        <v>5649</v>
      </c>
      <c r="W16" s="44">
        <v>5713</v>
      </c>
      <c r="X16" s="44">
        <v>5774</v>
      </c>
      <c r="Y16" s="44">
        <v>5838</v>
      </c>
      <c r="Z16" s="44">
        <v>5898</v>
      </c>
      <c r="AA16" s="44">
        <v>5959</v>
      </c>
      <c r="AB16" s="44">
        <v>6024</v>
      </c>
      <c r="AC16" s="44">
        <v>6086</v>
      </c>
      <c r="AD16" s="44">
        <v>6151</v>
      </c>
      <c r="AE16" s="44">
        <v>6210</v>
      </c>
      <c r="AF16" s="44">
        <v>6272</v>
      </c>
      <c r="AG16" s="44">
        <v>6334</v>
      </c>
      <c r="AH16" s="44">
        <v>6397</v>
      </c>
      <c r="AI16" s="44">
        <v>6459</v>
      </c>
      <c r="AJ16" s="44">
        <v>6518</v>
      </c>
      <c r="AK16" s="44">
        <v>6580</v>
      </c>
    </row>
    <row r="17" spans="1:37" ht="15" customHeight="1" x14ac:dyDescent="0.25">
      <c r="A17" s="43">
        <v>1950</v>
      </c>
      <c r="B17" s="44">
        <v>4449</v>
      </c>
      <c r="C17" s="44">
        <v>4579</v>
      </c>
      <c r="D17" s="44">
        <v>4641</v>
      </c>
      <c r="E17" s="44">
        <v>4704</v>
      </c>
      <c r="F17" s="44">
        <v>4768</v>
      </c>
      <c r="G17" s="44">
        <v>4832</v>
      </c>
      <c r="H17" s="44">
        <v>4896</v>
      </c>
      <c r="I17" s="44">
        <v>4961</v>
      </c>
      <c r="J17" s="44">
        <v>5025</v>
      </c>
      <c r="K17" s="44">
        <v>5088</v>
      </c>
      <c r="L17" s="44">
        <v>5152</v>
      </c>
      <c r="M17" s="44">
        <v>5213</v>
      </c>
      <c r="N17" s="44">
        <v>5280</v>
      </c>
      <c r="O17" s="44">
        <v>5340</v>
      </c>
      <c r="P17" s="44">
        <v>5404</v>
      </c>
      <c r="Q17" s="44">
        <v>5469</v>
      </c>
      <c r="R17" s="44">
        <v>5532</v>
      </c>
      <c r="S17" s="44">
        <v>5595</v>
      </c>
      <c r="T17" s="44">
        <v>5660</v>
      </c>
      <c r="U17" s="44">
        <v>5724</v>
      </c>
      <c r="V17" s="44">
        <v>5786</v>
      </c>
      <c r="W17" s="44">
        <v>5849</v>
      </c>
      <c r="X17" s="44">
        <v>5913</v>
      </c>
      <c r="Y17" s="44">
        <v>5979</v>
      </c>
      <c r="Z17" s="44">
        <v>6043</v>
      </c>
      <c r="AA17" s="44">
        <v>6107</v>
      </c>
      <c r="AB17" s="44">
        <v>6171</v>
      </c>
      <c r="AC17" s="44">
        <v>6233</v>
      </c>
      <c r="AD17" s="44">
        <v>6296</v>
      </c>
      <c r="AE17" s="44">
        <v>6359</v>
      </c>
      <c r="AF17" s="44">
        <v>6423</v>
      </c>
      <c r="AG17" s="44">
        <v>6489</v>
      </c>
      <c r="AH17" s="44">
        <v>6551</v>
      </c>
      <c r="AI17" s="44">
        <v>6616</v>
      </c>
      <c r="AJ17" s="44">
        <v>6710</v>
      </c>
      <c r="AK17" s="44">
        <v>7607</v>
      </c>
    </row>
    <row r="18" spans="1:37" ht="15" customHeight="1" x14ac:dyDescent="0.25">
      <c r="A18" s="43">
        <v>2050</v>
      </c>
      <c r="B18" s="44">
        <v>4556</v>
      </c>
      <c r="C18" s="44">
        <v>4689</v>
      </c>
      <c r="D18" s="44">
        <v>4752</v>
      </c>
      <c r="E18" s="44">
        <v>4816</v>
      </c>
      <c r="F18" s="44">
        <v>4881</v>
      </c>
      <c r="G18" s="44">
        <v>4946</v>
      </c>
      <c r="H18" s="44">
        <v>5011</v>
      </c>
      <c r="I18" s="44">
        <v>5078</v>
      </c>
      <c r="J18" s="44">
        <v>5142</v>
      </c>
      <c r="K18" s="44">
        <v>5209</v>
      </c>
      <c r="L18" s="44">
        <v>5273</v>
      </c>
      <c r="M18" s="44">
        <v>5338</v>
      </c>
      <c r="N18" s="44">
        <v>5403</v>
      </c>
      <c r="O18" s="44">
        <v>5468</v>
      </c>
      <c r="P18" s="44">
        <v>5532</v>
      </c>
      <c r="Q18" s="44">
        <v>5598</v>
      </c>
      <c r="R18" s="44">
        <v>5666</v>
      </c>
      <c r="S18" s="44">
        <v>5729</v>
      </c>
      <c r="T18" s="44">
        <v>5795</v>
      </c>
      <c r="U18" s="44">
        <v>5861</v>
      </c>
      <c r="V18" s="44">
        <v>5925</v>
      </c>
      <c r="W18" s="44">
        <v>5991</v>
      </c>
      <c r="X18" s="44">
        <v>6057</v>
      </c>
      <c r="Y18" s="44">
        <v>6120</v>
      </c>
      <c r="Z18" s="44">
        <v>6184</v>
      </c>
      <c r="AA18" s="44">
        <v>6252</v>
      </c>
      <c r="AB18" s="44">
        <v>6315</v>
      </c>
      <c r="AC18" s="44">
        <v>6381</v>
      </c>
      <c r="AD18" s="44">
        <v>6446</v>
      </c>
      <c r="AE18" s="44">
        <v>6510</v>
      </c>
      <c r="AF18" s="44">
        <v>6576</v>
      </c>
      <c r="AG18" s="44">
        <v>6644</v>
      </c>
      <c r="AH18" s="44">
        <v>7572</v>
      </c>
      <c r="AI18" s="44">
        <v>7652</v>
      </c>
      <c r="AJ18" s="44">
        <v>7732</v>
      </c>
      <c r="AK18" s="44">
        <v>7812</v>
      </c>
    </row>
    <row r="19" spans="1:37" ht="15" customHeight="1" x14ac:dyDescent="0.25">
      <c r="A19" s="43">
        <v>2150</v>
      </c>
      <c r="B19" s="44">
        <v>4661</v>
      </c>
      <c r="C19" s="44">
        <v>4797</v>
      </c>
      <c r="D19" s="44">
        <v>4860</v>
      </c>
      <c r="E19" s="44">
        <v>4927</v>
      </c>
      <c r="F19" s="44">
        <v>4996</v>
      </c>
      <c r="G19" s="44">
        <v>5062</v>
      </c>
      <c r="H19" s="44">
        <v>5131</v>
      </c>
      <c r="I19" s="44">
        <v>5197</v>
      </c>
      <c r="J19" s="44">
        <v>5262</v>
      </c>
      <c r="K19" s="44">
        <v>5329</v>
      </c>
      <c r="L19" s="44">
        <v>5397</v>
      </c>
      <c r="M19" s="44">
        <v>5460</v>
      </c>
      <c r="N19" s="44">
        <v>5526</v>
      </c>
      <c r="O19" s="44">
        <v>5594</v>
      </c>
      <c r="P19" s="44">
        <v>5660</v>
      </c>
      <c r="Q19" s="44">
        <v>5727</v>
      </c>
      <c r="R19" s="44">
        <v>5794</v>
      </c>
      <c r="S19" s="44">
        <v>5862</v>
      </c>
      <c r="T19" s="44">
        <v>5931</v>
      </c>
      <c r="U19" s="44">
        <v>5999</v>
      </c>
      <c r="V19" s="44">
        <v>6064</v>
      </c>
      <c r="W19" s="44">
        <v>6127</v>
      </c>
      <c r="X19" s="44">
        <v>6196</v>
      </c>
      <c r="Y19" s="44">
        <v>6262</v>
      </c>
      <c r="Z19" s="44">
        <v>6328</v>
      </c>
      <c r="AA19" s="44">
        <v>6394</v>
      </c>
      <c r="AB19" s="44">
        <v>6462</v>
      </c>
      <c r="AC19" s="44">
        <v>6531</v>
      </c>
      <c r="AD19" s="44">
        <v>6606</v>
      </c>
      <c r="AE19" s="44">
        <v>7522</v>
      </c>
      <c r="AF19" s="44">
        <v>7605</v>
      </c>
      <c r="AG19" s="44">
        <v>7686</v>
      </c>
      <c r="AH19" s="44">
        <v>7770</v>
      </c>
      <c r="AI19" s="44">
        <v>7853</v>
      </c>
      <c r="AJ19" s="44">
        <v>7933</v>
      </c>
      <c r="AK19" s="44">
        <v>8016</v>
      </c>
    </row>
    <row r="20" spans="1:37" ht="15" customHeight="1" x14ac:dyDescent="0.25">
      <c r="A20" s="43">
        <v>2250</v>
      </c>
      <c r="B20" s="44">
        <v>4767</v>
      </c>
      <c r="C20" s="44">
        <v>4903</v>
      </c>
      <c r="D20" s="44">
        <v>4972</v>
      </c>
      <c r="E20" s="44">
        <v>5042</v>
      </c>
      <c r="F20" s="44">
        <v>5109</v>
      </c>
      <c r="G20" s="44">
        <v>5177</v>
      </c>
      <c r="H20" s="44">
        <v>5245</v>
      </c>
      <c r="I20" s="44">
        <v>5314</v>
      </c>
      <c r="J20" s="44">
        <v>5380</v>
      </c>
      <c r="K20" s="44">
        <v>5451</v>
      </c>
      <c r="L20" s="44">
        <v>5520</v>
      </c>
      <c r="M20" s="44">
        <v>5588</v>
      </c>
      <c r="N20" s="44">
        <v>5652</v>
      </c>
      <c r="O20" s="44">
        <v>5723</v>
      </c>
      <c r="P20" s="44">
        <v>5792</v>
      </c>
      <c r="Q20" s="44">
        <v>5861</v>
      </c>
      <c r="R20" s="44">
        <v>5930</v>
      </c>
      <c r="S20" s="44">
        <v>5995</v>
      </c>
      <c r="T20" s="44">
        <v>6066</v>
      </c>
      <c r="U20" s="44">
        <v>6131</v>
      </c>
      <c r="V20" s="44">
        <v>6201</v>
      </c>
      <c r="W20" s="44">
        <v>6270</v>
      </c>
      <c r="X20" s="44">
        <v>6337</v>
      </c>
      <c r="Y20" s="44">
        <v>6405</v>
      </c>
      <c r="Z20" s="44">
        <v>6473</v>
      </c>
      <c r="AA20" s="44">
        <v>6543</v>
      </c>
      <c r="AB20" s="44">
        <v>6615</v>
      </c>
      <c r="AC20" s="44">
        <v>6691</v>
      </c>
      <c r="AD20" s="44">
        <v>7545</v>
      </c>
      <c r="AE20" s="44">
        <v>7628</v>
      </c>
      <c r="AF20" s="44">
        <v>7713</v>
      </c>
      <c r="AG20" s="44">
        <v>7797</v>
      </c>
      <c r="AH20" s="44">
        <v>7883</v>
      </c>
      <c r="AI20" s="44">
        <v>7967</v>
      </c>
      <c r="AJ20" s="44">
        <v>8052</v>
      </c>
      <c r="AK20" s="44">
        <v>8138</v>
      </c>
    </row>
    <row r="21" spans="1:37" ht="15" customHeight="1" x14ac:dyDescent="0.25">
      <c r="A21" s="43">
        <v>2350</v>
      </c>
      <c r="B21" s="44">
        <v>4984</v>
      </c>
      <c r="C21" s="44">
        <v>5122</v>
      </c>
      <c r="D21" s="44">
        <v>5196</v>
      </c>
      <c r="E21" s="44">
        <v>5263</v>
      </c>
      <c r="F21" s="44">
        <v>5335</v>
      </c>
      <c r="G21" s="44">
        <v>5403</v>
      </c>
      <c r="H21" s="44">
        <v>5473</v>
      </c>
      <c r="I21" s="44">
        <v>5544</v>
      </c>
      <c r="J21" s="44">
        <v>5611</v>
      </c>
      <c r="K21" s="44">
        <v>5685</v>
      </c>
      <c r="L21" s="44">
        <v>5753</v>
      </c>
      <c r="M21" s="44">
        <v>5822</v>
      </c>
      <c r="N21" s="44">
        <v>5891</v>
      </c>
      <c r="O21" s="44">
        <v>5960</v>
      </c>
      <c r="P21" s="44">
        <v>6031</v>
      </c>
      <c r="Q21" s="44">
        <v>6103</v>
      </c>
      <c r="R21" s="44">
        <v>6171</v>
      </c>
      <c r="S21" s="44">
        <v>6239</v>
      </c>
      <c r="T21" s="44">
        <v>6311</v>
      </c>
      <c r="U21" s="44">
        <v>6380</v>
      </c>
      <c r="V21" s="44">
        <v>6448</v>
      </c>
      <c r="W21" s="44">
        <v>6518</v>
      </c>
      <c r="X21" s="44">
        <v>6593</v>
      </c>
      <c r="Y21" s="44">
        <v>6663</v>
      </c>
      <c r="Z21" s="44">
        <v>6729</v>
      </c>
      <c r="AA21" s="44">
        <v>7667</v>
      </c>
      <c r="AB21" s="44">
        <v>7755</v>
      </c>
      <c r="AC21" s="44">
        <v>7841</v>
      </c>
      <c r="AD21" s="44">
        <v>7927</v>
      </c>
      <c r="AE21" s="44">
        <v>8016</v>
      </c>
      <c r="AF21" s="44">
        <v>8104</v>
      </c>
      <c r="AG21" s="44">
        <v>8189</v>
      </c>
      <c r="AH21" s="44">
        <v>8277</v>
      </c>
      <c r="AI21" s="44">
        <v>8363</v>
      </c>
      <c r="AJ21" s="44">
        <v>8452</v>
      </c>
      <c r="AK21" s="44">
        <v>8541</v>
      </c>
    </row>
    <row r="22" spans="1:37" ht="15" customHeight="1" x14ac:dyDescent="0.25">
      <c r="A22" s="43">
        <v>2450</v>
      </c>
      <c r="B22" s="44">
        <v>5090</v>
      </c>
      <c r="C22" s="44">
        <v>5234</v>
      </c>
      <c r="D22" s="44">
        <v>5306</v>
      </c>
      <c r="E22" s="44">
        <v>5375</v>
      </c>
      <c r="F22" s="44">
        <v>5446</v>
      </c>
      <c r="G22" s="44">
        <v>5520</v>
      </c>
      <c r="H22" s="44">
        <v>5590</v>
      </c>
      <c r="I22" s="44">
        <v>5664</v>
      </c>
      <c r="J22" s="44">
        <v>5736</v>
      </c>
      <c r="K22" s="44">
        <v>5810</v>
      </c>
      <c r="L22" s="44">
        <v>5872</v>
      </c>
      <c r="M22" s="44">
        <v>5946</v>
      </c>
      <c r="N22" s="44">
        <v>6017</v>
      </c>
      <c r="O22" s="44">
        <v>6087</v>
      </c>
      <c r="P22" s="44">
        <v>6159</v>
      </c>
      <c r="Q22" s="44">
        <v>6231</v>
      </c>
      <c r="R22" s="44">
        <v>6302</v>
      </c>
      <c r="S22" s="44">
        <v>6376</v>
      </c>
      <c r="T22" s="44">
        <v>6446</v>
      </c>
      <c r="U22" s="44">
        <v>6515</v>
      </c>
      <c r="V22" s="44">
        <v>6585</v>
      </c>
      <c r="W22" s="44">
        <v>6722</v>
      </c>
      <c r="X22" s="44">
        <v>7611</v>
      </c>
      <c r="Y22" s="44">
        <v>7693</v>
      </c>
      <c r="Z22" s="44">
        <v>7770</v>
      </c>
      <c r="AA22" s="44">
        <v>7845</v>
      </c>
      <c r="AB22" s="44">
        <v>7918</v>
      </c>
      <c r="AC22" s="44">
        <v>7996</v>
      </c>
      <c r="AD22" s="44">
        <v>8075</v>
      </c>
      <c r="AE22" s="44">
        <v>8159</v>
      </c>
      <c r="AF22" s="44">
        <v>8240</v>
      </c>
      <c r="AG22" s="44">
        <v>8322</v>
      </c>
      <c r="AH22" s="44">
        <v>8401</v>
      </c>
      <c r="AI22" s="44">
        <v>8475</v>
      </c>
      <c r="AJ22" s="44">
        <v>8556</v>
      </c>
      <c r="AK22" s="44">
        <v>8635</v>
      </c>
    </row>
    <row r="23" spans="1:37" ht="15" customHeight="1" x14ac:dyDescent="0.25">
      <c r="A23" s="43">
        <v>2550</v>
      </c>
      <c r="B23" s="44">
        <v>5198</v>
      </c>
      <c r="C23" s="44">
        <v>5341</v>
      </c>
      <c r="D23" s="44">
        <v>5416</v>
      </c>
      <c r="E23" s="44">
        <v>5488</v>
      </c>
      <c r="F23" s="44">
        <v>5559</v>
      </c>
      <c r="G23" s="44">
        <v>5634</v>
      </c>
      <c r="H23" s="44">
        <v>5705</v>
      </c>
      <c r="I23" s="44">
        <v>5780</v>
      </c>
      <c r="J23" s="44">
        <v>5853</v>
      </c>
      <c r="K23" s="44">
        <v>5924</v>
      </c>
      <c r="L23" s="44">
        <v>5995</v>
      </c>
      <c r="M23" s="44">
        <v>6070</v>
      </c>
      <c r="N23" s="44">
        <v>6144</v>
      </c>
      <c r="O23" s="44">
        <v>6216</v>
      </c>
      <c r="P23" s="44">
        <v>6290</v>
      </c>
      <c r="Q23" s="44">
        <v>6361</v>
      </c>
      <c r="R23" s="44">
        <v>6434</v>
      </c>
      <c r="S23" s="44">
        <v>6507</v>
      </c>
      <c r="T23" s="44">
        <v>6578</v>
      </c>
      <c r="U23" s="44">
        <v>6654</v>
      </c>
      <c r="V23" s="44">
        <v>6720</v>
      </c>
      <c r="W23" s="44">
        <v>7655</v>
      </c>
      <c r="X23" s="44">
        <v>7751</v>
      </c>
      <c r="Y23" s="44">
        <v>7847</v>
      </c>
      <c r="Z23" s="44">
        <v>7943</v>
      </c>
      <c r="AA23" s="44">
        <v>8031</v>
      </c>
      <c r="AB23" s="44">
        <v>8123</v>
      </c>
      <c r="AC23" s="44">
        <v>8216</v>
      </c>
      <c r="AD23" s="44">
        <v>8308</v>
      </c>
      <c r="AE23" s="44">
        <v>8400</v>
      </c>
      <c r="AF23" s="44">
        <v>8491</v>
      </c>
      <c r="AG23" s="44">
        <v>8584</v>
      </c>
      <c r="AH23" s="44">
        <v>8674</v>
      </c>
      <c r="AI23" s="44">
        <v>8768</v>
      </c>
      <c r="AJ23" s="44">
        <v>8857</v>
      </c>
      <c r="AK23" s="44">
        <v>8947</v>
      </c>
    </row>
    <row r="24" spans="1:37" ht="15" customHeight="1" x14ac:dyDescent="0.25">
      <c r="A24" s="43">
        <v>2650</v>
      </c>
      <c r="B24" s="44">
        <v>5306</v>
      </c>
      <c r="C24" s="44">
        <v>5448</v>
      </c>
      <c r="D24" s="44">
        <v>5526</v>
      </c>
      <c r="E24" s="44">
        <v>5601</v>
      </c>
      <c r="F24" s="44">
        <v>5670</v>
      </c>
      <c r="G24" s="44">
        <v>5748</v>
      </c>
      <c r="H24" s="44">
        <v>5820</v>
      </c>
      <c r="I24" s="44">
        <v>5900</v>
      </c>
      <c r="J24" s="44">
        <v>5969</v>
      </c>
      <c r="K24" s="44">
        <v>6044</v>
      </c>
      <c r="L24" s="44">
        <v>6118</v>
      </c>
      <c r="M24" s="44">
        <v>6194</v>
      </c>
      <c r="N24" s="44">
        <v>6267</v>
      </c>
      <c r="O24" s="44">
        <v>6345</v>
      </c>
      <c r="P24" s="44">
        <v>6417</v>
      </c>
      <c r="Q24" s="44">
        <v>6491</v>
      </c>
      <c r="R24" s="44">
        <v>6566</v>
      </c>
      <c r="S24" s="44">
        <v>6639</v>
      </c>
      <c r="T24" s="44">
        <v>6710</v>
      </c>
      <c r="U24" s="44">
        <v>6793</v>
      </c>
      <c r="V24" s="44">
        <v>7170</v>
      </c>
      <c r="W24" s="44">
        <v>7814</v>
      </c>
      <c r="X24" s="44">
        <v>7918</v>
      </c>
      <c r="Y24" s="44">
        <v>8022</v>
      </c>
      <c r="Z24" s="44">
        <v>8126</v>
      </c>
      <c r="AA24" s="44">
        <v>8215</v>
      </c>
      <c r="AB24" s="44">
        <v>8307</v>
      </c>
      <c r="AC24" s="44">
        <v>8403</v>
      </c>
      <c r="AD24" s="44">
        <v>8499</v>
      </c>
      <c r="AE24" s="44">
        <v>8593</v>
      </c>
      <c r="AF24" s="44">
        <v>8693</v>
      </c>
      <c r="AG24" s="44">
        <v>8794</v>
      </c>
      <c r="AH24" s="44">
        <v>8888</v>
      </c>
      <c r="AI24" s="44">
        <v>8983</v>
      </c>
      <c r="AJ24" s="44">
        <v>9077</v>
      </c>
      <c r="AK24" s="44">
        <v>9171</v>
      </c>
    </row>
    <row r="25" spans="1:37" ht="15" customHeight="1" x14ac:dyDescent="0.25">
      <c r="A25" s="43">
        <v>2700</v>
      </c>
      <c r="B25" s="44">
        <v>5404</v>
      </c>
      <c r="C25" s="44">
        <v>5560</v>
      </c>
      <c r="D25" s="44">
        <v>5634</v>
      </c>
      <c r="E25" s="44">
        <v>5714</v>
      </c>
      <c r="F25" s="44">
        <v>5781</v>
      </c>
      <c r="G25" s="44">
        <v>5862</v>
      </c>
      <c r="H25" s="44">
        <v>5935</v>
      </c>
      <c r="I25" s="44">
        <v>6020</v>
      </c>
      <c r="J25" s="44">
        <v>6088</v>
      </c>
      <c r="K25" s="44">
        <v>6164</v>
      </c>
      <c r="L25" s="44">
        <v>6241</v>
      </c>
      <c r="M25" s="44">
        <v>6318</v>
      </c>
      <c r="N25" s="44">
        <v>6396</v>
      </c>
      <c r="O25" s="44">
        <v>6473</v>
      </c>
      <c r="P25" s="44">
        <v>6546</v>
      </c>
      <c r="Q25" s="44">
        <v>6621</v>
      </c>
      <c r="R25" s="44">
        <v>6698</v>
      </c>
      <c r="S25" s="44">
        <v>6769</v>
      </c>
      <c r="T25" s="44">
        <v>6842</v>
      </c>
      <c r="U25" s="44">
        <v>6932</v>
      </c>
      <c r="V25" s="44">
        <v>7861</v>
      </c>
      <c r="W25" s="44">
        <v>7973</v>
      </c>
      <c r="X25" s="44">
        <v>8085</v>
      </c>
      <c r="Y25" s="44">
        <v>8197</v>
      </c>
      <c r="Z25" s="44">
        <v>8309</v>
      </c>
      <c r="AA25" s="44">
        <v>8391</v>
      </c>
      <c r="AB25" s="44">
        <v>8499</v>
      </c>
      <c r="AC25" s="44">
        <v>8590</v>
      </c>
      <c r="AD25" s="44">
        <v>8684</v>
      </c>
      <c r="AE25" s="44">
        <v>8786</v>
      </c>
      <c r="AF25" s="44">
        <v>8877</v>
      </c>
      <c r="AG25" s="44">
        <v>8980</v>
      </c>
      <c r="AH25" s="44">
        <v>9072</v>
      </c>
      <c r="AI25" s="44">
        <v>9174</v>
      </c>
      <c r="AJ25" s="44">
        <v>9263</v>
      </c>
      <c r="AK25" s="44">
        <v>9359</v>
      </c>
    </row>
    <row r="27" spans="1:37" ht="15" customHeight="1" x14ac:dyDescent="0.25">
      <c r="A27" s="121" t="s">
        <v>261</v>
      </c>
      <c r="B27" s="93"/>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row>
    <row r="28" spans="1:37" ht="15" customHeight="1" x14ac:dyDescent="0.25">
      <c r="A28" s="43" t="s">
        <v>260</v>
      </c>
      <c r="B28" s="43">
        <v>2500</v>
      </c>
      <c r="C28" s="43">
        <v>2600</v>
      </c>
      <c r="D28" s="43">
        <v>2700</v>
      </c>
      <c r="E28" s="43">
        <v>2800</v>
      </c>
      <c r="F28" s="43">
        <v>2900</v>
      </c>
      <c r="G28" s="43">
        <v>3000</v>
      </c>
      <c r="H28" s="43">
        <v>3100</v>
      </c>
      <c r="I28" s="43">
        <v>3200</v>
      </c>
      <c r="J28" s="43">
        <v>3300</v>
      </c>
      <c r="K28" s="43">
        <v>3400</v>
      </c>
      <c r="L28" s="43">
        <v>3500</v>
      </c>
      <c r="M28" s="43">
        <v>3600</v>
      </c>
      <c r="N28" s="43">
        <v>3700</v>
      </c>
      <c r="O28" s="43">
        <v>3800</v>
      </c>
      <c r="P28" s="43">
        <v>3900</v>
      </c>
      <c r="Q28" s="43">
        <v>4000</v>
      </c>
      <c r="R28" s="43">
        <v>4100</v>
      </c>
      <c r="S28" s="43">
        <v>4200</v>
      </c>
      <c r="T28" s="43">
        <v>4300</v>
      </c>
      <c r="U28" s="43">
        <v>4400</v>
      </c>
      <c r="V28" s="43">
        <v>4500</v>
      </c>
      <c r="W28" s="43">
        <v>4600</v>
      </c>
      <c r="X28" s="43">
        <v>4700</v>
      </c>
      <c r="Y28" s="43">
        <v>4800</v>
      </c>
      <c r="Z28" s="43">
        <v>4900</v>
      </c>
      <c r="AA28" s="43">
        <v>5000</v>
      </c>
      <c r="AB28" s="43">
        <v>5100</v>
      </c>
      <c r="AC28" s="43">
        <v>5200</v>
      </c>
      <c r="AD28" s="43">
        <v>5300</v>
      </c>
      <c r="AE28" s="43">
        <v>5400</v>
      </c>
      <c r="AF28" s="43">
        <v>5500</v>
      </c>
      <c r="AG28" s="43">
        <v>5600</v>
      </c>
      <c r="AH28" s="43">
        <v>5700</v>
      </c>
      <c r="AI28" s="43">
        <v>5800</v>
      </c>
      <c r="AJ28" s="43">
        <v>5900</v>
      </c>
      <c r="AK28" s="43">
        <v>6050</v>
      </c>
    </row>
    <row r="29" spans="1:37" ht="15" customHeight="1" x14ac:dyDescent="0.25">
      <c r="A29" s="43">
        <v>750</v>
      </c>
      <c r="B29" s="45">
        <v>1.29</v>
      </c>
      <c r="C29" s="45">
        <v>1.34</v>
      </c>
      <c r="D29" s="45">
        <v>1.46</v>
      </c>
      <c r="E29" s="45">
        <v>1.51</v>
      </c>
      <c r="F29" s="45">
        <v>1.57</v>
      </c>
      <c r="G29" s="45">
        <v>1.62</v>
      </c>
      <c r="H29" s="45">
        <v>1.68</v>
      </c>
      <c r="I29" s="45">
        <v>1.74</v>
      </c>
      <c r="J29" s="45">
        <v>1.79</v>
      </c>
      <c r="K29" s="45">
        <v>1.85</v>
      </c>
      <c r="L29" s="45">
        <v>1.91</v>
      </c>
      <c r="M29" s="45">
        <v>1.96</v>
      </c>
      <c r="N29" s="45">
        <v>2.02</v>
      </c>
      <c r="O29" s="45">
        <v>2.0699999999999998</v>
      </c>
      <c r="P29" s="45">
        <v>2.13</v>
      </c>
      <c r="Q29" s="45">
        <v>2.19</v>
      </c>
      <c r="R29" s="45">
        <v>2.2400000000000002</v>
      </c>
      <c r="S29" s="45">
        <v>2.2999999999999998</v>
      </c>
      <c r="T29" s="45">
        <v>2.36</v>
      </c>
      <c r="U29" s="45">
        <v>2.42</v>
      </c>
      <c r="V29" s="45">
        <v>2.4700000000000002</v>
      </c>
      <c r="W29" s="45">
        <v>2.52</v>
      </c>
      <c r="X29" s="45">
        <v>2.58</v>
      </c>
      <c r="Y29" s="45">
        <v>2.64</v>
      </c>
      <c r="Z29" s="45">
        <v>2.69</v>
      </c>
      <c r="AA29" s="45">
        <v>2.75</v>
      </c>
      <c r="AB29" s="45">
        <v>2.8</v>
      </c>
      <c r="AC29" s="45">
        <v>2.86</v>
      </c>
      <c r="AD29" s="45">
        <v>2.91</v>
      </c>
      <c r="AE29" s="45">
        <v>2.97</v>
      </c>
      <c r="AF29" s="45">
        <v>3.03</v>
      </c>
      <c r="AG29" s="45">
        <v>3.09</v>
      </c>
      <c r="AH29" s="45">
        <v>3.14</v>
      </c>
      <c r="AI29" s="45">
        <v>3.2</v>
      </c>
      <c r="AJ29" s="45">
        <v>3.25</v>
      </c>
      <c r="AK29" s="45">
        <v>3.31</v>
      </c>
    </row>
    <row r="30" spans="1:37" ht="15" customHeight="1" x14ac:dyDescent="0.25">
      <c r="A30" s="43">
        <v>850</v>
      </c>
      <c r="B30" s="45">
        <v>1.41</v>
      </c>
      <c r="C30" s="45">
        <v>1.5</v>
      </c>
      <c r="D30" s="45">
        <v>1.58</v>
      </c>
      <c r="E30" s="45">
        <v>1.65</v>
      </c>
      <c r="F30" s="45">
        <v>1.72</v>
      </c>
      <c r="G30" s="45">
        <v>1.79</v>
      </c>
      <c r="H30" s="45">
        <v>1.85</v>
      </c>
      <c r="I30" s="45">
        <v>1.91</v>
      </c>
      <c r="J30" s="45">
        <v>1.99</v>
      </c>
      <c r="K30" s="45">
        <v>2.0499999999999998</v>
      </c>
      <c r="L30" s="45">
        <v>2.11</v>
      </c>
      <c r="M30" s="45">
        <v>2.1800000000000002</v>
      </c>
      <c r="N30" s="45">
        <v>2.2400000000000002</v>
      </c>
      <c r="O30" s="45">
        <v>2.31</v>
      </c>
      <c r="P30" s="45">
        <v>2.38</v>
      </c>
      <c r="Q30" s="45">
        <v>2.44</v>
      </c>
      <c r="R30" s="45">
        <v>2.5099999999999998</v>
      </c>
      <c r="S30" s="45">
        <v>2.58</v>
      </c>
      <c r="T30" s="45">
        <v>2.65</v>
      </c>
      <c r="U30" s="45">
        <v>2.72</v>
      </c>
      <c r="V30" s="45">
        <v>2.79</v>
      </c>
      <c r="W30" s="45">
        <v>2.85</v>
      </c>
      <c r="X30" s="45">
        <v>2.92</v>
      </c>
      <c r="Y30" s="45">
        <v>2.99</v>
      </c>
      <c r="Z30" s="45">
        <v>3.04</v>
      </c>
      <c r="AA30" s="45">
        <v>3.11</v>
      </c>
      <c r="AB30" s="45">
        <v>3.17</v>
      </c>
      <c r="AC30" s="45">
        <v>3.24</v>
      </c>
      <c r="AD30" s="45">
        <v>3.3</v>
      </c>
      <c r="AE30" s="45">
        <v>3.37</v>
      </c>
      <c r="AF30" s="45">
        <v>3.43</v>
      </c>
      <c r="AG30" s="45">
        <v>3.5</v>
      </c>
      <c r="AH30" s="45">
        <v>3.56</v>
      </c>
      <c r="AI30" s="45">
        <v>3.63</v>
      </c>
      <c r="AJ30" s="45">
        <v>3.7</v>
      </c>
      <c r="AK30" s="45">
        <v>3.78</v>
      </c>
    </row>
    <row r="31" spans="1:37" ht="15" customHeight="1" x14ac:dyDescent="0.25">
      <c r="A31" s="43">
        <v>950</v>
      </c>
      <c r="B31" s="45">
        <v>1.71</v>
      </c>
      <c r="C31" s="45">
        <v>1.82</v>
      </c>
      <c r="D31" s="45">
        <v>1.9</v>
      </c>
      <c r="E31" s="45">
        <v>1.97</v>
      </c>
      <c r="F31" s="45">
        <v>2.0499999999999998</v>
      </c>
      <c r="G31" s="45">
        <v>2.13</v>
      </c>
      <c r="H31" s="45">
        <v>2.2000000000000002</v>
      </c>
      <c r="I31" s="45">
        <v>2.2799999999999998</v>
      </c>
      <c r="J31" s="45">
        <v>2.36</v>
      </c>
      <c r="K31" s="45">
        <v>2.4300000000000002</v>
      </c>
      <c r="L31" s="45">
        <v>2.5099999999999998</v>
      </c>
      <c r="M31" s="45">
        <v>2.58</v>
      </c>
      <c r="N31" s="45">
        <v>2.66</v>
      </c>
      <c r="O31" s="45">
        <v>2.74</v>
      </c>
      <c r="P31" s="45">
        <v>2.81</v>
      </c>
      <c r="Q31" s="45">
        <v>2.89</v>
      </c>
      <c r="R31" s="45">
        <v>2.96</v>
      </c>
      <c r="S31" s="45">
        <v>3.04</v>
      </c>
      <c r="T31" s="45">
        <v>3.12</v>
      </c>
      <c r="U31" s="45">
        <v>3.19</v>
      </c>
      <c r="V31" s="45">
        <v>3.27</v>
      </c>
      <c r="W31" s="45">
        <v>3.35</v>
      </c>
      <c r="X31" s="45">
        <v>3.42</v>
      </c>
      <c r="Y31" s="45">
        <v>3.5</v>
      </c>
      <c r="Z31" s="45">
        <v>3.57</v>
      </c>
      <c r="AA31" s="45">
        <v>3.65</v>
      </c>
      <c r="AB31" s="45">
        <v>3.73</v>
      </c>
      <c r="AC31" s="45">
        <v>3.8</v>
      </c>
      <c r="AD31" s="45">
        <v>3.88</v>
      </c>
      <c r="AE31" s="45">
        <v>3.96</v>
      </c>
      <c r="AF31" s="45">
        <v>4.03</v>
      </c>
      <c r="AG31" s="45">
        <v>4.1100000000000003</v>
      </c>
      <c r="AH31" s="45">
        <v>4.18</v>
      </c>
      <c r="AI31" s="45">
        <v>4.26</v>
      </c>
      <c r="AJ31" s="45">
        <v>4.34</v>
      </c>
      <c r="AK31" s="45">
        <v>4.41</v>
      </c>
    </row>
    <row r="32" spans="1:37" ht="15" customHeight="1" x14ac:dyDescent="0.25">
      <c r="A32" s="43">
        <v>1050</v>
      </c>
      <c r="B32" s="45">
        <v>1.9</v>
      </c>
      <c r="C32" s="45">
        <v>2.0099999999999998</v>
      </c>
      <c r="D32" s="45">
        <v>2.1</v>
      </c>
      <c r="E32" s="45">
        <v>2.19</v>
      </c>
      <c r="F32" s="45">
        <v>2.2799999999999998</v>
      </c>
      <c r="G32" s="45">
        <v>2.36</v>
      </c>
      <c r="H32" s="45">
        <v>2.4500000000000002</v>
      </c>
      <c r="I32" s="45">
        <v>2.54</v>
      </c>
      <c r="J32" s="45">
        <v>2.63</v>
      </c>
      <c r="K32" s="45">
        <v>2.71</v>
      </c>
      <c r="L32" s="45">
        <v>2.8</v>
      </c>
      <c r="M32" s="45">
        <v>2.88</v>
      </c>
      <c r="N32" s="45">
        <v>2.97</v>
      </c>
      <c r="O32" s="45">
        <v>3.06</v>
      </c>
      <c r="P32" s="45">
        <v>3.14</v>
      </c>
      <c r="Q32" s="45">
        <v>3.23</v>
      </c>
      <c r="R32" s="45">
        <v>3.32</v>
      </c>
      <c r="S32" s="45">
        <v>3.4</v>
      </c>
      <c r="T32" s="45">
        <v>3.49</v>
      </c>
      <c r="U32" s="45">
        <v>3.58</v>
      </c>
      <c r="V32" s="45">
        <v>3.66</v>
      </c>
      <c r="W32" s="45">
        <v>3.75</v>
      </c>
      <c r="X32" s="45">
        <v>3.84</v>
      </c>
      <c r="Y32" s="45">
        <v>3.92</v>
      </c>
      <c r="Z32" s="45">
        <v>4.01</v>
      </c>
      <c r="AA32" s="45">
        <v>4.0999999999999996</v>
      </c>
      <c r="AB32" s="45">
        <v>4.18</v>
      </c>
      <c r="AC32" s="45">
        <v>4.2699999999999996</v>
      </c>
      <c r="AD32" s="45">
        <v>4.3600000000000003</v>
      </c>
      <c r="AE32" s="45">
        <v>4.4400000000000004</v>
      </c>
      <c r="AF32" s="45">
        <v>4.53</v>
      </c>
      <c r="AG32" s="45">
        <v>4.6100000000000003</v>
      </c>
      <c r="AH32" s="45">
        <v>4.7</v>
      </c>
      <c r="AI32" s="45">
        <v>4.79</v>
      </c>
      <c r="AJ32" s="45">
        <v>4.87</v>
      </c>
      <c r="AK32" s="45">
        <v>4.96</v>
      </c>
    </row>
    <row r="33" spans="1:37" ht="15" customHeight="1" x14ac:dyDescent="0.25">
      <c r="A33" s="43">
        <v>1150</v>
      </c>
      <c r="B33" s="45">
        <v>2.2000000000000002</v>
      </c>
      <c r="C33" s="45">
        <v>2.2999999999999998</v>
      </c>
      <c r="D33" s="45">
        <v>2.4</v>
      </c>
      <c r="E33" s="45">
        <v>2.4900000000000002</v>
      </c>
      <c r="F33" s="45">
        <v>2.59</v>
      </c>
      <c r="G33" s="45">
        <v>2.69</v>
      </c>
      <c r="H33" s="45">
        <v>2.78</v>
      </c>
      <c r="I33" s="45">
        <v>2.88</v>
      </c>
      <c r="J33" s="45">
        <v>2.97</v>
      </c>
      <c r="K33" s="45">
        <v>3.07</v>
      </c>
      <c r="L33" s="45">
        <v>3.17</v>
      </c>
      <c r="M33" s="45">
        <v>3.26</v>
      </c>
      <c r="N33" s="45">
        <v>3.36</v>
      </c>
      <c r="O33" s="45">
        <v>3.45</v>
      </c>
      <c r="P33" s="45">
        <v>3.55</v>
      </c>
      <c r="Q33" s="45">
        <v>3.65</v>
      </c>
      <c r="R33" s="45">
        <v>3.74</v>
      </c>
      <c r="S33" s="45">
        <v>3.84</v>
      </c>
      <c r="T33" s="45">
        <v>3.94</v>
      </c>
      <c r="U33" s="45">
        <v>4.03</v>
      </c>
      <c r="V33" s="45">
        <v>4.13</v>
      </c>
      <c r="W33" s="45">
        <v>4.22</v>
      </c>
      <c r="X33" s="45">
        <v>4.32</v>
      </c>
      <c r="Y33" s="45">
        <v>4.41</v>
      </c>
      <c r="Z33" s="45">
        <v>4.51</v>
      </c>
      <c r="AA33" s="45">
        <v>4.6100000000000003</v>
      </c>
      <c r="AB33" s="45">
        <v>4.7</v>
      </c>
      <c r="AC33" s="45">
        <v>4.8</v>
      </c>
      <c r="AD33" s="45">
        <v>4.9000000000000004</v>
      </c>
      <c r="AE33" s="45">
        <v>4.99</v>
      </c>
      <c r="AF33" s="45">
        <v>5.09</v>
      </c>
      <c r="AG33" s="45">
        <v>5.19</v>
      </c>
      <c r="AH33" s="45">
        <v>5.28</v>
      </c>
      <c r="AI33" s="45">
        <v>5.38</v>
      </c>
      <c r="AJ33" s="45">
        <v>5.47</v>
      </c>
      <c r="AK33" s="45">
        <v>5.57</v>
      </c>
    </row>
    <row r="34" spans="1:37" ht="15" customHeight="1" x14ac:dyDescent="0.25">
      <c r="A34" s="43">
        <v>1250</v>
      </c>
      <c r="B34" s="45">
        <v>2.4300000000000002</v>
      </c>
      <c r="C34" s="45">
        <v>2.54</v>
      </c>
      <c r="D34" s="45">
        <v>2.65</v>
      </c>
      <c r="E34" s="45">
        <v>2.76</v>
      </c>
      <c r="F34" s="45">
        <v>2.86</v>
      </c>
      <c r="G34" s="45">
        <v>2.97</v>
      </c>
      <c r="H34" s="45">
        <v>3.07</v>
      </c>
      <c r="I34" s="45">
        <v>3.18</v>
      </c>
      <c r="J34" s="45">
        <v>3.28</v>
      </c>
      <c r="K34" s="45">
        <v>3.39</v>
      </c>
      <c r="L34" s="45">
        <v>3.5</v>
      </c>
      <c r="M34" s="45">
        <v>3.6</v>
      </c>
      <c r="N34" s="45">
        <v>3.71</v>
      </c>
      <c r="O34" s="45">
        <v>3.81</v>
      </c>
      <c r="P34" s="45">
        <v>3.92</v>
      </c>
      <c r="Q34" s="45">
        <v>4.03</v>
      </c>
      <c r="R34" s="45">
        <v>4.13</v>
      </c>
      <c r="S34" s="45">
        <v>4.24</v>
      </c>
      <c r="T34" s="45">
        <v>4.34</v>
      </c>
      <c r="U34" s="45">
        <v>4.45</v>
      </c>
      <c r="V34" s="45">
        <v>4.5599999999999996</v>
      </c>
      <c r="W34" s="45">
        <v>4.66</v>
      </c>
      <c r="X34" s="45">
        <v>4.7699999999999996</v>
      </c>
      <c r="Y34" s="45">
        <v>4.88</v>
      </c>
      <c r="Z34" s="45">
        <v>4.9800000000000004</v>
      </c>
      <c r="AA34" s="45">
        <v>5.09</v>
      </c>
      <c r="AB34" s="45">
        <v>5.2</v>
      </c>
      <c r="AC34" s="45">
        <v>5.3</v>
      </c>
      <c r="AD34" s="45">
        <v>5.41</v>
      </c>
      <c r="AE34" s="45">
        <v>5.51</v>
      </c>
      <c r="AF34" s="45">
        <v>5.62</v>
      </c>
      <c r="AG34" s="45">
        <v>5.73</v>
      </c>
      <c r="AH34" s="45">
        <v>5.83</v>
      </c>
      <c r="AI34" s="45">
        <v>5.94</v>
      </c>
      <c r="AJ34" s="45">
        <v>6.04</v>
      </c>
      <c r="AK34" s="45">
        <v>6.15</v>
      </c>
    </row>
    <row r="35" spans="1:37" ht="15" customHeight="1" x14ac:dyDescent="0.25">
      <c r="A35" s="43">
        <v>1350</v>
      </c>
      <c r="B35" s="45">
        <v>2.66</v>
      </c>
      <c r="C35" s="45">
        <v>2.78</v>
      </c>
      <c r="D35" s="45">
        <v>2.9</v>
      </c>
      <c r="E35" s="45">
        <v>3.01</v>
      </c>
      <c r="F35" s="45">
        <v>3.13</v>
      </c>
      <c r="G35" s="45">
        <v>3.24</v>
      </c>
      <c r="H35" s="45">
        <v>3.36</v>
      </c>
      <c r="I35" s="45">
        <v>3.48</v>
      </c>
      <c r="J35" s="45">
        <v>3.59</v>
      </c>
      <c r="K35" s="45">
        <v>3.7</v>
      </c>
      <c r="L35" s="45">
        <v>3.81</v>
      </c>
      <c r="M35" s="45">
        <v>3.92</v>
      </c>
      <c r="N35" s="45">
        <v>4.03</v>
      </c>
      <c r="O35" s="45">
        <v>4.1500000000000004</v>
      </c>
      <c r="P35" s="45">
        <v>4.26</v>
      </c>
      <c r="Q35" s="45">
        <v>4.38</v>
      </c>
      <c r="R35" s="45">
        <v>4.49</v>
      </c>
      <c r="S35" s="45">
        <v>4.5999999999999996</v>
      </c>
      <c r="T35" s="45">
        <v>4.71</v>
      </c>
      <c r="U35" s="45">
        <v>4.83</v>
      </c>
      <c r="V35" s="45">
        <v>4.9400000000000004</v>
      </c>
      <c r="W35" s="45">
        <v>5.0599999999999996</v>
      </c>
      <c r="X35" s="45">
        <v>5.17</v>
      </c>
      <c r="Y35" s="45">
        <v>5.28</v>
      </c>
      <c r="Z35" s="45">
        <v>5.4</v>
      </c>
      <c r="AA35" s="45">
        <v>5.51</v>
      </c>
      <c r="AB35" s="45">
        <v>5.62</v>
      </c>
      <c r="AC35" s="45">
        <v>5.73</v>
      </c>
      <c r="AD35" s="45">
        <v>5.84</v>
      </c>
      <c r="AE35" s="45">
        <v>5.95</v>
      </c>
      <c r="AF35" s="45">
        <v>6.07</v>
      </c>
      <c r="AG35" s="45">
        <v>6.18</v>
      </c>
      <c r="AH35" s="45">
        <v>6.29</v>
      </c>
      <c r="AI35" s="45">
        <v>6.41</v>
      </c>
      <c r="AJ35" s="45">
        <v>6.52</v>
      </c>
      <c r="AK35" s="45">
        <v>6.63</v>
      </c>
    </row>
    <row r="36" spans="1:37" ht="15" customHeight="1" x14ac:dyDescent="0.25">
      <c r="A36" s="43">
        <v>1450</v>
      </c>
      <c r="B36" s="45">
        <v>2.89</v>
      </c>
      <c r="C36" s="45">
        <v>3.02</v>
      </c>
      <c r="D36" s="45">
        <v>3.14</v>
      </c>
      <c r="E36" s="45">
        <v>3.27</v>
      </c>
      <c r="F36" s="45">
        <v>3.4</v>
      </c>
      <c r="G36" s="45">
        <v>3.52</v>
      </c>
      <c r="H36" s="45">
        <v>3.65</v>
      </c>
      <c r="I36" s="45">
        <v>3.78</v>
      </c>
      <c r="J36" s="45">
        <v>3.9</v>
      </c>
      <c r="K36" s="45">
        <v>4.03</v>
      </c>
      <c r="L36" s="45">
        <v>4.1500000000000004</v>
      </c>
      <c r="M36" s="45">
        <v>4.28</v>
      </c>
      <c r="N36" s="45">
        <v>4.4000000000000004</v>
      </c>
      <c r="O36" s="45">
        <v>4.53</v>
      </c>
      <c r="P36" s="45">
        <v>4.66</v>
      </c>
      <c r="Q36" s="45">
        <v>4.78</v>
      </c>
      <c r="R36" s="45">
        <v>4.91</v>
      </c>
      <c r="S36" s="45">
        <v>5.04</v>
      </c>
      <c r="T36" s="45">
        <v>5.16</v>
      </c>
      <c r="U36" s="45">
        <v>5.29</v>
      </c>
      <c r="V36" s="45">
        <v>5.42</v>
      </c>
      <c r="W36" s="45">
        <v>5.54</v>
      </c>
      <c r="X36" s="45">
        <v>5.67</v>
      </c>
      <c r="Y36" s="45">
        <v>5.79</v>
      </c>
      <c r="Z36" s="45">
        <v>5.92</v>
      </c>
      <c r="AA36" s="45">
        <v>6.05</v>
      </c>
      <c r="AB36" s="45">
        <v>6.17</v>
      </c>
      <c r="AC36" s="45">
        <v>6.3</v>
      </c>
      <c r="AD36" s="45">
        <v>6.43</v>
      </c>
      <c r="AE36" s="45">
        <v>6.55</v>
      </c>
      <c r="AF36" s="45">
        <v>6.68</v>
      </c>
      <c r="AG36" s="45">
        <v>6.81</v>
      </c>
      <c r="AH36" s="45">
        <v>6.93</v>
      </c>
      <c r="AI36" s="45">
        <v>7.06</v>
      </c>
      <c r="AJ36" s="45">
        <v>7.19</v>
      </c>
      <c r="AK36" s="45">
        <v>7.32</v>
      </c>
    </row>
    <row r="37" spans="1:37" ht="15" customHeight="1" x14ac:dyDescent="0.25">
      <c r="A37" s="43">
        <v>1550</v>
      </c>
      <c r="B37" s="45">
        <v>3.12</v>
      </c>
      <c r="C37" s="45">
        <v>3.26</v>
      </c>
      <c r="D37" s="45">
        <v>3.39</v>
      </c>
      <c r="E37" s="45">
        <v>3.53</v>
      </c>
      <c r="F37" s="45">
        <v>3.67</v>
      </c>
      <c r="G37" s="45">
        <v>3.8</v>
      </c>
      <c r="H37" s="45">
        <v>3.94</v>
      </c>
      <c r="I37" s="45">
        <v>4.07</v>
      </c>
      <c r="J37" s="45">
        <v>4.21</v>
      </c>
      <c r="K37" s="45">
        <v>4.34</v>
      </c>
      <c r="L37" s="45">
        <v>4.4800000000000004</v>
      </c>
      <c r="M37" s="45">
        <v>4.6100000000000003</v>
      </c>
      <c r="N37" s="45">
        <v>4.75</v>
      </c>
      <c r="O37" s="45">
        <v>4.88</v>
      </c>
      <c r="P37" s="45">
        <v>5.0199999999999996</v>
      </c>
      <c r="Q37" s="45">
        <v>5.16</v>
      </c>
      <c r="R37" s="45">
        <v>5.29</v>
      </c>
      <c r="S37" s="45">
        <v>5.43</v>
      </c>
      <c r="T37" s="45">
        <v>5.57</v>
      </c>
      <c r="U37" s="45">
        <v>5.7</v>
      </c>
      <c r="V37" s="45">
        <v>5.84</v>
      </c>
      <c r="W37" s="45">
        <v>5.98</v>
      </c>
      <c r="X37" s="45">
        <v>6.11</v>
      </c>
      <c r="Y37" s="45">
        <v>6.25</v>
      </c>
      <c r="Z37" s="45">
        <v>6.39</v>
      </c>
      <c r="AA37" s="45">
        <v>6.52</v>
      </c>
      <c r="AB37" s="45">
        <v>6.66</v>
      </c>
      <c r="AC37" s="45">
        <v>6.8</v>
      </c>
      <c r="AD37" s="45">
        <v>6.93</v>
      </c>
      <c r="AE37" s="45">
        <v>7.07</v>
      </c>
      <c r="AF37" s="45">
        <v>7.21</v>
      </c>
      <c r="AG37" s="45">
        <v>7.34</v>
      </c>
      <c r="AH37" s="45">
        <v>7.48</v>
      </c>
      <c r="AI37" s="45">
        <v>7.61</v>
      </c>
      <c r="AJ37" s="45">
        <v>7.75</v>
      </c>
      <c r="AK37" s="45">
        <v>7.89</v>
      </c>
    </row>
    <row r="38" spans="1:37" ht="15" customHeight="1" x14ac:dyDescent="0.25">
      <c r="A38" s="43">
        <v>1650</v>
      </c>
      <c r="B38" s="45">
        <v>3.35</v>
      </c>
      <c r="C38" s="45">
        <v>3.5</v>
      </c>
      <c r="D38" s="45">
        <v>3.64</v>
      </c>
      <c r="E38" s="45">
        <v>3.79</v>
      </c>
      <c r="F38" s="45">
        <v>3.93</v>
      </c>
      <c r="G38" s="45">
        <v>4.08</v>
      </c>
      <c r="H38" s="45">
        <v>4.2300000000000004</v>
      </c>
      <c r="I38" s="45">
        <v>4.32</v>
      </c>
      <c r="J38" s="45">
        <v>4.5199999999999996</v>
      </c>
      <c r="K38" s="45">
        <v>4.67</v>
      </c>
      <c r="L38" s="45">
        <v>4.8099999999999996</v>
      </c>
      <c r="M38" s="45">
        <v>4.96</v>
      </c>
      <c r="N38" s="45">
        <v>5.0999999999999996</v>
      </c>
      <c r="O38" s="45">
        <v>5.25</v>
      </c>
      <c r="P38" s="45">
        <v>5.4</v>
      </c>
      <c r="Q38" s="45">
        <v>5.54</v>
      </c>
      <c r="R38" s="45">
        <v>5.69</v>
      </c>
      <c r="S38" s="45">
        <v>5.84</v>
      </c>
      <c r="T38" s="45">
        <v>5.98</v>
      </c>
      <c r="U38" s="45">
        <v>6.13</v>
      </c>
      <c r="V38" s="45">
        <v>6.27</v>
      </c>
      <c r="W38" s="45">
        <v>6.42</v>
      </c>
      <c r="X38" s="45">
        <v>6.57</v>
      </c>
      <c r="Y38" s="45">
        <v>6.72</v>
      </c>
      <c r="Z38" s="45">
        <v>6.87</v>
      </c>
      <c r="AA38" s="45">
        <v>7.02</v>
      </c>
      <c r="AB38" s="45">
        <v>7.17</v>
      </c>
      <c r="AC38" s="45">
        <v>7.33</v>
      </c>
      <c r="AD38" s="45">
        <v>7.48</v>
      </c>
      <c r="AE38" s="45">
        <v>7.63</v>
      </c>
      <c r="AF38" s="45">
        <v>7.78</v>
      </c>
      <c r="AG38" s="45">
        <v>7.93</v>
      </c>
      <c r="AH38" s="45">
        <v>8.1</v>
      </c>
      <c r="AI38" s="45">
        <v>8.25</v>
      </c>
      <c r="AJ38" s="45">
        <v>8.4</v>
      </c>
      <c r="AK38" s="45">
        <v>8.5399999999999991</v>
      </c>
    </row>
    <row r="39" spans="1:37" ht="15" customHeight="1" x14ac:dyDescent="0.25">
      <c r="A39" s="43">
        <v>1750</v>
      </c>
      <c r="B39" s="45">
        <v>3.58</v>
      </c>
      <c r="C39" s="45">
        <v>3.74</v>
      </c>
      <c r="D39" s="45">
        <v>3.89</v>
      </c>
      <c r="E39" s="45">
        <v>4.05</v>
      </c>
      <c r="F39" s="45">
        <v>4.2</v>
      </c>
      <c r="G39" s="45">
        <v>4.3600000000000003</v>
      </c>
      <c r="H39" s="45">
        <v>4.5199999999999996</v>
      </c>
      <c r="I39" s="45">
        <v>4.67</v>
      </c>
      <c r="J39" s="45">
        <v>4.83</v>
      </c>
      <c r="K39" s="45">
        <v>4.9800000000000004</v>
      </c>
      <c r="L39" s="45">
        <v>5.14</v>
      </c>
      <c r="M39" s="45">
        <v>5.3</v>
      </c>
      <c r="N39" s="45">
        <v>5.45</v>
      </c>
      <c r="O39" s="45">
        <v>5.61</v>
      </c>
      <c r="P39" s="45">
        <v>5.77</v>
      </c>
      <c r="Q39" s="45">
        <v>5.92</v>
      </c>
      <c r="R39" s="45">
        <v>6.08</v>
      </c>
      <c r="S39" s="45">
        <v>6.23</v>
      </c>
      <c r="T39" s="45">
        <v>6.39</v>
      </c>
      <c r="U39" s="45">
        <v>6.55</v>
      </c>
      <c r="V39" s="45">
        <v>6.7</v>
      </c>
      <c r="W39" s="45">
        <v>6.86</v>
      </c>
      <c r="X39" s="45">
        <v>7.02</v>
      </c>
      <c r="Y39" s="45">
        <v>7.17</v>
      </c>
      <c r="Z39" s="45">
        <v>7.33</v>
      </c>
      <c r="AA39" s="45">
        <v>7.48</v>
      </c>
      <c r="AB39" s="45">
        <v>7.64</v>
      </c>
      <c r="AC39" s="45">
        <v>7.8</v>
      </c>
      <c r="AD39" s="45">
        <v>7.95</v>
      </c>
      <c r="AE39" s="45">
        <v>8.11</v>
      </c>
      <c r="AF39" s="45">
        <v>8.26</v>
      </c>
      <c r="AG39" s="45">
        <v>8.42</v>
      </c>
      <c r="AH39" s="45">
        <v>8.58</v>
      </c>
      <c r="AI39" s="45">
        <v>8.73</v>
      </c>
      <c r="AJ39" s="45">
        <v>8.89</v>
      </c>
      <c r="AK39" s="45">
        <v>9.0500000000000007</v>
      </c>
    </row>
    <row r="40" spans="1:37" ht="15" customHeight="1" x14ac:dyDescent="0.25">
      <c r="A40" s="43">
        <v>1850</v>
      </c>
      <c r="B40" s="45">
        <v>3.81</v>
      </c>
      <c r="C40" s="45">
        <v>3.97</v>
      </c>
      <c r="D40" s="45">
        <v>4.1399999999999997</v>
      </c>
      <c r="E40" s="45">
        <v>4.3099999999999996</v>
      </c>
      <c r="F40" s="45">
        <v>4.47</v>
      </c>
      <c r="G40" s="45">
        <v>4.6399999999999997</v>
      </c>
      <c r="H40" s="45">
        <v>4.8099999999999996</v>
      </c>
      <c r="I40" s="45">
        <v>4.97</v>
      </c>
      <c r="J40" s="45">
        <v>5.14</v>
      </c>
      <c r="K40" s="45">
        <v>5.3</v>
      </c>
      <c r="L40" s="45">
        <v>5.47</v>
      </c>
      <c r="M40" s="45">
        <v>5.64</v>
      </c>
      <c r="N40" s="45">
        <v>5.8</v>
      </c>
      <c r="O40" s="45">
        <v>5.97</v>
      </c>
      <c r="P40" s="45">
        <v>6.13</v>
      </c>
      <c r="Q40" s="45">
        <v>6.3</v>
      </c>
      <c r="R40" s="45">
        <v>6.47</v>
      </c>
      <c r="S40" s="45">
        <v>6.63</v>
      </c>
      <c r="T40" s="45">
        <v>6.8</v>
      </c>
      <c r="U40" s="45">
        <v>6.97</v>
      </c>
      <c r="V40" s="45">
        <v>7.13</v>
      </c>
      <c r="W40" s="45">
        <v>7.3</v>
      </c>
      <c r="X40" s="45">
        <v>7.46</v>
      </c>
      <c r="Y40" s="45">
        <v>7.63</v>
      </c>
      <c r="Z40" s="45">
        <v>7.8</v>
      </c>
      <c r="AA40" s="45">
        <v>7.96</v>
      </c>
      <c r="AB40" s="45">
        <v>8.1300000000000008</v>
      </c>
      <c r="AC40" s="45">
        <v>8.3000000000000007</v>
      </c>
      <c r="AD40" s="45">
        <v>8.4600000000000009</v>
      </c>
      <c r="AE40" s="45">
        <v>8.6300000000000008</v>
      </c>
      <c r="AF40" s="45">
        <v>8.7899999999999991</v>
      </c>
      <c r="AG40" s="45">
        <v>8.9600000000000009</v>
      </c>
      <c r="AH40" s="45">
        <v>9.1199999999999992</v>
      </c>
      <c r="AI40" s="45">
        <v>9.2899999999999991</v>
      </c>
      <c r="AJ40" s="45">
        <v>9.4499999999999993</v>
      </c>
      <c r="AK40" s="45">
        <v>9.6199999999999992</v>
      </c>
    </row>
    <row r="41" spans="1:37" ht="15" customHeight="1" x14ac:dyDescent="0.25">
      <c r="A41" s="43">
        <v>1950</v>
      </c>
      <c r="B41" s="45">
        <v>4.04</v>
      </c>
      <c r="C41" s="45">
        <v>4.21</v>
      </c>
      <c r="D41" s="45">
        <v>4.3899999999999997</v>
      </c>
      <c r="E41" s="45">
        <v>4.57</v>
      </c>
      <c r="F41" s="45">
        <v>4.74</v>
      </c>
      <c r="G41" s="45">
        <v>4.92</v>
      </c>
      <c r="H41" s="45">
        <v>5.0999999999999996</v>
      </c>
      <c r="I41" s="45">
        <v>5.27</v>
      </c>
      <c r="J41" s="45">
        <v>5.45</v>
      </c>
      <c r="K41" s="45">
        <v>5.62</v>
      </c>
      <c r="L41" s="45">
        <v>5.8</v>
      </c>
      <c r="M41" s="45">
        <v>5.97</v>
      </c>
      <c r="N41" s="45">
        <v>6.15</v>
      </c>
      <c r="O41" s="45">
        <v>6.32</v>
      </c>
      <c r="P41" s="45">
        <v>6.5</v>
      </c>
      <c r="Q41" s="45">
        <v>6.68</v>
      </c>
      <c r="R41" s="45">
        <v>6.85</v>
      </c>
      <c r="S41" s="45">
        <v>7.03</v>
      </c>
      <c r="T41" s="45">
        <v>7.2</v>
      </c>
      <c r="U41" s="45">
        <v>7.38</v>
      </c>
      <c r="V41" s="45">
        <v>7.56</v>
      </c>
      <c r="W41" s="45">
        <v>7.74</v>
      </c>
      <c r="X41" s="45">
        <v>7.91</v>
      </c>
      <c r="Y41" s="45">
        <v>8.09</v>
      </c>
      <c r="Z41" s="45">
        <v>8.27</v>
      </c>
      <c r="AA41" s="45">
        <v>8.44</v>
      </c>
      <c r="AB41" s="45">
        <v>8.6199999999999992</v>
      </c>
      <c r="AC41" s="45">
        <v>8.7899999999999991</v>
      </c>
      <c r="AD41" s="45">
        <v>8.9700000000000006</v>
      </c>
      <c r="AE41" s="45">
        <v>9.15</v>
      </c>
      <c r="AF41" s="45">
        <v>9.32</v>
      </c>
      <c r="AG41" s="45">
        <v>9.5</v>
      </c>
      <c r="AH41" s="45">
        <v>9.68</v>
      </c>
      <c r="AI41" s="45">
        <v>9.85</v>
      </c>
      <c r="AJ41" s="45">
        <v>10.029999999999999</v>
      </c>
      <c r="AK41" s="45">
        <v>10.199999999999999</v>
      </c>
    </row>
    <row r="42" spans="1:37" ht="15" customHeight="1" x14ac:dyDescent="0.25">
      <c r="A42" s="43">
        <v>2050</v>
      </c>
      <c r="B42" s="45">
        <v>4.2699999999999996</v>
      </c>
      <c r="C42" s="45">
        <v>4.4400000000000004</v>
      </c>
      <c r="D42" s="45">
        <v>4.6399999999999997</v>
      </c>
      <c r="E42" s="45">
        <v>4.83</v>
      </c>
      <c r="F42" s="45">
        <v>5.01</v>
      </c>
      <c r="G42" s="45">
        <v>5.2</v>
      </c>
      <c r="H42" s="45">
        <v>5.39</v>
      </c>
      <c r="I42" s="45">
        <v>5.57</v>
      </c>
      <c r="J42" s="45">
        <v>5.76</v>
      </c>
      <c r="K42" s="45">
        <v>5.94</v>
      </c>
      <c r="L42" s="45">
        <v>6.13</v>
      </c>
      <c r="M42" s="45">
        <v>6.31</v>
      </c>
      <c r="N42" s="45">
        <v>6.5</v>
      </c>
      <c r="O42" s="45">
        <v>6.69</v>
      </c>
      <c r="P42" s="45">
        <v>6.87</v>
      </c>
      <c r="Q42" s="45">
        <v>7.06</v>
      </c>
      <c r="R42" s="45">
        <v>7.25</v>
      </c>
      <c r="S42" s="45">
        <v>7.43</v>
      </c>
      <c r="T42" s="45">
        <v>7.62</v>
      </c>
      <c r="U42" s="45">
        <v>7.8</v>
      </c>
      <c r="V42" s="45">
        <v>7.99</v>
      </c>
      <c r="W42" s="45">
        <v>8.17</v>
      </c>
      <c r="X42" s="45">
        <v>8.36</v>
      </c>
      <c r="Y42" s="45">
        <v>8.5500000000000007</v>
      </c>
      <c r="Z42" s="45">
        <v>8.73</v>
      </c>
      <c r="AA42" s="45">
        <v>8.92</v>
      </c>
      <c r="AB42" s="45">
        <v>9.11</v>
      </c>
      <c r="AC42" s="45">
        <v>9.2899999999999991</v>
      </c>
      <c r="AD42" s="45">
        <v>9.48</v>
      </c>
      <c r="AE42" s="45">
        <v>9.67</v>
      </c>
      <c r="AF42" s="45">
        <v>9.85</v>
      </c>
      <c r="AG42" s="45">
        <v>10.039999999999999</v>
      </c>
      <c r="AH42" s="45">
        <v>10.220000000000001</v>
      </c>
      <c r="AI42" s="45">
        <v>10.41</v>
      </c>
      <c r="AJ42" s="45">
        <v>10.6</v>
      </c>
      <c r="AK42" s="45">
        <v>10.78</v>
      </c>
    </row>
    <row r="43" spans="1:37" ht="15" customHeight="1" x14ac:dyDescent="0.25">
      <c r="A43" s="43">
        <v>2150</v>
      </c>
      <c r="B43" s="45">
        <v>4.5</v>
      </c>
      <c r="C43" s="45">
        <v>4.6900000000000004</v>
      </c>
      <c r="D43" s="45">
        <v>4.8899999999999997</v>
      </c>
      <c r="E43" s="45">
        <v>5.08</v>
      </c>
      <c r="F43" s="45">
        <v>5.28</v>
      </c>
      <c r="G43" s="45">
        <v>5.48</v>
      </c>
      <c r="H43" s="45">
        <v>5.68</v>
      </c>
      <c r="I43" s="45">
        <v>5.87</v>
      </c>
      <c r="J43" s="45">
        <v>6.07</v>
      </c>
      <c r="K43" s="45">
        <v>6.26</v>
      </c>
      <c r="L43" s="45">
        <v>6.46</v>
      </c>
      <c r="M43" s="45">
        <v>6.65</v>
      </c>
      <c r="N43" s="45">
        <v>6.85</v>
      </c>
      <c r="O43" s="45">
        <v>7.05</v>
      </c>
      <c r="P43" s="45">
        <v>7.24</v>
      </c>
      <c r="Q43" s="45">
        <v>7.44</v>
      </c>
      <c r="R43" s="45">
        <v>7.63</v>
      </c>
      <c r="S43" s="45">
        <v>7.83</v>
      </c>
      <c r="T43" s="45">
        <v>8.0299999999999994</v>
      </c>
      <c r="U43" s="45">
        <v>8.2200000000000006</v>
      </c>
      <c r="V43" s="45">
        <v>8.42</v>
      </c>
      <c r="W43" s="45">
        <v>8.6199999999999992</v>
      </c>
      <c r="X43" s="45">
        <v>8.81</v>
      </c>
      <c r="Y43" s="45">
        <v>9.01</v>
      </c>
      <c r="Z43" s="45">
        <v>9.1999999999999993</v>
      </c>
      <c r="AA43" s="45">
        <v>9.4</v>
      </c>
      <c r="AB43" s="45">
        <v>9.6</v>
      </c>
      <c r="AC43" s="45">
        <v>9.7899999999999991</v>
      </c>
      <c r="AD43" s="45">
        <v>9.99</v>
      </c>
      <c r="AE43" s="45">
        <v>10.18</v>
      </c>
      <c r="AF43" s="45">
        <v>10.38</v>
      </c>
      <c r="AG43" s="45">
        <v>10.58</v>
      </c>
      <c r="AH43" s="45">
        <v>10.77</v>
      </c>
      <c r="AI43" s="45">
        <v>10.97</v>
      </c>
      <c r="AJ43" s="45">
        <v>11.16</v>
      </c>
      <c r="AK43" s="45">
        <v>11.36</v>
      </c>
    </row>
    <row r="44" spans="1:37" ht="15" customHeight="1" x14ac:dyDescent="0.25">
      <c r="A44" s="43">
        <v>2250</v>
      </c>
      <c r="B44" s="45">
        <v>4.7300000000000004</v>
      </c>
      <c r="C44" s="45">
        <v>4.9400000000000004</v>
      </c>
      <c r="D44" s="45">
        <v>5.14</v>
      </c>
      <c r="E44" s="45">
        <v>5.34</v>
      </c>
      <c r="F44" s="45">
        <v>5.55</v>
      </c>
      <c r="G44" s="45">
        <v>5.76</v>
      </c>
      <c r="H44" s="45">
        <v>5.96</v>
      </c>
      <c r="I44" s="45">
        <v>6.17</v>
      </c>
      <c r="J44" s="45">
        <v>6.38</v>
      </c>
      <c r="K44" s="45">
        <v>6.58</v>
      </c>
      <c r="L44" s="45">
        <v>6.79</v>
      </c>
      <c r="M44" s="45">
        <v>6.99</v>
      </c>
      <c r="N44" s="45">
        <v>7.2</v>
      </c>
      <c r="O44" s="45">
        <v>7.41</v>
      </c>
      <c r="P44" s="45">
        <v>7.61</v>
      </c>
      <c r="Q44" s="45">
        <v>7.82</v>
      </c>
      <c r="R44" s="45">
        <v>8.02</v>
      </c>
      <c r="S44" s="45">
        <v>8.23</v>
      </c>
      <c r="T44" s="45">
        <v>8.44</v>
      </c>
      <c r="U44" s="45">
        <v>8.64</v>
      </c>
      <c r="V44" s="45">
        <v>8.85</v>
      </c>
      <c r="W44" s="45">
        <v>9.06</v>
      </c>
      <c r="X44" s="45">
        <v>9.27</v>
      </c>
      <c r="Y44" s="45">
        <v>9.4700000000000006</v>
      </c>
      <c r="Z44" s="45">
        <v>9.67</v>
      </c>
      <c r="AA44" s="45">
        <v>9.8800000000000008</v>
      </c>
      <c r="AB44" s="45">
        <v>10.08</v>
      </c>
      <c r="AC44" s="45">
        <v>10.29</v>
      </c>
      <c r="AD44" s="45">
        <v>10.5</v>
      </c>
      <c r="AE44" s="45">
        <v>10.7</v>
      </c>
      <c r="AF44" s="45">
        <v>10.91</v>
      </c>
      <c r="AG44" s="45">
        <v>11.12</v>
      </c>
      <c r="AH44" s="45">
        <v>11.32</v>
      </c>
      <c r="AI44" s="45">
        <v>11.53</v>
      </c>
      <c r="AJ44" s="45">
        <v>11.74</v>
      </c>
      <c r="AK44" s="45">
        <v>11.94</v>
      </c>
    </row>
    <row r="45" spans="1:37" ht="15" customHeight="1" x14ac:dyDescent="0.25">
      <c r="A45" s="43">
        <v>2350</v>
      </c>
      <c r="B45" s="45">
        <v>4.95</v>
      </c>
      <c r="C45" s="45">
        <v>5.17</v>
      </c>
      <c r="D45" s="45">
        <v>5.39</v>
      </c>
      <c r="E45" s="45">
        <v>5.61</v>
      </c>
      <c r="F45" s="45">
        <v>5.82</v>
      </c>
      <c r="G45" s="45">
        <v>6.04</v>
      </c>
      <c r="H45" s="45">
        <v>6.25</v>
      </c>
      <c r="I45" s="45">
        <v>6.47</v>
      </c>
      <c r="J45" s="45">
        <v>6.68</v>
      </c>
      <c r="K45" s="45">
        <v>6.9</v>
      </c>
      <c r="L45" s="45">
        <v>7.12</v>
      </c>
      <c r="M45" s="45">
        <v>7.33</v>
      </c>
      <c r="N45" s="45">
        <v>7.55</v>
      </c>
      <c r="O45" s="45">
        <v>7.76</v>
      </c>
      <c r="P45" s="45">
        <v>7.98</v>
      </c>
      <c r="Q45" s="45">
        <v>8.1999999999999993</v>
      </c>
      <c r="R45" s="45">
        <v>8.41</v>
      </c>
      <c r="S45" s="45">
        <v>8.6300000000000008</v>
      </c>
      <c r="T45" s="45">
        <v>8.85</v>
      </c>
      <c r="U45" s="45">
        <v>9.06</v>
      </c>
      <c r="V45" s="45">
        <v>9.2799999999999994</v>
      </c>
      <c r="W45" s="45">
        <v>9.5</v>
      </c>
      <c r="X45" s="45">
        <v>9.7200000000000006</v>
      </c>
      <c r="Y45" s="45">
        <v>9.94</v>
      </c>
      <c r="Z45" s="45">
        <v>10.15</v>
      </c>
      <c r="AA45" s="45">
        <v>10.37</v>
      </c>
      <c r="AB45" s="45">
        <v>10.58</v>
      </c>
      <c r="AC45" s="45">
        <v>10.8</v>
      </c>
      <c r="AD45" s="45">
        <v>11.02</v>
      </c>
      <c r="AE45" s="45">
        <v>11.24</v>
      </c>
      <c r="AF45" s="45">
        <v>11.45</v>
      </c>
      <c r="AG45" s="45">
        <v>11.67</v>
      </c>
      <c r="AH45" s="45">
        <v>11.88</v>
      </c>
      <c r="AI45" s="45">
        <v>12.1</v>
      </c>
      <c r="AJ45" s="45">
        <v>12.32</v>
      </c>
      <c r="AK45" s="45">
        <v>12.54</v>
      </c>
    </row>
    <row r="46" spans="1:37" ht="15" customHeight="1" x14ac:dyDescent="0.25">
      <c r="A46" s="43">
        <v>2450</v>
      </c>
      <c r="B46" s="45">
        <v>5.2</v>
      </c>
      <c r="C46" s="45">
        <v>5.41</v>
      </c>
      <c r="D46" s="45">
        <v>5.64</v>
      </c>
      <c r="E46" s="45">
        <v>5.88</v>
      </c>
      <c r="F46" s="45">
        <v>6.11</v>
      </c>
      <c r="G46" s="45">
        <v>6.34</v>
      </c>
      <c r="H46" s="45">
        <v>6.58</v>
      </c>
      <c r="I46" s="45">
        <v>6.81</v>
      </c>
      <c r="J46" s="45">
        <v>7.04</v>
      </c>
      <c r="K46" s="45">
        <v>7.27</v>
      </c>
      <c r="L46" s="45">
        <v>7.5</v>
      </c>
      <c r="M46" s="45">
        <v>7.72</v>
      </c>
      <c r="N46" s="45">
        <v>7.95</v>
      </c>
      <c r="O46" s="45">
        <v>8.19</v>
      </c>
      <c r="P46" s="45">
        <v>8.42</v>
      </c>
      <c r="Q46" s="45">
        <v>8.65</v>
      </c>
      <c r="R46" s="45">
        <v>8.8800000000000008</v>
      </c>
      <c r="S46" s="45">
        <v>9.1199999999999992</v>
      </c>
      <c r="T46" s="45">
        <v>9.35</v>
      </c>
      <c r="U46" s="45">
        <v>9.59</v>
      </c>
      <c r="V46" s="45">
        <v>9.82</v>
      </c>
      <c r="W46" s="45">
        <v>10.050000000000001</v>
      </c>
      <c r="X46" s="45">
        <v>10.28</v>
      </c>
      <c r="Y46" s="45">
        <v>10.51</v>
      </c>
      <c r="Z46" s="45">
        <v>10.74</v>
      </c>
      <c r="AA46" s="45">
        <v>10.97</v>
      </c>
      <c r="AB46" s="45">
        <v>11.21</v>
      </c>
      <c r="AC46" s="45">
        <v>11.44</v>
      </c>
      <c r="AD46" s="45">
        <v>11.67</v>
      </c>
      <c r="AE46" s="45">
        <v>11.89</v>
      </c>
      <c r="AF46" s="45">
        <v>12.13</v>
      </c>
      <c r="AG46" s="45">
        <v>12.36</v>
      </c>
      <c r="AH46" s="45">
        <v>12.59</v>
      </c>
      <c r="AI46" s="45">
        <v>12.83</v>
      </c>
      <c r="AJ46" s="45">
        <v>13.06</v>
      </c>
      <c r="AK46" s="45">
        <v>13.3</v>
      </c>
    </row>
    <row r="47" spans="1:37" ht="15" customHeight="1" x14ac:dyDescent="0.25">
      <c r="A47" s="43">
        <v>2550</v>
      </c>
      <c r="B47" s="45">
        <v>5.41</v>
      </c>
      <c r="C47" s="45">
        <v>5.65</v>
      </c>
      <c r="D47" s="45">
        <v>5.89</v>
      </c>
      <c r="E47" s="45">
        <v>6.13</v>
      </c>
      <c r="F47" s="45">
        <v>6.37</v>
      </c>
      <c r="G47" s="45">
        <v>6.61</v>
      </c>
      <c r="H47" s="45">
        <v>6.85</v>
      </c>
      <c r="I47" s="45">
        <v>7.09</v>
      </c>
      <c r="J47" s="45">
        <v>7.33</v>
      </c>
      <c r="K47" s="45">
        <v>7.57</v>
      </c>
      <c r="L47" s="45">
        <v>7.81</v>
      </c>
      <c r="M47" s="45">
        <v>8.0500000000000007</v>
      </c>
      <c r="N47" s="45">
        <v>8.2899999999999991</v>
      </c>
      <c r="O47" s="45">
        <v>8.5299999999999994</v>
      </c>
      <c r="P47" s="45">
        <v>8.76</v>
      </c>
      <c r="Q47" s="45">
        <v>9.01</v>
      </c>
      <c r="R47" s="45">
        <v>9.25</v>
      </c>
      <c r="S47" s="45">
        <v>9.49</v>
      </c>
      <c r="T47" s="45">
        <v>9.66</v>
      </c>
      <c r="U47" s="45">
        <v>9.92</v>
      </c>
      <c r="V47" s="45">
        <v>10.17</v>
      </c>
      <c r="W47" s="45">
        <v>10.42</v>
      </c>
      <c r="X47" s="45">
        <v>10.66</v>
      </c>
      <c r="Y47" s="45">
        <v>10.91</v>
      </c>
      <c r="Z47" s="45">
        <v>11.16</v>
      </c>
      <c r="AA47" s="45">
        <v>11.41</v>
      </c>
      <c r="AB47" s="45">
        <v>11.65</v>
      </c>
      <c r="AC47" s="45">
        <v>11.91</v>
      </c>
      <c r="AD47" s="45">
        <v>12.15</v>
      </c>
      <c r="AE47" s="45">
        <v>12.41</v>
      </c>
      <c r="AF47" s="45">
        <v>12.65</v>
      </c>
      <c r="AG47" s="45">
        <v>12.89</v>
      </c>
      <c r="AH47" s="45">
        <v>13.13</v>
      </c>
      <c r="AI47" s="45">
        <v>13.37</v>
      </c>
      <c r="AJ47" s="45">
        <v>13.61</v>
      </c>
      <c r="AK47" s="45">
        <v>13.85</v>
      </c>
    </row>
    <row r="48" spans="1:37" ht="15" customHeight="1" x14ac:dyDescent="0.25">
      <c r="A48" s="43">
        <v>2650</v>
      </c>
      <c r="B48" s="45">
        <v>5.64</v>
      </c>
      <c r="C48" s="45">
        <v>5.89</v>
      </c>
      <c r="D48" s="45">
        <v>6.13</v>
      </c>
      <c r="E48" s="45">
        <v>6.39</v>
      </c>
      <c r="F48" s="45">
        <v>6.63</v>
      </c>
      <c r="G48" s="45">
        <v>6.88</v>
      </c>
      <c r="H48" s="45">
        <v>7.13</v>
      </c>
      <c r="I48" s="45">
        <v>7.37</v>
      </c>
      <c r="J48" s="45">
        <v>7.62</v>
      </c>
      <c r="K48" s="45">
        <v>7.87</v>
      </c>
      <c r="L48" s="45">
        <v>8.1</v>
      </c>
      <c r="M48" s="45">
        <v>8.36</v>
      </c>
      <c r="N48" s="45">
        <v>8.6</v>
      </c>
      <c r="O48" s="45">
        <v>8.85</v>
      </c>
      <c r="P48" s="45">
        <v>9.1</v>
      </c>
      <c r="Q48" s="45">
        <v>9.35</v>
      </c>
      <c r="R48" s="45">
        <v>9.6</v>
      </c>
      <c r="S48" s="45">
        <v>9.85</v>
      </c>
      <c r="T48" s="45">
        <v>10.1</v>
      </c>
      <c r="U48" s="45">
        <v>10.35</v>
      </c>
      <c r="V48" s="45">
        <v>10.6</v>
      </c>
      <c r="W48" s="45">
        <v>10.84</v>
      </c>
      <c r="X48" s="45">
        <v>11.1</v>
      </c>
      <c r="Y48" s="45">
        <v>11.35</v>
      </c>
      <c r="Z48" s="45">
        <v>11.6</v>
      </c>
      <c r="AA48" s="45">
        <v>11.85</v>
      </c>
      <c r="AB48" s="45">
        <v>12.1</v>
      </c>
      <c r="AC48" s="45">
        <v>12.35</v>
      </c>
      <c r="AD48" s="45">
        <v>12.6</v>
      </c>
      <c r="AE48" s="45">
        <v>12.84</v>
      </c>
      <c r="AF48" s="45">
        <v>13.1</v>
      </c>
      <c r="AG48" s="45">
        <v>13.34</v>
      </c>
      <c r="AH48" s="45">
        <v>13.59</v>
      </c>
      <c r="AI48" s="45">
        <v>13.84</v>
      </c>
      <c r="AJ48" s="45">
        <v>14.09</v>
      </c>
      <c r="AK48" s="45">
        <v>14.34</v>
      </c>
    </row>
    <row r="49" spans="1:37" ht="15" customHeight="1" x14ac:dyDescent="0.25">
      <c r="A49" s="43">
        <v>2700</v>
      </c>
      <c r="B49" s="45">
        <v>5.87</v>
      </c>
      <c r="C49" s="45">
        <v>6.13</v>
      </c>
      <c r="D49" s="45">
        <v>6.38</v>
      </c>
      <c r="E49" s="45">
        <v>6.64</v>
      </c>
      <c r="F49" s="45">
        <v>6.9</v>
      </c>
      <c r="G49" s="45">
        <v>7.15</v>
      </c>
      <c r="H49" s="45">
        <v>7.41</v>
      </c>
      <c r="I49" s="45">
        <v>7.66</v>
      </c>
      <c r="J49" s="45">
        <v>7.92</v>
      </c>
      <c r="K49" s="45">
        <v>8.18</v>
      </c>
      <c r="L49" s="45">
        <v>8.43</v>
      </c>
      <c r="M49" s="45">
        <v>8.69</v>
      </c>
      <c r="N49" s="45">
        <v>8.9499999999999993</v>
      </c>
      <c r="O49" s="45">
        <v>9.1999999999999993</v>
      </c>
      <c r="P49" s="45">
        <v>9.4600000000000009</v>
      </c>
      <c r="Q49" s="45">
        <v>9.7100000000000009</v>
      </c>
      <c r="R49" s="45">
        <v>9.9700000000000006</v>
      </c>
      <c r="S49" s="45">
        <v>10.23</v>
      </c>
      <c r="T49" s="45">
        <v>10.48</v>
      </c>
      <c r="U49" s="45">
        <v>10.74</v>
      </c>
      <c r="V49" s="45">
        <v>10.99</v>
      </c>
      <c r="W49" s="45">
        <v>11.25</v>
      </c>
      <c r="X49" s="45">
        <v>11.51</v>
      </c>
      <c r="Y49" s="45">
        <v>11.76</v>
      </c>
      <c r="Z49" s="45">
        <v>12.02</v>
      </c>
      <c r="AA49" s="45">
        <v>12.28</v>
      </c>
      <c r="AB49" s="45">
        <v>12.53</v>
      </c>
      <c r="AC49" s="45">
        <v>12.79</v>
      </c>
      <c r="AD49" s="45">
        <v>13.04</v>
      </c>
      <c r="AE49" s="45">
        <v>13.3</v>
      </c>
      <c r="AF49" s="45">
        <v>13.56</v>
      </c>
      <c r="AG49" s="45">
        <v>13.81</v>
      </c>
      <c r="AH49" s="45">
        <v>14.07</v>
      </c>
      <c r="AI49" s="45">
        <v>14.33</v>
      </c>
      <c r="AJ49" s="45">
        <v>14.58</v>
      </c>
      <c r="AK49" s="45">
        <v>14.84</v>
      </c>
    </row>
    <row r="51" spans="1:37" ht="15" customHeight="1" x14ac:dyDescent="0.25">
      <c r="A51" s="46" t="s">
        <v>243</v>
      </c>
      <c r="B51" s="47">
        <v>615</v>
      </c>
      <c r="C51" s="47">
        <v>622</v>
      </c>
      <c r="D51" s="47">
        <v>629</v>
      </c>
      <c r="E51" s="47">
        <v>636</v>
      </c>
      <c r="F51" s="47">
        <v>641</v>
      </c>
      <c r="G51" s="47">
        <v>649</v>
      </c>
      <c r="H51" s="47">
        <v>656</v>
      </c>
      <c r="I51" s="47">
        <v>663</v>
      </c>
      <c r="J51" s="47">
        <v>672</v>
      </c>
      <c r="K51" s="47">
        <v>679</v>
      </c>
      <c r="L51" s="47">
        <v>684</v>
      </c>
      <c r="M51" s="47">
        <v>697</v>
      </c>
      <c r="N51" s="47">
        <v>705</v>
      </c>
      <c r="O51" s="47">
        <v>715</v>
      </c>
      <c r="P51" s="47">
        <v>720</v>
      </c>
      <c r="Q51" s="47">
        <v>726</v>
      </c>
      <c r="R51" s="47">
        <v>735</v>
      </c>
      <c r="S51" s="47">
        <v>740</v>
      </c>
      <c r="T51" s="47">
        <v>747</v>
      </c>
      <c r="U51" s="47">
        <v>756</v>
      </c>
      <c r="V51" s="47">
        <v>762</v>
      </c>
      <c r="W51" s="47">
        <v>769</v>
      </c>
      <c r="X51" s="47">
        <v>783</v>
      </c>
      <c r="Y51" s="47">
        <v>790</v>
      </c>
      <c r="Z51" s="47">
        <v>797</v>
      </c>
      <c r="AA51" s="47">
        <v>804</v>
      </c>
      <c r="AB51" s="47">
        <v>810</v>
      </c>
      <c r="AC51" s="47">
        <v>817</v>
      </c>
      <c r="AD51" s="47">
        <v>824</v>
      </c>
      <c r="AE51" s="47">
        <v>831</v>
      </c>
      <c r="AF51" s="47">
        <v>840</v>
      </c>
      <c r="AG51" s="47">
        <v>846</v>
      </c>
      <c r="AH51" s="47">
        <v>852</v>
      </c>
      <c r="AI51" s="47">
        <v>858</v>
      </c>
      <c r="AJ51" s="47">
        <v>873</v>
      </c>
      <c r="AK51" s="47">
        <v>881</v>
      </c>
    </row>
    <row r="53" spans="1:37" ht="15" customHeight="1" x14ac:dyDescent="0.25">
      <c r="A53" s="121" t="s">
        <v>262</v>
      </c>
      <c r="B53" s="93"/>
      <c r="C53" s="93"/>
      <c r="D53" s="93"/>
      <c r="E53" s="93"/>
      <c r="F53" s="93"/>
      <c r="G53" s="93"/>
      <c r="H53" s="93"/>
      <c r="I53" s="93"/>
      <c r="J53" s="93"/>
      <c r="K53" s="93"/>
      <c r="L53" s="93"/>
      <c r="M53" s="93"/>
      <c r="N53" s="93"/>
      <c r="O53" s="93"/>
      <c r="P53" s="93"/>
      <c r="Q53" s="93"/>
      <c r="R53" s="93"/>
      <c r="S53" s="93"/>
      <c r="T53" s="93"/>
      <c r="U53" s="93"/>
      <c r="V53" s="93"/>
      <c r="W53" s="93"/>
      <c r="X53" s="93"/>
      <c r="Y53" s="93"/>
      <c r="Z53" s="93"/>
      <c r="AA53" s="93"/>
      <c r="AB53" s="93"/>
      <c r="AC53" s="93"/>
      <c r="AD53" s="93"/>
      <c r="AE53" s="93"/>
      <c r="AF53" s="93"/>
      <c r="AG53" s="93"/>
      <c r="AH53" s="93"/>
      <c r="AI53" s="93"/>
      <c r="AJ53" s="93"/>
      <c r="AK53" s="93"/>
    </row>
    <row r="54" spans="1:37" ht="15" customHeight="1" x14ac:dyDescent="0.25">
      <c r="A54" s="48" t="s">
        <v>263</v>
      </c>
      <c r="B54" s="49">
        <f>Paramètres!$B$2</f>
        <v>0.51500000000000001</v>
      </c>
    </row>
    <row r="55" spans="1:37" ht="15" customHeight="1" x14ac:dyDescent="0.25">
      <c r="A55" s="43" t="s">
        <v>260</v>
      </c>
      <c r="B55" s="43">
        <v>2500</v>
      </c>
      <c r="C55" s="43">
        <v>2600</v>
      </c>
      <c r="D55" s="43">
        <v>2700</v>
      </c>
      <c r="E55" s="43">
        <v>2800</v>
      </c>
      <c r="F55" s="43">
        <v>2900</v>
      </c>
      <c r="G55" s="43">
        <v>3000</v>
      </c>
      <c r="H55" s="43">
        <v>3100</v>
      </c>
      <c r="I55" s="43">
        <v>3200</v>
      </c>
      <c r="J55" s="43">
        <v>3300</v>
      </c>
      <c r="K55" s="43">
        <v>3400</v>
      </c>
      <c r="L55" s="43">
        <v>3500</v>
      </c>
      <c r="M55" s="43">
        <v>3600</v>
      </c>
      <c r="N55" s="43">
        <v>3700</v>
      </c>
      <c r="O55" s="43">
        <v>3800</v>
      </c>
      <c r="P55" s="43">
        <v>3900</v>
      </c>
      <c r="Q55" s="43">
        <v>4000</v>
      </c>
      <c r="R55" s="43">
        <v>4100</v>
      </c>
      <c r="S55" s="43">
        <v>4200</v>
      </c>
      <c r="T55" s="43">
        <v>4300</v>
      </c>
      <c r="U55" s="43">
        <v>4400</v>
      </c>
      <c r="V55" s="43">
        <v>4500</v>
      </c>
      <c r="W55" s="43">
        <v>4600</v>
      </c>
      <c r="X55" s="43">
        <v>4700</v>
      </c>
      <c r="Y55" s="43">
        <v>4800</v>
      </c>
      <c r="Z55" s="43">
        <v>4900</v>
      </c>
      <c r="AA55" s="43">
        <v>5000</v>
      </c>
      <c r="AB55" s="43">
        <v>5100</v>
      </c>
      <c r="AC55" s="43">
        <v>5200</v>
      </c>
      <c r="AD55" s="43">
        <v>5300</v>
      </c>
      <c r="AE55" s="43">
        <v>5400</v>
      </c>
      <c r="AF55" s="43">
        <v>5500</v>
      </c>
      <c r="AG55" s="43">
        <v>5600</v>
      </c>
      <c r="AH55" s="43">
        <v>5700</v>
      </c>
      <c r="AI55" s="43">
        <v>5800</v>
      </c>
      <c r="AJ55" s="43">
        <v>5900</v>
      </c>
      <c r="AK55" s="43">
        <v>6050</v>
      </c>
    </row>
    <row r="56" spans="1:37" ht="15" customHeight="1" x14ac:dyDescent="0.25">
      <c r="A56" s="43">
        <v>750</v>
      </c>
      <c r="B56" s="44">
        <f>B5*(1-Paramètres!$B$2)</f>
        <v>1541.33</v>
      </c>
      <c r="C56" s="44">
        <f>C5*(1-Paramètres!$B$2)</f>
        <v>1586.4349999999999</v>
      </c>
      <c r="D56" s="44">
        <f>D5*(1-Paramètres!$B$2)</f>
        <v>1608.26</v>
      </c>
      <c r="E56" s="44">
        <f>E5*(1-Paramètres!$B$2)</f>
        <v>1630.57</v>
      </c>
      <c r="F56" s="44">
        <f>F5*(1-Paramètres!$B$2)</f>
        <v>1652.8799999999999</v>
      </c>
      <c r="G56" s="44">
        <f>G5*(1-Paramètres!$B$2)</f>
        <v>1674.22</v>
      </c>
      <c r="H56" s="44">
        <f>H5*(1-Paramètres!$B$2)</f>
        <v>1696.53</v>
      </c>
      <c r="I56" s="44">
        <f>I5*(1-Paramètres!$B$2)</f>
        <v>1719.325</v>
      </c>
      <c r="J56" s="44">
        <f>J5*(1-Paramètres!$B$2)</f>
        <v>1740.18</v>
      </c>
      <c r="K56" s="44">
        <f>K5*(1-Paramètres!$B$2)</f>
        <v>1762.49</v>
      </c>
      <c r="L56" s="44">
        <f>L5*(1-Paramètres!$B$2)</f>
        <v>1784.3150000000001</v>
      </c>
      <c r="M56" s="44">
        <f>M5*(1-Paramètres!$B$2)</f>
        <v>1806.1399999999999</v>
      </c>
      <c r="N56" s="44">
        <f>N5*(1-Paramètres!$B$2)</f>
        <v>1828.45</v>
      </c>
      <c r="O56" s="44">
        <f>O5*(1-Paramètres!$B$2)</f>
        <v>1850.76</v>
      </c>
      <c r="P56" s="44">
        <f>P5*(1-Paramètres!$B$2)</f>
        <v>1872.585</v>
      </c>
      <c r="Q56" s="44">
        <f>Q5*(1-Paramètres!$B$2)</f>
        <v>1895.3799999999999</v>
      </c>
      <c r="R56" s="44">
        <f>R5*(1-Paramètres!$B$2)</f>
        <v>1917.2049999999999</v>
      </c>
      <c r="S56" s="44">
        <f>S5*(1-Paramètres!$B$2)</f>
        <v>1938.5449999999998</v>
      </c>
      <c r="T56" s="44">
        <f>T5*(1-Paramètres!$B$2)</f>
        <v>1961.34</v>
      </c>
      <c r="U56" s="44">
        <f>U5*(1-Paramètres!$B$2)</f>
        <v>1983.6499999999999</v>
      </c>
      <c r="V56" s="44">
        <f>V5*(1-Paramètres!$B$2)</f>
        <v>2005.96</v>
      </c>
      <c r="W56" s="44">
        <f>W5*(1-Paramètres!$B$2)</f>
        <v>2026.33</v>
      </c>
      <c r="X56" s="44">
        <f>X5*(1-Paramètres!$B$2)</f>
        <v>2047.6699999999998</v>
      </c>
      <c r="Y56" s="44">
        <f>Y5*(1-Paramètres!$B$2)</f>
        <v>2069.98</v>
      </c>
      <c r="Z56" s="44">
        <f>Z5*(1-Paramètres!$B$2)</f>
        <v>2092.7750000000001</v>
      </c>
      <c r="AA56" s="44">
        <f>AA5*(1-Paramètres!$B$2)</f>
        <v>2115.085</v>
      </c>
      <c r="AB56" s="44">
        <f>AB5*(1-Paramètres!$B$2)</f>
        <v>2137.395</v>
      </c>
      <c r="AC56" s="44">
        <f>AC5*(1-Paramètres!$B$2)</f>
        <v>2158.25</v>
      </c>
      <c r="AD56" s="44">
        <f>AD5*(1-Paramètres!$B$2)</f>
        <v>2180.0749999999998</v>
      </c>
      <c r="AE56" s="44">
        <f>AE5*(1-Paramètres!$B$2)</f>
        <v>2202.87</v>
      </c>
      <c r="AF56" s="44">
        <f>AF5*(1-Paramètres!$B$2)</f>
        <v>2224.6950000000002</v>
      </c>
      <c r="AG56" s="44">
        <f>AG5*(1-Paramètres!$B$2)</f>
        <v>2246.52</v>
      </c>
      <c r="AH56" s="44">
        <f>AH5*(1-Paramètres!$B$2)</f>
        <v>2268.83</v>
      </c>
      <c r="AI56" s="44">
        <f>AI5*(1-Paramètres!$B$2)</f>
        <v>2290.17</v>
      </c>
      <c r="AJ56" s="44">
        <f>AJ5*(1-Paramètres!$B$2)</f>
        <v>2312.48</v>
      </c>
      <c r="AK56" s="44">
        <f>AK5*(1-Paramètres!$B$2)</f>
        <v>2335.2750000000001</v>
      </c>
    </row>
    <row r="57" spans="1:37" ht="15" customHeight="1" x14ac:dyDescent="0.25">
      <c r="A57" s="43">
        <v>850</v>
      </c>
      <c r="B57" s="44">
        <f>B6*(1-Paramètres!$B$2)</f>
        <v>1593.71</v>
      </c>
      <c r="C57" s="44">
        <f>C6*(1-Paramètres!$B$2)</f>
        <v>1639.3</v>
      </c>
      <c r="D57" s="44">
        <f>D6*(1-Paramètres!$B$2)</f>
        <v>1661.61</v>
      </c>
      <c r="E57" s="44">
        <f>E6*(1-Paramètres!$B$2)</f>
        <v>1683.9199999999998</v>
      </c>
      <c r="F57" s="44">
        <f>F6*(1-Paramètres!$B$2)</f>
        <v>1707.6849999999999</v>
      </c>
      <c r="G57" s="44">
        <f>G6*(1-Paramètres!$B$2)</f>
        <v>1729.9949999999999</v>
      </c>
      <c r="H57" s="44">
        <f>H6*(1-Paramètres!$B$2)</f>
        <v>1752.3050000000001</v>
      </c>
      <c r="I57" s="44">
        <f>I6*(1-Paramètres!$B$2)</f>
        <v>1775.585</v>
      </c>
      <c r="J57" s="44">
        <f>J6*(1-Paramètres!$B$2)</f>
        <v>1798.865</v>
      </c>
      <c r="K57" s="44">
        <f>K6*(1-Paramètres!$B$2)</f>
        <v>1821.175</v>
      </c>
      <c r="L57" s="44">
        <f>L6*(1-Paramètres!$B$2)</f>
        <v>1843.4849999999999</v>
      </c>
      <c r="M57" s="44">
        <f>M6*(1-Paramètres!$B$2)</f>
        <v>1866.28</v>
      </c>
      <c r="N57" s="44">
        <f>N6*(1-Paramètres!$B$2)</f>
        <v>1889.075</v>
      </c>
      <c r="O57" s="44">
        <f>O6*(1-Paramètres!$B$2)</f>
        <v>1911.385</v>
      </c>
      <c r="P57" s="44">
        <f>P6*(1-Paramètres!$B$2)</f>
        <v>1934.1799999999998</v>
      </c>
      <c r="Q57" s="44">
        <f>Q6*(1-Paramètres!$B$2)</f>
        <v>1957.46</v>
      </c>
      <c r="R57" s="44">
        <f>R6*(1-Paramètres!$B$2)</f>
        <v>1979.77</v>
      </c>
      <c r="S57" s="44">
        <f>S6*(1-Paramètres!$B$2)</f>
        <v>2003.05</v>
      </c>
      <c r="T57" s="44">
        <f>T6*(1-Paramètres!$B$2)</f>
        <v>2025.36</v>
      </c>
      <c r="U57" s="44">
        <f>U6*(1-Paramètres!$B$2)</f>
        <v>2047.6699999999998</v>
      </c>
      <c r="V57" s="44">
        <f>V6*(1-Paramètres!$B$2)</f>
        <v>2071.4349999999999</v>
      </c>
      <c r="W57" s="44">
        <f>W6*(1-Paramètres!$B$2)</f>
        <v>2093.7449999999999</v>
      </c>
      <c r="X57" s="44">
        <f>X6*(1-Paramètres!$B$2)</f>
        <v>2116.54</v>
      </c>
      <c r="Y57" s="44">
        <f>Y6*(1-Paramètres!$B$2)</f>
        <v>2139.8200000000002</v>
      </c>
      <c r="Z57" s="44">
        <f>Z6*(1-Paramètres!$B$2)</f>
        <v>2162.13</v>
      </c>
      <c r="AA57" s="44">
        <f>AA6*(1-Paramètres!$B$2)</f>
        <v>2184.44</v>
      </c>
      <c r="AB57" s="44">
        <f>AB6*(1-Paramètres!$B$2)</f>
        <v>2207.7199999999998</v>
      </c>
      <c r="AC57" s="44">
        <f>AC6*(1-Paramètres!$B$2)</f>
        <v>2230.5149999999999</v>
      </c>
      <c r="AD57" s="44">
        <f>AD6*(1-Paramètres!$B$2)</f>
        <v>2253.7950000000001</v>
      </c>
      <c r="AE57" s="44">
        <f>AE6*(1-Paramètres!$B$2)</f>
        <v>2277.0749999999998</v>
      </c>
      <c r="AF57" s="44">
        <f>AF6*(1-Paramètres!$B$2)</f>
        <v>2299.87</v>
      </c>
      <c r="AG57" s="44">
        <f>AG6*(1-Paramètres!$B$2)</f>
        <v>2322.1799999999998</v>
      </c>
      <c r="AH57" s="44">
        <f>AH6*(1-Paramètres!$B$2)</f>
        <v>2345.46</v>
      </c>
      <c r="AI57" s="44">
        <f>AI6*(1-Paramètres!$B$2)</f>
        <v>2367.2849999999999</v>
      </c>
      <c r="AJ57" s="44">
        <f>AJ6*(1-Paramètres!$B$2)</f>
        <v>2389.5949999999998</v>
      </c>
      <c r="AK57" s="44">
        <f>AK6*(1-Paramètres!$B$2)</f>
        <v>2412.39</v>
      </c>
    </row>
    <row r="58" spans="1:37" ht="15" customHeight="1" x14ac:dyDescent="0.25">
      <c r="A58" s="43">
        <v>950</v>
      </c>
      <c r="B58" s="44">
        <f>B7*(1-Paramètres!$B$2)</f>
        <v>1645.12</v>
      </c>
      <c r="C58" s="44">
        <f>C7*(1-Paramètres!$B$2)</f>
        <v>1691.68</v>
      </c>
      <c r="D58" s="44">
        <f>D7*(1-Paramètres!$B$2)</f>
        <v>1716.415</v>
      </c>
      <c r="E58" s="44">
        <f>E7*(1-Paramètres!$B$2)</f>
        <v>1739.21</v>
      </c>
      <c r="F58" s="44">
        <f>F7*(1-Paramètres!$B$2)</f>
        <v>1762.0049999999999</v>
      </c>
      <c r="G58" s="44">
        <f>G7*(1-Paramètres!$B$2)</f>
        <v>1785.2849999999999</v>
      </c>
      <c r="H58" s="44">
        <f>H7*(1-Paramètres!$B$2)</f>
        <v>1808.5650000000001</v>
      </c>
      <c r="I58" s="44">
        <f>I7*(1-Paramètres!$B$2)</f>
        <v>1833.3</v>
      </c>
      <c r="J58" s="44">
        <f>J7*(1-Paramètres!$B$2)</f>
        <v>1856.58</v>
      </c>
      <c r="K58" s="44">
        <f>K7*(1-Paramètres!$B$2)</f>
        <v>1880.345</v>
      </c>
      <c r="L58" s="44">
        <f>L7*(1-Paramètres!$B$2)</f>
        <v>1902.655</v>
      </c>
      <c r="M58" s="44">
        <f>M7*(1-Paramètres!$B$2)</f>
        <v>1926.905</v>
      </c>
      <c r="N58" s="44">
        <f>N7*(1-Paramètres!$B$2)</f>
        <v>1950.1849999999999</v>
      </c>
      <c r="O58" s="44">
        <f>O7*(1-Paramètres!$B$2)</f>
        <v>1973.4649999999999</v>
      </c>
      <c r="P58" s="44">
        <f>P7*(1-Paramètres!$B$2)</f>
        <v>1996.7449999999999</v>
      </c>
      <c r="Q58" s="44">
        <f>Q7*(1-Paramètres!$B$2)</f>
        <v>2021.48</v>
      </c>
      <c r="R58" s="44">
        <f>R7*(1-Paramètres!$B$2)</f>
        <v>2044.76</v>
      </c>
      <c r="S58" s="44">
        <f>S7*(1-Paramètres!$B$2)</f>
        <v>2067.5549999999998</v>
      </c>
      <c r="T58" s="44">
        <f>T7*(1-Paramètres!$B$2)</f>
        <v>2091.3200000000002</v>
      </c>
      <c r="U58" s="44">
        <f>U7*(1-Paramètres!$B$2)</f>
        <v>2115.085</v>
      </c>
      <c r="V58" s="44">
        <f>V7*(1-Paramètres!$B$2)</f>
        <v>2138.85</v>
      </c>
      <c r="W58" s="44">
        <f>W7*(1-Paramètres!$B$2)</f>
        <v>2161.16</v>
      </c>
      <c r="X58" s="44">
        <f>X7*(1-Paramètres!$B$2)</f>
        <v>2184.44</v>
      </c>
      <c r="Y58" s="44">
        <f>Y7*(1-Paramètres!$B$2)</f>
        <v>2208.69</v>
      </c>
      <c r="Z58" s="44">
        <f>Z7*(1-Paramètres!$B$2)</f>
        <v>2233.4249999999997</v>
      </c>
      <c r="AA58" s="44">
        <f>AA7*(1-Paramètres!$B$2)</f>
        <v>2256.2199999999998</v>
      </c>
      <c r="AB58" s="44">
        <f>AB7*(1-Paramètres!$B$2)</f>
        <v>2279.5</v>
      </c>
      <c r="AC58" s="44">
        <f>AC7*(1-Paramètres!$B$2)</f>
        <v>2303.75</v>
      </c>
      <c r="AD58" s="44">
        <f>AD7*(1-Paramètres!$B$2)</f>
        <v>2327.5149999999999</v>
      </c>
      <c r="AE58" s="44">
        <f>AE7*(1-Paramètres!$B$2)</f>
        <v>2349.8249999999998</v>
      </c>
      <c r="AF58" s="44">
        <f>AF7*(1-Paramètres!$B$2)</f>
        <v>2373.105</v>
      </c>
      <c r="AG58" s="44">
        <f>AG7*(1-Paramètres!$B$2)</f>
        <v>2396.87</v>
      </c>
      <c r="AH58" s="44">
        <f>AH7*(1-Paramètres!$B$2)</f>
        <v>2419.1799999999998</v>
      </c>
      <c r="AI58" s="44">
        <f>AI7*(1-Paramètres!$B$2)</f>
        <v>2443.4299999999998</v>
      </c>
      <c r="AJ58" s="44">
        <f>AJ7*(1-Paramètres!$B$2)</f>
        <v>2467.6799999999998</v>
      </c>
      <c r="AK58" s="44">
        <f>AK7*(1-Paramètres!$B$2)</f>
        <v>2490.4749999999999</v>
      </c>
    </row>
    <row r="59" spans="1:37" ht="15" customHeight="1" x14ac:dyDescent="0.25">
      <c r="A59" s="43">
        <v>1050</v>
      </c>
      <c r="B59" s="44">
        <f>B8*(1-Paramètres!$B$2)</f>
        <v>1696.53</v>
      </c>
      <c r="C59" s="44">
        <f>C8*(1-Paramètres!$B$2)</f>
        <v>1744.5449999999998</v>
      </c>
      <c r="D59" s="44">
        <f>D8*(1-Paramètres!$B$2)</f>
        <v>1769.7649999999999</v>
      </c>
      <c r="E59" s="44">
        <f>E8*(1-Paramètres!$B$2)</f>
        <v>1794.0149999999999</v>
      </c>
      <c r="F59" s="44">
        <f>F8*(1-Paramètres!$B$2)</f>
        <v>1817.78</v>
      </c>
      <c r="G59" s="44">
        <f>G8*(1-Paramètres!$B$2)</f>
        <v>1841.06</v>
      </c>
      <c r="H59" s="44">
        <f>H8*(1-Paramètres!$B$2)</f>
        <v>1864.34</v>
      </c>
      <c r="I59" s="44">
        <f>I8*(1-Paramètres!$B$2)</f>
        <v>1890.0449999999998</v>
      </c>
      <c r="J59" s="44">
        <f>J8*(1-Paramètres!$B$2)</f>
        <v>1913.81</v>
      </c>
      <c r="K59" s="44">
        <f>K8*(1-Paramètres!$B$2)</f>
        <v>1938.5449999999998</v>
      </c>
      <c r="L59" s="44">
        <f>L8*(1-Paramètres!$B$2)</f>
        <v>1962.31</v>
      </c>
      <c r="M59" s="44">
        <f>M8*(1-Paramètres!$B$2)</f>
        <v>1986.56</v>
      </c>
      <c r="N59" s="44">
        <f>N8*(1-Paramètres!$B$2)</f>
        <v>2011.78</v>
      </c>
      <c r="O59" s="44">
        <f>O8*(1-Paramètres!$B$2)</f>
        <v>2035.5449999999998</v>
      </c>
      <c r="P59" s="44">
        <f>P8*(1-Paramètres!$B$2)</f>
        <v>2061.7350000000001</v>
      </c>
      <c r="Q59" s="44">
        <f>Q8*(1-Paramètres!$B$2)</f>
        <v>2085.0149999999999</v>
      </c>
      <c r="R59" s="44">
        <f>R8*(1-Paramètres!$B$2)</f>
        <v>2107.81</v>
      </c>
      <c r="S59" s="44">
        <f>S8*(1-Paramètres!$B$2)</f>
        <v>2132.5450000000001</v>
      </c>
      <c r="T59" s="44">
        <f>T8*(1-Paramètres!$B$2)</f>
        <v>2156.31</v>
      </c>
      <c r="U59" s="44">
        <f>U8*(1-Paramètres!$B$2)</f>
        <v>2180.0749999999998</v>
      </c>
      <c r="V59" s="44">
        <f>V8*(1-Paramètres!$B$2)</f>
        <v>2204.3249999999998</v>
      </c>
      <c r="W59" s="44">
        <f>W8*(1-Paramètres!$B$2)</f>
        <v>2228.5749999999998</v>
      </c>
      <c r="X59" s="44">
        <f>X8*(1-Paramètres!$B$2)</f>
        <v>2252.34</v>
      </c>
      <c r="Y59" s="44">
        <f>Y8*(1-Paramètres!$B$2)</f>
        <v>2276.59</v>
      </c>
      <c r="Z59" s="44">
        <f>Z8*(1-Paramètres!$B$2)</f>
        <v>2302.2950000000001</v>
      </c>
      <c r="AA59" s="44">
        <f>AA8*(1-Paramètres!$B$2)</f>
        <v>2327.0299999999997</v>
      </c>
      <c r="AB59" s="44">
        <f>AB8*(1-Paramètres!$B$2)</f>
        <v>2350.31</v>
      </c>
      <c r="AC59" s="44">
        <f>AC8*(1-Paramètres!$B$2)</f>
        <v>2375.0450000000001</v>
      </c>
      <c r="AD59" s="44">
        <f>AD8*(1-Paramètres!$B$2)</f>
        <v>2398.81</v>
      </c>
      <c r="AE59" s="44">
        <f>AE8*(1-Paramètres!$B$2)</f>
        <v>2423.5450000000001</v>
      </c>
      <c r="AF59" s="44">
        <f>AF8*(1-Paramètres!$B$2)</f>
        <v>2447.31</v>
      </c>
      <c r="AG59" s="44">
        <f>AG8*(1-Paramètres!$B$2)</f>
        <v>2471.0749999999998</v>
      </c>
      <c r="AH59" s="44">
        <f>AH8*(1-Paramètres!$B$2)</f>
        <v>2495.3249999999998</v>
      </c>
      <c r="AI59" s="44">
        <f>AI8*(1-Paramètres!$B$2)</f>
        <v>2520.5450000000001</v>
      </c>
      <c r="AJ59" s="44">
        <f>AJ8*(1-Paramètres!$B$2)</f>
        <v>2544.31</v>
      </c>
      <c r="AK59" s="44">
        <f>AK8*(1-Paramètres!$B$2)</f>
        <v>2568.56</v>
      </c>
    </row>
    <row r="60" spans="1:37" ht="15" customHeight="1" x14ac:dyDescent="0.25">
      <c r="A60" s="43">
        <v>1150</v>
      </c>
      <c r="B60" s="44">
        <f>B9*(1-Paramètres!$B$2)</f>
        <v>1746.97</v>
      </c>
      <c r="C60" s="44">
        <f>C9*(1-Paramètres!$B$2)</f>
        <v>1797.4099999999999</v>
      </c>
      <c r="D60" s="44">
        <f>D9*(1-Paramètres!$B$2)</f>
        <v>1823.115</v>
      </c>
      <c r="E60" s="44">
        <f>E9*(1-Paramètres!$B$2)</f>
        <v>1847.365</v>
      </c>
      <c r="F60" s="44">
        <f>F9*(1-Paramètres!$B$2)</f>
        <v>1872.585</v>
      </c>
      <c r="G60" s="44">
        <f>G9*(1-Paramètres!$B$2)</f>
        <v>1897.32</v>
      </c>
      <c r="H60" s="44">
        <f>H9*(1-Paramètres!$B$2)</f>
        <v>1922.54</v>
      </c>
      <c r="I60" s="44">
        <f>I9*(1-Paramètres!$B$2)</f>
        <v>1947.76</v>
      </c>
      <c r="J60" s="44">
        <f>J9*(1-Paramètres!$B$2)</f>
        <v>1972.01</v>
      </c>
      <c r="K60" s="44">
        <f>K9*(1-Paramètres!$B$2)</f>
        <v>1996.7449999999999</v>
      </c>
      <c r="L60" s="44">
        <f>L9*(1-Paramètres!$B$2)</f>
        <v>2022.9349999999999</v>
      </c>
      <c r="M60" s="44">
        <f>M9*(1-Paramètres!$B$2)</f>
        <v>2047.6699999999998</v>
      </c>
      <c r="N60" s="44">
        <f>N9*(1-Paramètres!$B$2)</f>
        <v>2072.4049999999997</v>
      </c>
      <c r="O60" s="44">
        <f>O9*(1-Paramètres!$B$2)</f>
        <v>2097.14</v>
      </c>
      <c r="P60" s="44">
        <f>P9*(1-Paramètres!$B$2)</f>
        <v>2120.9049999999997</v>
      </c>
      <c r="Q60" s="44">
        <f>Q9*(1-Paramètres!$B$2)</f>
        <v>2147.0949999999998</v>
      </c>
      <c r="R60" s="44">
        <f>R9*(1-Paramètres!$B$2)</f>
        <v>2173.2849999999999</v>
      </c>
      <c r="S60" s="44">
        <f>S9*(1-Paramètres!$B$2)</f>
        <v>2198.5050000000001</v>
      </c>
      <c r="T60" s="44">
        <f>T9*(1-Paramètres!$B$2)</f>
        <v>2222.7550000000001</v>
      </c>
      <c r="U60" s="44">
        <f>U9*(1-Paramètres!$B$2)</f>
        <v>2246.52</v>
      </c>
      <c r="V60" s="44">
        <f>V9*(1-Paramètres!$B$2)</f>
        <v>2271.2550000000001</v>
      </c>
      <c r="W60" s="44">
        <f>W9*(1-Paramètres!$B$2)</f>
        <v>2296.4749999999999</v>
      </c>
      <c r="X60" s="44">
        <f>X9*(1-Paramètres!$B$2)</f>
        <v>2320.7249999999999</v>
      </c>
      <c r="Y60" s="44">
        <f>Y9*(1-Paramètres!$B$2)</f>
        <v>2345.9449999999997</v>
      </c>
      <c r="Z60" s="44">
        <f>Z9*(1-Paramètres!$B$2)</f>
        <v>2371.165</v>
      </c>
      <c r="AA60" s="44">
        <f>AA9*(1-Paramètres!$B$2)</f>
        <v>2396.87</v>
      </c>
      <c r="AB60" s="44">
        <f>AB9*(1-Paramètres!$B$2)</f>
        <v>2422.09</v>
      </c>
      <c r="AC60" s="44">
        <f>AC9*(1-Paramètres!$B$2)</f>
        <v>2447.31</v>
      </c>
      <c r="AD60" s="44">
        <f>AD9*(1-Paramètres!$B$2)</f>
        <v>2471.56</v>
      </c>
      <c r="AE60" s="44">
        <f>AE9*(1-Paramètres!$B$2)</f>
        <v>2496.7799999999997</v>
      </c>
      <c r="AF60" s="44">
        <f>AF9*(1-Paramètres!$B$2)</f>
        <v>2521.5149999999999</v>
      </c>
      <c r="AG60" s="44">
        <f>AG9*(1-Paramètres!$B$2)</f>
        <v>2547.7049999999999</v>
      </c>
      <c r="AH60" s="44">
        <f>AH9*(1-Paramètres!$B$2)</f>
        <v>2571.4699999999998</v>
      </c>
      <c r="AI60" s="44">
        <f>AI9*(1-Paramètres!$B$2)</f>
        <v>2597.66</v>
      </c>
      <c r="AJ60" s="44">
        <f>AJ9*(1-Paramètres!$B$2)</f>
        <v>2622.395</v>
      </c>
      <c r="AK60" s="44">
        <f>AK9*(1-Paramètres!$B$2)</f>
        <v>2645.6749999999997</v>
      </c>
    </row>
    <row r="61" spans="1:37" ht="15" customHeight="1" x14ac:dyDescent="0.25">
      <c r="A61" s="43">
        <v>1250</v>
      </c>
      <c r="B61" s="44">
        <f>B10*(1-Paramètres!$B$2)</f>
        <v>1799.35</v>
      </c>
      <c r="C61" s="44">
        <f>C10*(1-Paramètres!$B$2)</f>
        <v>1850.76</v>
      </c>
      <c r="D61" s="44">
        <f>D10*(1-Paramètres!$B$2)</f>
        <v>1876.4649999999999</v>
      </c>
      <c r="E61" s="44">
        <f>E10*(1-Paramètres!$B$2)</f>
        <v>1901.6849999999999</v>
      </c>
      <c r="F61" s="44">
        <f>F10*(1-Paramètres!$B$2)</f>
        <v>1927.3899999999999</v>
      </c>
      <c r="G61" s="44">
        <f>G10*(1-Paramètres!$B$2)</f>
        <v>1953.095</v>
      </c>
      <c r="H61" s="44">
        <f>H10*(1-Paramètres!$B$2)</f>
        <v>1978.8</v>
      </c>
      <c r="I61" s="44">
        <f>I10*(1-Paramètres!$B$2)</f>
        <v>2004.5049999999999</v>
      </c>
      <c r="J61" s="44">
        <f>J10*(1-Paramètres!$B$2)</f>
        <v>2029.7249999999999</v>
      </c>
      <c r="K61" s="44">
        <f>K10*(1-Paramètres!$B$2)</f>
        <v>2055.4299999999998</v>
      </c>
      <c r="L61" s="44">
        <f>L10*(1-Paramètres!$B$2)</f>
        <v>2082.59</v>
      </c>
      <c r="M61" s="44">
        <f>M10*(1-Paramètres!$B$2)</f>
        <v>2107.3249999999998</v>
      </c>
      <c r="N61" s="44">
        <f>N10*(1-Paramètres!$B$2)</f>
        <v>2133.0299999999997</v>
      </c>
      <c r="O61" s="44">
        <f>O10*(1-Paramètres!$B$2)</f>
        <v>2158.25</v>
      </c>
      <c r="P61" s="44">
        <f>P10*(1-Paramètres!$B$2)</f>
        <v>2183.9549999999999</v>
      </c>
      <c r="Q61" s="44">
        <f>Q10*(1-Paramètres!$B$2)</f>
        <v>2210.145</v>
      </c>
      <c r="R61" s="44">
        <f>R10*(1-Paramètres!$B$2)</f>
        <v>2235.85</v>
      </c>
      <c r="S61" s="44">
        <f>S10*(1-Paramètres!$B$2)</f>
        <v>2261.5549999999998</v>
      </c>
      <c r="T61" s="44">
        <f>T10*(1-Paramètres!$B$2)</f>
        <v>2287.2599999999998</v>
      </c>
      <c r="U61" s="44">
        <f>U10*(1-Paramètres!$B$2)</f>
        <v>2312.48</v>
      </c>
      <c r="V61" s="44">
        <f>V10*(1-Paramètres!$B$2)</f>
        <v>2338.67</v>
      </c>
      <c r="W61" s="44">
        <f>W10*(1-Paramètres!$B$2)</f>
        <v>2365.3449999999998</v>
      </c>
      <c r="X61" s="44">
        <f>X10*(1-Paramètres!$B$2)</f>
        <v>2390.08</v>
      </c>
      <c r="Y61" s="44">
        <f>Y10*(1-Paramètres!$B$2)</f>
        <v>2416.27</v>
      </c>
      <c r="Z61" s="44">
        <f>Z10*(1-Paramètres!$B$2)</f>
        <v>2441.4899999999998</v>
      </c>
      <c r="AA61" s="44">
        <f>AA10*(1-Paramètres!$B$2)</f>
        <v>2467.6799999999998</v>
      </c>
      <c r="AB61" s="44">
        <f>AB10*(1-Paramètres!$B$2)</f>
        <v>2492.9</v>
      </c>
      <c r="AC61" s="44">
        <f>AC10*(1-Paramètres!$B$2)</f>
        <v>2519.09</v>
      </c>
      <c r="AD61" s="44">
        <f>AD10*(1-Paramètres!$B$2)</f>
        <v>2544.31</v>
      </c>
      <c r="AE61" s="44">
        <f>AE10*(1-Paramètres!$B$2)</f>
        <v>2570.0149999999999</v>
      </c>
      <c r="AF61" s="44">
        <f>AF10*(1-Paramètres!$B$2)</f>
        <v>2595.2350000000001</v>
      </c>
      <c r="AG61" s="44">
        <f>AG10*(1-Paramètres!$B$2)</f>
        <v>2620.4549999999999</v>
      </c>
      <c r="AH61" s="44">
        <f>AH10*(1-Paramètres!$B$2)</f>
        <v>2647.6149999999998</v>
      </c>
      <c r="AI61" s="44">
        <f>AI10*(1-Paramètres!$B$2)</f>
        <v>2672.835</v>
      </c>
      <c r="AJ61" s="44">
        <f>AJ10*(1-Paramètres!$B$2)</f>
        <v>2698.54</v>
      </c>
      <c r="AK61" s="44">
        <f>AK10*(1-Paramètres!$B$2)</f>
        <v>2723.7599999999998</v>
      </c>
    </row>
    <row r="62" spans="1:37" ht="15" customHeight="1" x14ac:dyDescent="0.25">
      <c r="A62" s="43">
        <v>1350</v>
      </c>
      <c r="B62" s="44">
        <f>B11*(1-Paramètres!$B$2)</f>
        <v>1850.76</v>
      </c>
      <c r="C62" s="44">
        <f>C11*(1-Paramètres!$B$2)</f>
        <v>1902.655</v>
      </c>
      <c r="D62" s="44">
        <f>D11*(1-Paramètres!$B$2)</f>
        <v>1930.7849999999999</v>
      </c>
      <c r="E62" s="44">
        <f>E11*(1-Paramètres!$B$2)</f>
        <v>1956.9749999999999</v>
      </c>
      <c r="F62" s="44">
        <f>F11*(1-Paramètres!$B$2)</f>
        <v>1983.6499999999999</v>
      </c>
      <c r="G62" s="44">
        <f>G11*(1-Paramètres!$B$2)</f>
        <v>2008.87</v>
      </c>
      <c r="H62" s="44">
        <f>H11*(1-Paramètres!$B$2)</f>
        <v>2035.06</v>
      </c>
      <c r="I62" s="44">
        <f>I11*(1-Paramètres!$B$2)</f>
        <v>2062.2199999999998</v>
      </c>
      <c r="J62" s="44">
        <f>J11*(1-Paramètres!$B$2)</f>
        <v>2087.44</v>
      </c>
      <c r="K62" s="44">
        <f>K11*(1-Paramètres!$B$2)</f>
        <v>2113.63</v>
      </c>
      <c r="L62" s="44">
        <f>L11*(1-Paramètres!$B$2)</f>
        <v>2140.3049999999998</v>
      </c>
      <c r="M62" s="44">
        <f>M11*(1-Paramètres!$B$2)</f>
        <v>2166.4949999999999</v>
      </c>
      <c r="N62" s="44">
        <f>N11*(1-Paramètres!$B$2)</f>
        <v>2192.1999999999998</v>
      </c>
      <c r="O62" s="44">
        <f>O11*(1-Paramètres!$B$2)</f>
        <v>2218.875</v>
      </c>
      <c r="P62" s="44">
        <f>P11*(1-Paramètres!$B$2)</f>
        <v>2245.5499999999997</v>
      </c>
      <c r="Q62" s="44">
        <f>Q11*(1-Paramètres!$B$2)</f>
        <v>2271.7399999999998</v>
      </c>
      <c r="R62" s="44">
        <f>R11*(1-Paramètres!$B$2)</f>
        <v>2297.9299999999998</v>
      </c>
      <c r="S62" s="44">
        <f>S11*(1-Paramètres!$B$2)</f>
        <v>2324.605</v>
      </c>
      <c r="T62" s="44">
        <f>T11*(1-Paramètres!$B$2)</f>
        <v>2354.19</v>
      </c>
      <c r="U62" s="44">
        <f>U11*(1-Paramètres!$B$2)</f>
        <v>2379.895</v>
      </c>
      <c r="V62" s="44">
        <f>V11*(1-Paramètres!$B$2)</f>
        <v>2406.085</v>
      </c>
      <c r="W62" s="44">
        <f>W11*(1-Paramètres!$B$2)</f>
        <v>2431.79</v>
      </c>
      <c r="X62" s="44">
        <f>X11*(1-Paramètres!$B$2)</f>
        <v>2458.9499999999998</v>
      </c>
      <c r="Y62" s="44">
        <f>Y11*(1-Paramètres!$B$2)</f>
        <v>2485.625</v>
      </c>
      <c r="Z62" s="44">
        <f>Z11*(1-Paramètres!$B$2)</f>
        <v>2511.8150000000001</v>
      </c>
      <c r="AA62" s="44">
        <f>AA11*(1-Paramètres!$B$2)</f>
        <v>2538.4899999999998</v>
      </c>
      <c r="AB62" s="44">
        <f>AB11*(1-Paramètres!$B$2)</f>
        <v>2564.6799999999998</v>
      </c>
      <c r="AC62" s="44">
        <f>AC11*(1-Paramètres!$B$2)</f>
        <v>2591.355</v>
      </c>
      <c r="AD62" s="44">
        <f>AD11*(1-Paramètres!$B$2)</f>
        <v>2619</v>
      </c>
      <c r="AE62" s="44">
        <f>AE11*(1-Paramètres!$B$2)</f>
        <v>2645.19</v>
      </c>
      <c r="AF62" s="44">
        <f>AF11*(1-Paramètres!$B$2)</f>
        <v>2672.35</v>
      </c>
      <c r="AG62" s="44">
        <f>AG11*(1-Paramètres!$B$2)</f>
        <v>2698.0549999999998</v>
      </c>
      <c r="AH62" s="44">
        <f>AH11*(1-Paramètres!$B$2)</f>
        <v>2724.2449999999999</v>
      </c>
      <c r="AI62" s="44">
        <f>AI11*(1-Paramètres!$B$2)</f>
        <v>2750.92</v>
      </c>
      <c r="AJ62" s="44">
        <f>AJ11*(1-Paramètres!$B$2)</f>
        <v>2776.625</v>
      </c>
      <c r="AK62" s="44">
        <f>AK11*(1-Paramètres!$B$2)</f>
        <v>2803.2999999999997</v>
      </c>
    </row>
    <row r="63" spans="1:37" ht="15" customHeight="1" x14ac:dyDescent="0.25">
      <c r="A63" s="43">
        <v>1450</v>
      </c>
      <c r="B63" s="44">
        <f>B12*(1-Paramètres!$B$2)</f>
        <v>1901.6849999999999</v>
      </c>
      <c r="C63" s="44">
        <f>C12*(1-Paramètres!$B$2)</f>
        <v>1956.9749999999999</v>
      </c>
      <c r="D63" s="44">
        <f>D12*(1-Paramètres!$B$2)</f>
        <v>1984.135</v>
      </c>
      <c r="E63" s="44">
        <f>E12*(1-Paramètres!$B$2)</f>
        <v>2010.81</v>
      </c>
      <c r="F63" s="44">
        <f>F12*(1-Paramètres!$B$2)</f>
        <v>2037.4849999999999</v>
      </c>
      <c r="G63" s="44">
        <f>G12*(1-Paramètres!$B$2)</f>
        <v>2065.13</v>
      </c>
      <c r="H63" s="44">
        <f>H12*(1-Paramètres!$B$2)</f>
        <v>2091.8049999999998</v>
      </c>
      <c r="I63" s="44">
        <f>I12*(1-Paramètres!$B$2)</f>
        <v>2118.48</v>
      </c>
      <c r="J63" s="44">
        <f>J12*(1-Paramètres!$B$2)</f>
        <v>2146.61</v>
      </c>
      <c r="K63" s="44">
        <f>K12*(1-Paramètres!$B$2)</f>
        <v>2174.2550000000001</v>
      </c>
      <c r="L63" s="44">
        <f>L12*(1-Paramètres!$B$2)</f>
        <v>2200.4450000000002</v>
      </c>
      <c r="M63" s="44">
        <f>M12*(1-Paramètres!$B$2)</f>
        <v>2227.605</v>
      </c>
      <c r="N63" s="44">
        <f>N12*(1-Paramètres!$B$2)</f>
        <v>2255.7350000000001</v>
      </c>
      <c r="O63" s="44">
        <f>O12*(1-Paramètres!$B$2)</f>
        <v>2281.9249999999997</v>
      </c>
      <c r="P63" s="44">
        <f>P12*(1-Paramètres!$B$2)</f>
        <v>2309.5700000000002</v>
      </c>
      <c r="Q63" s="44">
        <f>Q12*(1-Paramètres!$B$2)</f>
        <v>2336.2449999999999</v>
      </c>
      <c r="R63" s="44">
        <f>R12*(1-Paramètres!$B$2)</f>
        <v>2364.86</v>
      </c>
      <c r="S63" s="44">
        <f>S12*(1-Paramètres!$B$2)</f>
        <v>2390.5650000000001</v>
      </c>
      <c r="T63" s="44">
        <f>T12*(1-Paramètres!$B$2)</f>
        <v>2417.7249999999999</v>
      </c>
      <c r="U63" s="44">
        <f>U12*(1-Paramètres!$B$2)</f>
        <v>2445.855</v>
      </c>
      <c r="V63" s="44">
        <f>V12*(1-Paramètres!$B$2)</f>
        <v>2472.5299999999997</v>
      </c>
      <c r="W63" s="44">
        <f>W12*(1-Paramètres!$B$2)</f>
        <v>2500.1749999999997</v>
      </c>
      <c r="X63" s="44">
        <f>X12*(1-Paramètres!$B$2)</f>
        <v>2526.85</v>
      </c>
      <c r="Y63" s="44">
        <f>Y12*(1-Paramètres!$B$2)</f>
        <v>2554.0099999999998</v>
      </c>
      <c r="Z63" s="44">
        <f>Z12*(1-Paramètres!$B$2)</f>
        <v>2581.6549999999997</v>
      </c>
      <c r="AA63" s="44">
        <f>AA12*(1-Paramètres!$B$2)</f>
        <v>2607.8449999999998</v>
      </c>
      <c r="AB63" s="44">
        <f>AB12*(1-Paramètres!$B$2)</f>
        <v>2635.0050000000001</v>
      </c>
      <c r="AC63" s="44">
        <f>AC12*(1-Paramètres!$B$2)</f>
        <v>2662.65</v>
      </c>
      <c r="AD63" s="44">
        <f>AD12*(1-Paramètres!$B$2)</f>
        <v>2690.7799999999997</v>
      </c>
      <c r="AE63" s="44">
        <f>AE12*(1-Paramètres!$B$2)</f>
        <v>2717.4549999999999</v>
      </c>
      <c r="AF63" s="44">
        <f>AF12*(1-Paramètres!$B$2)</f>
        <v>2744.6149999999998</v>
      </c>
      <c r="AG63" s="44">
        <f>AG12*(1-Paramètres!$B$2)</f>
        <v>2771.7750000000001</v>
      </c>
      <c r="AH63" s="44">
        <f>AH12*(1-Paramètres!$B$2)</f>
        <v>2798.9349999999999</v>
      </c>
      <c r="AI63" s="44">
        <f>AI12*(1-Paramètres!$B$2)</f>
        <v>2826.58</v>
      </c>
      <c r="AJ63" s="44">
        <f>AJ12*(1-Paramètres!$B$2)</f>
        <v>2854.2249999999999</v>
      </c>
      <c r="AK63" s="44">
        <f>AK12*(1-Paramètres!$B$2)</f>
        <v>2881.3849999999998</v>
      </c>
    </row>
    <row r="64" spans="1:37" ht="15" customHeight="1" x14ac:dyDescent="0.25">
      <c r="A64" s="43">
        <v>1550</v>
      </c>
      <c r="B64" s="44">
        <f>B13*(1-Paramètres!$B$2)</f>
        <v>1953.095</v>
      </c>
      <c r="C64" s="44">
        <f>C13*(1-Paramètres!$B$2)</f>
        <v>2008.385</v>
      </c>
      <c r="D64" s="44">
        <f>D13*(1-Paramètres!$B$2)</f>
        <v>2036.5149999999999</v>
      </c>
      <c r="E64" s="44">
        <f>E13*(1-Paramètres!$B$2)</f>
        <v>2063.19</v>
      </c>
      <c r="F64" s="44">
        <f>F13*(1-Paramètres!$B$2)</f>
        <v>2092.7750000000001</v>
      </c>
      <c r="G64" s="44">
        <f>G13*(1-Paramètres!$B$2)</f>
        <v>2119.9349999999999</v>
      </c>
      <c r="H64" s="44">
        <f>H13*(1-Paramètres!$B$2)</f>
        <v>2148.5499999999997</v>
      </c>
      <c r="I64" s="44">
        <f>I13*(1-Paramètres!$B$2)</f>
        <v>2176.6799999999998</v>
      </c>
      <c r="J64" s="44">
        <f>J13*(1-Paramètres!$B$2)</f>
        <v>2203.84</v>
      </c>
      <c r="K64" s="44">
        <f>K13*(1-Paramètres!$B$2)</f>
        <v>2231.9699999999998</v>
      </c>
      <c r="L64" s="44">
        <f>L13*(1-Paramètres!$B$2)</f>
        <v>2260.1</v>
      </c>
      <c r="M64" s="44">
        <f>M13*(1-Paramètres!$B$2)</f>
        <v>2287.7449999999999</v>
      </c>
      <c r="N64" s="44">
        <f>N13*(1-Paramètres!$B$2)</f>
        <v>2315.39</v>
      </c>
      <c r="O64" s="44">
        <f>O13*(1-Paramètres!$B$2)</f>
        <v>2343.52</v>
      </c>
      <c r="P64" s="44">
        <f>P13*(1-Paramètres!$B$2)</f>
        <v>2370.6799999999998</v>
      </c>
      <c r="Q64" s="44">
        <f>Q13*(1-Paramètres!$B$2)</f>
        <v>2399.2950000000001</v>
      </c>
      <c r="R64" s="44">
        <f>R13*(1-Paramètres!$B$2)</f>
        <v>2427.91</v>
      </c>
      <c r="S64" s="44">
        <f>S13*(1-Paramètres!$B$2)</f>
        <v>2455.0699999999997</v>
      </c>
      <c r="T64" s="44">
        <f>T13*(1-Paramètres!$B$2)</f>
        <v>2483.1999999999998</v>
      </c>
      <c r="U64" s="44">
        <f>U13*(1-Paramètres!$B$2)</f>
        <v>2511.33</v>
      </c>
      <c r="V64" s="44">
        <f>V13*(1-Paramètres!$B$2)</f>
        <v>2539.9449999999997</v>
      </c>
      <c r="W64" s="44">
        <f>W13*(1-Paramètres!$B$2)</f>
        <v>2567.59</v>
      </c>
      <c r="X64" s="44">
        <f>X13*(1-Paramètres!$B$2)</f>
        <v>2596.2049999999999</v>
      </c>
      <c r="Y64" s="44">
        <f>Y13*(1-Paramètres!$B$2)</f>
        <v>2623.85</v>
      </c>
      <c r="Z64" s="44">
        <f>Z13*(1-Paramètres!$B$2)</f>
        <v>2651.4949999999999</v>
      </c>
      <c r="AA64" s="44">
        <f>AA13*(1-Paramètres!$B$2)</f>
        <v>2679.625</v>
      </c>
      <c r="AB64" s="44">
        <f>AB13*(1-Paramètres!$B$2)</f>
        <v>2707.7550000000001</v>
      </c>
      <c r="AC64" s="44">
        <f>AC13*(1-Paramètres!$B$2)</f>
        <v>2734.43</v>
      </c>
      <c r="AD64" s="44">
        <f>AD13*(1-Paramètres!$B$2)</f>
        <v>2762.56</v>
      </c>
      <c r="AE64" s="44">
        <f>AE13*(1-Paramètres!$B$2)</f>
        <v>2791.1749999999997</v>
      </c>
      <c r="AF64" s="44">
        <f>AF13*(1-Paramètres!$B$2)</f>
        <v>2818.8199999999997</v>
      </c>
      <c r="AG64" s="44">
        <f>AG13*(1-Paramètres!$B$2)</f>
        <v>2845.98</v>
      </c>
      <c r="AH64" s="44">
        <f>AH13*(1-Paramètres!$B$2)</f>
        <v>2875.08</v>
      </c>
      <c r="AI64" s="44">
        <f>AI13*(1-Paramètres!$B$2)</f>
        <v>2903.6949999999997</v>
      </c>
      <c r="AJ64" s="44">
        <f>AJ13*(1-Paramètres!$B$2)</f>
        <v>2931.8249999999998</v>
      </c>
      <c r="AK64" s="44">
        <f>AK13*(1-Paramètres!$B$2)</f>
        <v>2958.9850000000001</v>
      </c>
    </row>
    <row r="65" spans="1:37" ht="15" customHeight="1" x14ac:dyDescent="0.25">
      <c r="A65" s="43">
        <v>1650</v>
      </c>
      <c r="B65" s="44">
        <f>B14*(1-Paramètres!$B$2)</f>
        <v>2004.02</v>
      </c>
      <c r="C65" s="44">
        <f>C14*(1-Paramètres!$B$2)</f>
        <v>2062.7049999999999</v>
      </c>
      <c r="D65" s="44">
        <f>D14*(1-Paramètres!$B$2)</f>
        <v>2089.8649999999998</v>
      </c>
      <c r="E65" s="44">
        <f>E14*(1-Paramètres!$B$2)</f>
        <v>2118.48</v>
      </c>
      <c r="F65" s="44">
        <f>F14*(1-Paramètres!$B$2)</f>
        <v>2148.0650000000001</v>
      </c>
      <c r="G65" s="44">
        <f>G14*(1-Paramètres!$B$2)</f>
        <v>2176.6799999999998</v>
      </c>
      <c r="H65" s="44">
        <f>H14*(1-Paramètres!$B$2)</f>
        <v>2204.3249999999998</v>
      </c>
      <c r="I65" s="44">
        <f>I14*(1-Paramètres!$B$2)</f>
        <v>2234.395</v>
      </c>
      <c r="J65" s="44">
        <f>J14*(1-Paramètres!$B$2)</f>
        <v>2261.5549999999998</v>
      </c>
      <c r="K65" s="44">
        <f>K14*(1-Paramètres!$B$2)</f>
        <v>2290.17</v>
      </c>
      <c r="L65" s="44">
        <f>L14*(1-Paramètres!$B$2)</f>
        <v>2318.7849999999999</v>
      </c>
      <c r="M65" s="44">
        <f>M14*(1-Paramètres!$B$2)</f>
        <v>2348.37</v>
      </c>
      <c r="N65" s="44">
        <f>N14*(1-Paramètres!$B$2)</f>
        <v>2376.9850000000001</v>
      </c>
      <c r="O65" s="44">
        <f>O14*(1-Paramètres!$B$2)</f>
        <v>2406.085</v>
      </c>
      <c r="P65" s="44">
        <f>P14*(1-Paramètres!$B$2)</f>
        <v>2434.6999999999998</v>
      </c>
      <c r="Q65" s="44">
        <f>Q14*(1-Paramètres!$B$2)</f>
        <v>2463.3150000000001</v>
      </c>
      <c r="R65" s="44">
        <f>R14*(1-Paramètres!$B$2)</f>
        <v>2491.4449999999997</v>
      </c>
      <c r="S65" s="44">
        <f>S14*(1-Paramètres!$B$2)</f>
        <v>2520.5450000000001</v>
      </c>
      <c r="T65" s="44">
        <f>T14*(1-Paramètres!$B$2)</f>
        <v>2548.6749999999997</v>
      </c>
      <c r="U65" s="44">
        <f>U14*(1-Paramètres!$B$2)</f>
        <v>2577.7750000000001</v>
      </c>
      <c r="V65" s="44">
        <f>V14*(1-Paramètres!$B$2)</f>
        <v>2606.39</v>
      </c>
      <c r="W65" s="44">
        <f>W14*(1-Paramètres!$B$2)</f>
        <v>2634.0349999999999</v>
      </c>
      <c r="X65" s="44">
        <f>X14*(1-Paramètres!$B$2)</f>
        <v>2664.59</v>
      </c>
      <c r="Y65" s="44">
        <f>Y14*(1-Paramètres!$B$2)</f>
        <v>2692.72</v>
      </c>
      <c r="Z65" s="44">
        <f>Z14*(1-Paramètres!$B$2)</f>
        <v>2720.3649999999998</v>
      </c>
      <c r="AA65" s="44">
        <f>AA14*(1-Paramètres!$B$2)</f>
        <v>2750.4349999999999</v>
      </c>
      <c r="AB65" s="44">
        <f>AB14*(1-Paramètres!$B$2)</f>
        <v>2778.08</v>
      </c>
      <c r="AC65" s="44">
        <f>AC14*(1-Paramètres!$B$2)</f>
        <v>2806.21</v>
      </c>
      <c r="AD65" s="44">
        <f>AD14*(1-Paramètres!$B$2)</f>
        <v>2834.8249999999998</v>
      </c>
      <c r="AE65" s="44">
        <f>AE14*(1-Paramètres!$B$2)</f>
        <v>2863.9249999999997</v>
      </c>
      <c r="AF65" s="44">
        <f>AF14*(1-Paramètres!$B$2)</f>
        <v>2892.0549999999998</v>
      </c>
      <c r="AG65" s="44">
        <f>AG14*(1-Paramètres!$B$2)</f>
        <v>2921.64</v>
      </c>
      <c r="AH65" s="44">
        <f>AH14*(1-Paramètres!$B$2)</f>
        <v>2950.2550000000001</v>
      </c>
      <c r="AI65" s="44">
        <f>AI14*(1-Paramètres!$B$2)</f>
        <v>2978.87</v>
      </c>
      <c r="AJ65" s="44">
        <f>AJ14*(1-Paramètres!$B$2)</f>
        <v>3007.4850000000001</v>
      </c>
      <c r="AK65" s="44">
        <f>AK14*(1-Paramètres!$B$2)</f>
        <v>3036.1</v>
      </c>
    </row>
    <row r="66" spans="1:37" ht="15" customHeight="1" x14ac:dyDescent="0.25">
      <c r="A66" s="43">
        <v>1750</v>
      </c>
      <c r="B66" s="44">
        <f>B15*(1-Paramètres!$B$2)</f>
        <v>2054.9450000000002</v>
      </c>
      <c r="C66" s="44">
        <f>C15*(1-Paramètres!$B$2)</f>
        <v>2114.1149999999998</v>
      </c>
      <c r="D66" s="44">
        <f>D15*(1-Paramètres!$B$2)</f>
        <v>2145.1549999999997</v>
      </c>
      <c r="E66" s="44">
        <f>E15*(1-Paramètres!$B$2)</f>
        <v>2173.77</v>
      </c>
      <c r="F66" s="44">
        <f>F15*(1-Paramètres!$B$2)</f>
        <v>2202.3849999999998</v>
      </c>
      <c r="G66" s="44">
        <f>G15*(1-Paramètres!$B$2)</f>
        <v>2231.9699999999998</v>
      </c>
      <c r="H66" s="44">
        <f>H15*(1-Paramètres!$B$2)</f>
        <v>2261.0700000000002</v>
      </c>
      <c r="I66" s="44">
        <f>I15*(1-Paramètres!$B$2)</f>
        <v>2290.17</v>
      </c>
      <c r="J66" s="44">
        <f>J15*(1-Paramètres!$B$2)</f>
        <v>2319.27</v>
      </c>
      <c r="K66" s="44">
        <f>K15*(1-Paramètres!$B$2)</f>
        <v>2349.34</v>
      </c>
      <c r="L66" s="44">
        <f>L15*(1-Paramètres!$B$2)</f>
        <v>2378.44</v>
      </c>
      <c r="M66" s="44">
        <f>M15*(1-Paramètres!$B$2)</f>
        <v>2408.0250000000001</v>
      </c>
      <c r="N66" s="44">
        <f>N15*(1-Paramètres!$B$2)</f>
        <v>2438.0949999999998</v>
      </c>
      <c r="O66" s="44">
        <f>O15*(1-Paramètres!$B$2)</f>
        <v>2467.6799999999998</v>
      </c>
      <c r="P66" s="44">
        <f>P15*(1-Paramètres!$B$2)</f>
        <v>2496.2950000000001</v>
      </c>
      <c r="Q66" s="44">
        <f>Q15*(1-Paramètres!$B$2)</f>
        <v>2526.3649999999998</v>
      </c>
      <c r="R66" s="44">
        <f>R15*(1-Paramètres!$B$2)</f>
        <v>2554.98</v>
      </c>
      <c r="S66" s="44">
        <f>S15*(1-Paramètres!$B$2)</f>
        <v>2584.5650000000001</v>
      </c>
      <c r="T66" s="44">
        <f>T15*(1-Paramètres!$B$2)</f>
        <v>2613.665</v>
      </c>
      <c r="U66" s="44">
        <f>U15*(1-Paramètres!$B$2)</f>
        <v>2643.7350000000001</v>
      </c>
      <c r="V66" s="44">
        <f>V15*(1-Paramètres!$B$2)</f>
        <v>2672.35</v>
      </c>
      <c r="W66" s="44">
        <f>W15*(1-Paramètres!$B$2)</f>
        <v>2701.9349999999999</v>
      </c>
      <c r="X66" s="44">
        <f>X15*(1-Paramètres!$B$2)</f>
        <v>2732.0050000000001</v>
      </c>
      <c r="Y66" s="44">
        <f>Y15*(1-Paramètres!$B$2)</f>
        <v>2760.62</v>
      </c>
      <c r="Z66" s="44">
        <f>Z15*(1-Paramètres!$B$2)</f>
        <v>2790.69</v>
      </c>
      <c r="AA66" s="44">
        <f>AA15*(1-Paramètres!$B$2)</f>
        <v>2819.79</v>
      </c>
      <c r="AB66" s="44">
        <f>AB15*(1-Paramètres!$B$2)</f>
        <v>2849.375</v>
      </c>
      <c r="AC66" s="44">
        <f>AC15*(1-Paramètres!$B$2)</f>
        <v>2879.4449999999997</v>
      </c>
      <c r="AD66" s="44">
        <f>AD15*(1-Paramètres!$B$2)</f>
        <v>2907.5749999999998</v>
      </c>
      <c r="AE66" s="44">
        <f>AE15*(1-Paramètres!$B$2)</f>
        <v>2938.13</v>
      </c>
      <c r="AF66" s="44">
        <f>AF15*(1-Paramètres!$B$2)</f>
        <v>2967.23</v>
      </c>
      <c r="AG66" s="44">
        <f>AG15*(1-Paramètres!$B$2)</f>
        <v>2995.8449999999998</v>
      </c>
      <c r="AH66" s="44">
        <f>AH15*(1-Paramètres!$B$2)</f>
        <v>3025.915</v>
      </c>
      <c r="AI66" s="44">
        <f>AI15*(1-Paramètres!$B$2)</f>
        <v>3055.5</v>
      </c>
      <c r="AJ66" s="44">
        <f>AJ15*(1-Paramètres!$B$2)</f>
        <v>3085.085</v>
      </c>
      <c r="AK66" s="44">
        <f>AK15*(1-Paramètres!$B$2)</f>
        <v>3114.67</v>
      </c>
    </row>
    <row r="67" spans="1:37" ht="15" customHeight="1" x14ac:dyDescent="0.25">
      <c r="A67" s="43">
        <v>1850</v>
      </c>
      <c r="B67" s="44">
        <f>B16*(1-Paramètres!$B$2)</f>
        <v>2106.84</v>
      </c>
      <c r="C67" s="44">
        <f>C16*(1-Paramètres!$B$2)</f>
        <v>2167.4650000000001</v>
      </c>
      <c r="D67" s="44">
        <f>D16*(1-Paramètres!$B$2)</f>
        <v>2198.5050000000001</v>
      </c>
      <c r="E67" s="44">
        <f>E16*(1-Paramètres!$B$2)</f>
        <v>2227.12</v>
      </c>
      <c r="F67" s="44">
        <f>F16*(1-Paramètres!$B$2)</f>
        <v>2257.19</v>
      </c>
      <c r="G67" s="44">
        <f>G16*(1-Paramètres!$B$2)</f>
        <v>2286.29</v>
      </c>
      <c r="H67" s="44">
        <f>H16*(1-Paramètres!$B$2)</f>
        <v>2317.33</v>
      </c>
      <c r="I67" s="44">
        <f>I16*(1-Paramètres!$B$2)</f>
        <v>2348.37</v>
      </c>
      <c r="J67" s="44">
        <f>J16*(1-Paramètres!$B$2)</f>
        <v>2376.9850000000001</v>
      </c>
      <c r="K67" s="44">
        <f>K16*(1-Paramètres!$B$2)</f>
        <v>2407.54</v>
      </c>
      <c r="L67" s="44">
        <f>L16*(1-Paramètres!$B$2)</f>
        <v>2437.61</v>
      </c>
      <c r="M67" s="44">
        <f>M16*(1-Paramètres!$B$2)</f>
        <v>2468.165</v>
      </c>
      <c r="N67" s="44">
        <f>N16*(1-Paramètres!$B$2)</f>
        <v>2498.7199999999998</v>
      </c>
      <c r="O67" s="44">
        <f>O16*(1-Paramètres!$B$2)</f>
        <v>2529.2750000000001</v>
      </c>
      <c r="P67" s="44">
        <f>P16*(1-Paramètres!$B$2)</f>
        <v>2559.3449999999998</v>
      </c>
      <c r="Q67" s="44">
        <f>Q16*(1-Paramètres!$B$2)</f>
        <v>2588.9299999999998</v>
      </c>
      <c r="R67" s="44">
        <f>R16*(1-Paramètres!$B$2)</f>
        <v>2619</v>
      </c>
      <c r="S67" s="44">
        <f>S16*(1-Paramètres!$B$2)</f>
        <v>2649.5549999999998</v>
      </c>
      <c r="T67" s="44">
        <f>T16*(1-Paramètres!$B$2)</f>
        <v>2679.625</v>
      </c>
      <c r="U67" s="44">
        <f>U16*(1-Paramètres!$B$2)</f>
        <v>2710.18</v>
      </c>
      <c r="V67" s="44">
        <f>V16*(1-Paramètres!$B$2)</f>
        <v>2739.7649999999999</v>
      </c>
      <c r="W67" s="44">
        <f>W16*(1-Paramètres!$B$2)</f>
        <v>2770.8049999999998</v>
      </c>
      <c r="X67" s="44">
        <f>X16*(1-Paramètres!$B$2)</f>
        <v>2800.39</v>
      </c>
      <c r="Y67" s="44">
        <f>Y16*(1-Paramètres!$B$2)</f>
        <v>2831.43</v>
      </c>
      <c r="Z67" s="44">
        <f>Z16*(1-Paramètres!$B$2)</f>
        <v>2860.5299999999997</v>
      </c>
      <c r="AA67" s="44">
        <f>AA16*(1-Paramètres!$B$2)</f>
        <v>2890.1149999999998</v>
      </c>
      <c r="AB67" s="44">
        <f>AB16*(1-Paramètres!$B$2)</f>
        <v>2921.64</v>
      </c>
      <c r="AC67" s="44">
        <f>AC16*(1-Paramètres!$B$2)</f>
        <v>2951.71</v>
      </c>
      <c r="AD67" s="44">
        <f>AD16*(1-Paramètres!$B$2)</f>
        <v>2983.2350000000001</v>
      </c>
      <c r="AE67" s="44">
        <f>AE16*(1-Paramètres!$B$2)</f>
        <v>3011.85</v>
      </c>
      <c r="AF67" s="44">
        <f>AF16*(1-Paramètres!$B$2)</f>
        <v>3041.92</v>
      </c>
      <c r="AG67" s="44">
        <f>AG16*(1-Paramètres!$B$2)</f>
        <v>3071.99</v>
      </c>
      <c r="AH67" s="44">
        <f>AH16*(1-Paramètres!$B$2)</f>
        <v>3102.5450000000001</v>
      </c>
      <c r="AI67" s="44">
        <f>AI16*(1-Paramètres!$B$2)</f>
        <v>3132.6149999999998</v>
      </c>
      <c r="AJ67" s="44">
        <f>AJ16*(1-Paramètres!$B$2)</f>
        <v>3161.23</v>
      </c>
      <c r="AK67" s="44">
        <f>AK16*(1-Paramètres!$B$2)</f>
        <v>3191.2999999999997</v>
      </c>
    </row>
    <row r="68" spans="1:37" ht="15" customHeight="1" x14ac:dyDescent="0.25">
      <c r="A68" s="43">
        <v>1950</v>
      </c>
      <c r="B68" s="44">
        <f>B17*(1-Paramètres!$B$2)</f>
        <v>2157.7649999999999</v>
      </c>
      <c r="C68" s="44">
        <f>C17*(1-Paramètres!$B$2)</f>
        <v>2220.8150000000001</v>
      </c>
      <c r="D68" s="44">
        <f>D17*(1-Paramètres!$B$2)</f>
        <v>2250.8849999999998</v>
      </c>
      <c r="E68" s="44">
        <f>E17*(1-Paramètres!$B$2)</f>
        <v>2281.44</v>
      </c>
      <c r="F68" s="44">
        <f>F17*(1-Paramètres!$B$2)</f>
        <v>2312.48</v>
      </c>
      <c r="G68" s="44">
        <f>G17*(1-Paramètres!$B$2)</f>
        <v>2343.52</v>
      </c>
      <c r="H68" s="44">
        <f>H17*(1-Paramètres!$B$2)</f>
        <v>2374.56</v>
      </c>
      <c r="I68" s="44">
        <f>I17*(1-Paramètres!$B$2)</f>
        <v>2406.085</v>
      </c>
      <c r="J68" s="44">
        <f>J17*(1-Paramètres!$B$2)</f>
        <v>2437.125</v>
      </c>
      <c r="K68" s="44">
        <f>K17*(1-Paramètres!$B$2)</f>
        <v>2467.6799999999998</v>
      </c>
      <c r="L68" s="44">
        <f>L17*(1-Paramètres!$B$2)</f>
        <v>2498.7199999999998</v>
      </c>
      <c r="M68" s="44">
        <f>M17*(1-Paramètres!$B$2)</f>
        <v>2528.3049999999998</v>
      </c>
      <c r="N68" s="44">
        <f>N17*(1-Paramètres!$B$2)</f>
        <v>2560.7999999999997</v>
      </c>
      <c r="O68" s="44">
        <f>O17*(1-Paramètres!$B$2)</f>
        <v>2589.9</v>
      </c>
      <c r="P68" s="44">
        <f>P17*(1-Paramètres!$B$2)</f>
        <v>2620.94</v>
      </c>
      <c r="Q68" s="44">
        <f>Q17*(1-Paramètres!$B$2)</f>
        <v>2652.4650000000001</v>
      </c>
      <c r="R68" s="44">
        <f>R17*(1-Paramètres!$B$2)</f>
        <v>2683.02</v>
      </c>
      <c r="S68" s="44">
        <f>S17*(1-Paramètres!$B$2)</f>
        <v>2713.5749999999998</v>
      </c>
      <c r="T68" s="44">
        <f>T17*(1-Paramètres!$B$2)</f>
        <v>2745.1</v>
      </c>
      <c r="U68" s="44">
        <f>U17*(1-Paramètres!$B$2)</f>
        <v>2776.14</v>
      </c>
      <c r="V68" s="44">
        <f>V17*(1-Paramètres!$B$2)</f>
        <v>2806.21</v>
      </c>
      <c r="W68" s="44">
        <f>W17*(1-Paramètres!$B$2)</f>
        <v>2836.7649999999999</v>
      </c>
      <c r="X68" s="44">
        <f>X17*(1-Paramètres!$B$2)</f>
        <v>2867.8049999999998</v>
      </c>
      <c r="Y68" s="44">
        <f>Y17*(1-Paramètres!$B$2)</f>
        <v>2899.8150000000001</v>
      </c>
      <c r="Z68" s="44">
        <f>Z17*(1-Paramètres!$B$2)</f>
        <v>2930.855</v>
      </c>
      <c r="AA68" s="44">
        <f>AA17*(1-Paramètres!$B$2)</f>
        <v>2961.895</v>
      </c>
      <c r="AB68" s="44">
        <f>AB17*(1-Paramètres!$B$2)</f>
        <v>2992.9349999999999</v>
      </c>
      <c r="AC68" s="44">
        <f>AC17*(1-Paramètres!$B$2)</f>
        <v>3023.0050000000001</v>
      </c>
      <c r="AD68" s="44">
        <f>AD17*(1-Paramètres!$B$2)</f>
        <v>3053.56</v>
      </c>
      <c r="AE68" s="44">
        <f>AE17*(1-Paramètres!$B$2)</f>
        <v>3084.1149999999998</v>
      </c>
      <c r="AF68" s="44">
        <f>AF17*(1-Paramètres!$B$2)</f>
        <v>3115.1549999999997</v>
      </c>
      <c r="AG68" s="44">
        <f>AG17*(1-Paramètres!$B$2)</f>
        <v>3147.165</v>
      </c>
      <c r="AH68" s="44">
        <f>AH17*(1-Paramètres!$B$2)</f>
        <v>3177.2350000000001</v>
      </c>
      <c r="AI68" s="44">
        <f>AI17*(1-Paramètres!$B$2)</f>
        <v>3208.7599999999998</v>
      </c>
      <c r="AJ68" s="44">
        <f>AJ17*(1-Paramètres!$B$2)</f>
        <v>3254.35</v>
      </c>
      <c r="AK68" s="44">
        <f>AK17*(1-Paramètres!$B$2)</f>
        <v>3689.395</v>
      </c>
    </row>
    <row r="69" spans="1:37" ht="15" customHeight="1" x14ac:dyDescent="0.25">
      <c r="A69" s="43">
        <v>2050</v>
      </c>
      <c r="B69" s="44">
        <f>B18*(1-Paramètres!$B$2)</f>
        <v>2209.66</v>
      </c>
      <c r="C69" s="44">
        <f>C18*(1-Paramètres!$B$2)</f>
        <v>2274.165</v>
      </c>
      <c r="D69" s="44">
        <f>D18*(1-Paramètres!$B$2)</f>
        <v>2304.7199999999998</v>
      </c>
      <c r="E69" s="44">
        <f>E18*(1-Paramètres!$B$2)</f>
        <v>2335.7599999999998</v>
      </c>
      <c r="F69" s="44">
        <f>F18*(1-Paramètres!$B$2)</f>
        <v>2367.2849999999999</v>
      </c>
      <c r="G69" s="44">
        <f>G18*(1-Paramètres!$B$2)</f>
        <v>2398.81</v>
      </c>
      <c r="H69" s="44">
        <f>H18*(1-Paramètres!$B$2)</f>
        <v>2430.335</v>
      </c>
      <c r="I69" s="44">
        <f>I18*(1-Paramètres!$B$2)</f>
        <v>2462.83</v>
      </c>
      <c r="J69" s="44">
        <f>J18*(1-Paramètres!$B$2)</f>
        <v>2493.87</v>
      </c>
      <c r="K69" s="44">
        <f>K18*(1-Paramètres!$B$2)</f>
        <v>2526.3649999999998</v>
      </c>
      <c r="L69" s="44">
        <f>L18*(1-Paramètres!$B$2)</f>
        <v>2557.4049999999997</v>
      </c>
      <c r="M69" s="44">
        <f>M18*(1-Paramètres!$B$2)</f>
        <v>2588.9299999999998</v>
      </c>
      <c r="N69" s="44">
        <f>N18*(1-Paramètres!$B$2)</f>
        <v>2620.4549999999999</v>
      </c>
      <c r="O69" s="44">
        <f>O18*(1-Paramètres!$B$2)</f>
        <v>2651.98</v>
      </c>
      <c r="P69" s="44">
        <f>P18*(1-Paramètres!$B$2)</f>
        <v>2683.02</v>
      </c>
      <c r="Q69" s="44">
        <f>Q18*(1-Paramètres!$B$2)</f>
        <v>2715.0299999999997</v>
      </c>
      <c r="R69" s="44">
        <f>R18*(1-Paramètres!$B$2)</f>
        <v>2748.0099999999998</v>
      </c>
      <c r="S69" s="44">
        <f>S18*(1-Paramètres!$B$2)</f>
        <v>2778.5650000000001</v>
      </c>
      <c r="T69" s="44">
        <f>T18*(1-Paramètres!$B$2)</f>
        <v>2810.5749999999998</v>
      </c>
      <c r="U69" s="44">
        <f>U18*(1-Paramètres!$B$2)</f>
        <v>2842.585</v>
      </c>
      <c r="V69" s="44">
        <f>V18*(1-Paramètres!$B$2)</f>
        <v>2873.625</v>
      </c>
      <c r="W69" s="44">
        <f>W18*(1-Paramètres!$B$2)</f>
        <v>2905.6349999999998</v>
      </c>
      <c r="X69" s="44">
        <f>X18*(1-Paramètres!$B$2)</f>
        <v>2937.645</v>
      </c>
      <c r="Y69" s="44">
        <f>Y18*(1-Paramètres!$B$2)</f>
        <v>2968.2</v>
      </c>
      <c r="Z69" s="44">
        <f>Z18*(1-Paramètres!$B$2)</f>
        <v>2999.24</v>
      </c>
      <c r="AA69" s="44">
        <f>AA18*(1-Paramètres!$B$2)</f>
        <v>3032.22</v>
      </c>
      <c r="AB69" s="44">
        <f>AB18*(1-Paramètres!$B$2)</f>
        <v>3062.7750000000001</v>
      </c>
      <c r="AC69" s="44">
        <f>AC18*(1-Paramètres!$B$2)</f>
        <v>3094.7849999999999</v>
      </c>
      <c r="AD69" s="44">
        <f>AD18*(1-Paramètres!$B$2)</f>
        <v>3126.31</v>
      </c>
      <c r="AE69" s="44">
        <f>AE18*(1-Paramètres!$B$2)</f>
        <v>3157.35</v>
      </c>
      <c r="AF69" s="44">
        <f>AF18*(1-Paramètres!$B$2)</f>
        <v>3189.36</v>
      </c>
      <c r="AG69" s="44">
        <f>AG18*(1-Paramètres!$B$2)</f>
        <v>3222.3399999999997</v>
      </c>
      <c r="AH69" s="44">
        <f>AH18*(1-Paramètres!$B$2)</f>
        <v>3672.42</v>
      </c>
      <c r="AI69" s="44">
        <f>AI18*(1-Paramètres!$B$2)</f>
        <v>3711.22</v>
      </c>
      <c r="AJ69" s="44">
        <f>AJ18*(1-Paramètres!$B$2)</f>
        <v>3750.02</v>
      </c>
      <c r="AK69" s="44">
        <f>AK18*(1-Paramètres!$B$2)</f>
        <v>3788.8199999999997</v>
      </c>
    </row>
    <row r="70" spans="1:37" ht="15" customHeight="1" x14ac:dyDescent="0.25">
      <c r="A70" s="43">
        <v>2150</v>
      </c>
      <c r="B70" s="44">
        <f>B19*(1-Paramètres!$B$2)</f>
        <v>2260.585</v>
      </c>
      <c r="C70" s="44">
        <f>C19*(1-Paramètres!$B$2)</f>
        <v>2326.5450000000001</v>
      </c>
      <c r="D70" s="44">
        <f>D19*(1-Paramètres!$B$2)</f>
        <v>2357.1</v>
      </c>
      <c r="E70" s="44">
        <f>E19*(1-Paramètres!$B$2)</f>
        <v>2389.5949999999998</v>
      </c>
      <c r="F70" s="44">
        <f>F19*(1-Paramètres!$B$2)</f>
        <v>2423.06</v>
      </c>
      <c r="G70" s="44">
        <f>G19*(1-Paramètres!$B$2)</f>
        <v>2455.0699999999997</v>
      </c>
      <c r="H70" s="44">
        <f>H19*(1-Paramètres!$B$2)</f>
        <v>2488.5349999999999</v>
      </c>
      <c r="I70" s="44">
        <f>I19*(1-Paramètres!$B$2)</f>
        <v>2520.5450000000001</v>
      </c>
      <c r="J70" s="44">
        <f>J19*(1-Paramètres!$B$2)</f>
        <v>2552.0699999999997</v>
      </c>
      <c r="K70" s="44">
        <f>K19*(1-Paramètres!$B$2)</f>
        <v>2584.5650000000001</v>
      </c>
      <c r="L70" s="44">
        <f>L19*(1-Paramètres!$B$2)</f>
        <v>2617.5450000000001</v>
      </c>
      <c r="M70" s="44">
        <f>M19*(1-Paramètres!$B$2)</f>
        <v>2648.1</v>
      </c>
      <c r="N70" s="44">
        <f>N19*(1-Paramètres!$B$2)</f>
        <v>2680.11</v>
      </c>
      <c r="O70" s="44">
        <f>O19*(1-Paramètres!$B$2)</f>
        <v>2713.09</v>
      </c>
      <c r="P70" s="44">
        <f>P19*(1-Paramètres!$B$2)</f>
        <v>2745.1</v>
      </c>
      <c r="Q70" s="44">
        <f>Q19*(1-Paramètres!$B$2)</f>
        <v>2777.5949999999998</v>
      </c>
      <c r="R70" s="44">
        <f>R19*(1-Paramètres!$B$2)</f>
        <v>2810.09</v>
      </c>
      <c r="S70" s="44">
        <f>S19*(1-Paramètres!$B$2)</f>
        <v>2843.0699999999997</v>
      </c>
      <c r="T70" s="44">
        <f>T19*(1-Paramètres!$B$2)</f>
        <v>2876.5349999999999</v>
      </c>
      <c r="U70" s="44">
        <f>U19*(1-Paramètres!$B$2)</f>
        <v>2909.5149999999999</v>
      </c>
      <c r="V70" s="44">
        <f>V19*(1-Paramètres!$B$2)</f>
        <v>2941.04</v>
      </c>
      <c r="W70" s="44">
        <f>W19*(1-Paramètres!$B$2)</f>
        <v>2971.5949999999998</v>
      </c>
      <c r="X70" s="44">
        <f>X19*(1-Paramètres!$B$2)</f>
        <v>3005.06</v>
      </c>
      <c r="Y70" s="44">
        <f>Y19*(1-Paramètres!$B$2)</f>
        <v>3037.0699999999997</v>
      </c>
      <c r="Z70" s="44">
        <f>Z19*(1-Paramètres!$B$2)</f>
        <v>3069.08</v>
      </c>
      <c r="AA70" s="44">
        <f>AA19*(1-Paramètres!$B$2)</f>
        <v>3101.0899999999997</v>
      </c>
      <c r="AB70" s="44">
        <f>AB19*(1-Paramètres!$B$2)</f>
        <v>3134.0699999999997</v>
      </c>
      <c r="AC70" s="44">
        <f>AC19*(1-Paramètres!$B$2)</f>
        <v>3167.5349999999999</v>
      </c>
      <c r="AD70" s="44">
        <f>AD19*(1-Paramètres!$B$2)</f>
        <v>3203.91</v>
      </c>
      <c r="AE70" s="44">
        <f>AE19*(1-Paramètres!$B$2)</f>
        <v>3648.17</v>
      </c>
      <c r="AF70" s="44">
        <f>AF19*(1-Paramètres!$B$2)</f>
        <v>3688.4249999999997</v>
      </c>
      <c r="AG70" s="44">
        <f>AG19*(1-Paramètres!$B$2)</f>
        <v>3727.71</v>
      </c>
      <c r="AH70" s="44">
        <f>AH19*(1-Paramètres!$B$2)</f>
        <v>3768.45</v>
      </c>
      <c r="AI70" s="44">
        <f>AI19*(1-Paramètres!$B$2)</f>
        <v>3808.7049999999999</v>
      </c>
      <c r="AJ70" s="44">
        <f>AJ19*(1-Paramètres!$B$2)</f>
        <v>3847.5050000000001</v>
      </c>
      <c r="AK70" s="44">
        <f>AK19*(1-Paramètres!$B$2)</f>
        <v>3887.7599999999998</v>
      </c>
    </row>
    <row r="71" spans="1:37" ht="15" customHeight="1" x14ac:dyDescent="0.25">
      <c r="A71" s="43">
        <v>2250</v>
      </c>
      <c r="B71" s="44">
        <f>B20*(1-Paramètres!$B$2)</f>
        <v>2311.9949999999999</v>
      </c>
      <c r="C71" s="44">
        <f>C20*(1-Paramètres!$B$2)</f>
        <v>2377.9549999999999</v>
      </c>
      <c r="D71" s="44">
        <f>D20*(1-Paramètres!$B$2)</f>
        <v>2411.42</v>
      </c>
      <c r="E71" s="44">
        <f>E20*(1-Paramètres!$B$2)</f>
        <v>2445.37</v>
      </c>
      <c r="F71" s="44">
        <f>F20*(1-Paramètres!$B$2)</f>
        <v>2477.8649999999998</v>
      </c>
      <c r="G71" s="44">
        <f>G20*(1-Paramètres!$B$2)</f>
        <v>2510.8449999999998</v>
      </c>
      <c r="H71" s="44">
        <f>H20*(1-Paramètres!$B$2)</f>
        <v>2543.8249999999998</v>
      </c>
      <c r="I71" s="44">
        <f>I20*(1-Paramètres!$B$2)</f>
        <v>2577.29</v>
      </c>
      <c r="J71" s="44">
        <f>J20*(1-Paramètres!$B$2)</f>
        <v>2609.2999999999997</v>
      </c>
      <c r="K71" s="44">
        <f>K20*(1-Paramètres!$B$2)</f>
        <v>2643.7350000000001</v>
      </c>
      <c r="L71" s="44">
        <f>L20*(1-Paramètres!$B$2)</f>
        <v>2677.2</v>
      </c>
      <c r="M71" s="44">
        <f>M20*(1-Paramètres!$B$2)</f>
        <v>2710.18</v>
      </c>
      <c r="N71" s="44">
        <f>N20*(1-Paramètres!$B$2)</f>
        <v>2741.22</v>
      </c>
      <c r="O71" s="44">
        <f>O20*(1-Paramètres!$B$2)</f>
        <v>2775.6549999999997</v>
      </c>
      <c r="P71" s="44">
        <f>P20*(1-Paramètres!$B$2)</f>
        <v>2809.12</v>
      </c>
      <c r="Q71" s="44">
        <f>Q20*(1-Paramètres!$B$2)</f>
        <v>2842.585</v>
      </c>
      <c r="R71" s="44">
        <f>R20*(1-Paramètres!$B$2)</f>
        <v>2876.0499999999997</v>
      </c>
      <c r="S71" s="44">
        <f>S20*(1-Paramètres!$B$2)</f>
        <v>2907.5749999999998</v>
      </c>
      <c r="T71" s="44">
        <f>T20*(1-Paramètres!$B$2)</f>
        <v>2942.0099999999998</v>
      </c>
      <c r="U71" s="44">
        <f>U20*(1-Paramètres!$B$2)</f>
        <v>2973.5349999999999</v>
      </c>
      <c r="V71" s="44">
        <f>V20*(1-Paramètres!$B$2)</f>
        <v>3007.4850000000001</v>
      </c>
      <c r="W71" s="44">
        <f>W20*(1-Paramètres!$B$2)</f>
        <v>3040.95</v>
      </c>
      <c r="X71" s="44">
        <f>X20*(1-Paramètres!$B$2)</f>
        <v>3073.4449999999997</v>
      </c>
      <c r="Y71" s="44">
        <f>Y20*(1-Paramètres!$B$2)</f>
        <v>3106.4249999999997</v>
      </c>
      <c r="Z71" s="44">
        <f>Z20*(1-Paramètres!$B$2)</f>
        <v>3139.4049999999997</v>
      </c>
      <c r="AA71" s="44">
        <f>AA20*(1-Paramètres!$B$2)</f>
        <v>3173.355</v>
      </c>
      <c r="AB71" s="44">
        <f>AB20*(1-Paramètres!$B$2)</f>
        <v>3208.2750000000001</v>
      </c>
      <c r="AC71" s="44">
        <f>AC20*(1-Paramètres!$B$2)</f>
        <v>3245.1349999999998</v>
      </c>
      <c r="AD71" s="44">
        <f>AD20*(1-Paramètres!$B$2)</f>
        <v>3659.3249999999998</v>
      </c>
      <c r="AE71" s="44">
        <f>AE20*(1-Paramètres!$B$2)</f>
        <v>3699.58</v>
      </c>
      <c r="AF71" s="44">
        <f>AF20*(1-Paramètres!$B$2)</f>
        <v>3740.8049999999998</v>
      </c>
      <c r="AG71" s="44">
        <f>AG20*(1-Paramètres!$B$2)</f>
        <v>3781.5450000000001</v>
      </c>
      <c r="AH71" s="44">
        <f>AH20*(1-Paramètres!$B$2)</f>
        <v>3823.2550000000001</v>
      </c>
      <c r="AI71" s="44">
        <f>AI20*(1-Paramètres!$B$2)</f>
        <v>3863.9949999999999</v>
      </c>
      <c r="AJ71" s="44">
        <f>AJ20*(1-Paramètres!$B$2)</f>
        <v>3905.22</v>
      </c>
      <c r="AK71" s="44">
        <f>AK20*(1-Paramètres!$B$2)</f>
        <v>3946.93</v>
      </c>
    </row>
    <row r="72" spans="1:37" ht="15" customHeight="1" x14ac:dyDescent="0.25">
      <c r="A72" s="43">
        <v>2350</v>
      </c>
      <c r="B72" s="44">
        <f>B21*(1-Paramètres!$B$2)</f>
        <v>2417.2399999999998</v>
      </c>
      <c r="C72" s="44">
        <f>C21*(1-Paramètres!$B$2)</f>
        <v>2484.17</v>
      </c>
      <c r="D72" s="44">
        <f>D21*(1-Paramètres!$B$2)</f>
        <v>2520.06</v>
      </c>
      <c r="E72" s="44">
        <f>E21*(1-Paramètres!$B$2)</f>
        <v>2552.5549999999998</v>
      </c>
      <c r="F72" s="44">
        <f>F21*(1-Paramètres!$B$2)</f>
        <v>2587.4749999999999</v>
      </c>
      <c r="G72" s="44">
        <f>G21*(1-Paramètres!$B$2)</f>
        <v>2620.4549999999999</v>
      </c>
      <c r="H72" s="44">
        <f>H21*(1-Paramètres!$B$2)</f>
        <v>2654.4049999999997</v>
      </c>
      <c r="I72" s="44">
        <f>I21*(1-Paramètres!$B$2)</f>
        <v>2688.84</v>
      </c>
      <c r="J72" s="44">
        <f>J21*(1-Paramètres!$B$2)</f>
        <v>2721.335</v>
      </c>
      <c r="K72" s="44">
        <f>K21*(1-Paramètres!$B$2)</f>
        <v>2757.2249999999999</v>
      </c>
      <c r="L72" s="44">
        <f>L21*(1-Paramètres!$B$2)</f>
        <v>2790.2049999999999</v>
      </c>
      <c r="M72" s="44">
        <f>M21*(1-Paramètres!$B$2)</f>
        <v>2823.67</v>
      </c>
      <c r="N72" s="44">
        <f>N21*(1-Paramètres!$B$2)</f>
        <v>2857.1349999999998</v>
      </c>
      <c r="O72" s="44">
        <f>O21*(1-Paramètres!$B$2)</f>
        <v>2890.6</v>
      </c>
      <c r="P72" s="44">
        <f>P21*(1-Paramètres!$B$2)</f>
        <v>2925.0349999999999</v>
      </c>
      <c r="Q72" s="44">
        <f>Q21*(1-Paramètres!$B$2)</f>
        <v>2959.9549999999999</v>
      </c>
      <c r="R72" s="44">
        <f>R21*(1-Paramètres!$B$2)</f>
        <v>2992.9349999999999</v>
      </c>
      <c r="S72" s="44">
        <f>S21*(1-Paramètres!$B$2)</f>
        <v>3025.915</v>
      </c>
      <c r="T72" s="44">
        <f>T21*(1-Paramètres!$B$2)</f>
        <v>3060.835</v>
      </c>
      <c r="U72" s="44">
        <f>U21*(1-Paramètres!$B$2)</f>
        <v>3094.2999999999997</v>
      </c>
      <c r="V72" s="44">
        <f>V21*(1-Paramètres!$B$2)</f>
        <v>3127.2799999999997</v>
      </c>
      <c r="W72" s="44">
        <f>W21*(1-Paramètres!$B$2)</f>
        <v>3161.23</v>
      </c>
      <c r="X72" s="44">
        <f>X21*(1-Paramètres!$B$2)</f>
        <v>3197.605</v>
      </c>
      <c r="Y72" s="44">
        <f>Y21*(1-Paramètres!$B$2)</f>
        <v>3231.5549999999998</v>
      </c>
      <c r="Z72" s="44">
        <f>Z21*(1-Paramètres!$B$2)</f>
        <v>3263.5650000000001</v>
      </c>
      <c r="AA72" s="44">
        <f>AA21*(1-Paramètres!$B$2)</f>
        <v>3718.4949999999999</v>
      </c>
      <c r="AB72" s="44">
        <f>AB21*(1-Paramètres!$B$2)</f>
        <v>3761.1749999999997</v>
      </c>
      <c r="AC72" s="44">
        <f>AC21*(1-Paramètres!$B$2)</f>
        <v>3802.8849999999998</v>
      </c>
      <c r="AD72" s="44">
        <f>AD21*(1-Paramètres!$B$2)</f>
        <v>3844.5949999999998</v>
      </c>
      <c r="AE72" s="44">
        <f>AE21*(1-Paramètres!$B$2)</f>
        <v>3887.7599999999998</v>
      </c>
      <c r="AF72" s="44">
        <f>AF21*(1-Paramètres!$B$2)</f>
        <v>3930.44</v>
      </c>
      <c r="AG72" s="44">
        <f>AG21*(1-Paramètres!$B$2)</f>
        <v>3971.665</v>
      </c>
      <c r="AH72" s="44">
        <f>AH21*(1-Paramètres!$B$2)</f>
        <v>4014.3449999999998</v>
      </c>
      <c r="AI72" s="44">
        <f>AI21*(1-Paramètres!$B$2)</f>
        <v>4056.0549999999998</v>
      </c>
      <c r="AJ72" s="44">
        <f>AJ21*(1-Paramètres!$B$2)</f>
        <v>4099.22</v>
      </c>
      <c r="AK72" s="44">
        <f>AK21*(1-Paramètres!$B$2)</f>
        <v>4142.3850000000002</v>
      </c>
    </row>
    <row r="73" spans="1:37" ht="15" customHeight="1" x14ac:dyDescent="0.25">
      <c r="A73" s="43">
        <v>2450</v>
      </c>
      <c r="B73" s="44">
        <f>B22*(1-Paramètres!$B$2)</f>
        <v>2468.65</v>
      </c>
      <c r="C73" s="44">
        <f>C22*(1-Paramètres!$B$2)</f>
        <v>2538.4899999999998</v>
      </c>
      <c r="D73" s="44">
        <f>D22*(1-Paramètres!$B$2)</f>
        <v>2573.41</v>
      </c>
      <c r="E73" s="44">
        <f>E22*(1-Paramètres!$B$2)</f>
        <v>2606.875</v>
      </c>
      <c r="F73" s="44">
        <f>F22*(1-Paramètres!$B$2)</f>
        <v>2641.31</v>
      </c>
      <c r="G73" s="44">
        <f>G22*(1-Paramètres!$B$2)</f>
        <v>2677.2</v>
      </c>
      <c r="H73" s="44">
        <f>H22*(1-Paramètres!$B$2)</f>
        <v>2711.15</v>
      </c>
      <c r="I73" s="44">
        <f>I22*(1-Paramètres!$B$2)</f>
        <v>2747.04</v>
      </c>
      <c r="J73" s="44">
        <f>J22*(1-Paramètres!$B$2)</f>
        <v>2781.96</v>
      </c>
      <c r="K73" s="44">
        <f>K22*(1-Paramètres!$B$2)</f>
        <v>2817.85</v>
      </c>
      <c r="L73" s="44">
        <f>L22*(1-Paramètres!$B$2)</f>
        <v>2847.92</v>
      </c>
      <c r="M73" s="44">
        <f>M22*(1-Paramètres!$B$2)</f>
        <v>2883.81</v>
      </c>
      <c r="N73" s="44">
        <f>N22*(1-Paramètres!$B$2)</f>
        <v>2918.2449999999999</v>
      </c>
      <c r="O73" s="44">
        <f>O22*(1-Paramètres!$B$2)</f>
        <v>2952.1949999999997</v>
      </c>
      <c r="P73" s="44">
        <f>P22*(1-Paramètres!$B$2)</f>
        <v>2987.1149999999998</v>
      </c>
      <c r="Q73" s="44">
        <f>Q22*(1-Paramètres!$B$2)</f>
        <v>3022.0349999999999</v>
      </c>
      <c r="R73" s="44">
        <f>R22*(1-Paramètres!$B$2)</f>
        <v>3056.47</v>
      </c>
      <c r="S73" s="44">
        <f>S22*(1-Paramètres!$B$2)</f>
        <v>3092.36</v>
      </c>
      <c r="T73" s="44">
        <f>T22*(1-Paramètres!$B$2)</f>
        <v>3126.31</v>
      </c>
      <c r="U73" s="44">
        <f>U22*(1-Paramètres!$B$2)</f>
        <v>3159.7750000000001</v>
      </c>
      <c r="V73" s="44">
        <f>V22*(1-Paramètres!$B$2)</f>
        <v>3193.7249999999999</v>
      </c>
      <c r="W73" s="44">
        <f>W22*(1-Paramètres!$B$2)</f>
        <v>3260.17</v>
      </c>
      <c r="X73" s="44">
        <f>X22*(1-Paramètres!$B$2)</f>
        <v>3691.335</v>
      </c>
      <c r="Y73" s="44">
        <f>Y22*(1-Paramètres!$B$2)</f>
        <v>3731.105</v>
      </c>
      <c r="Z73" s="44">
        <f>Z22*(1-Paramètres!$B$2)</f>
        <v>3768.45</v>
      </c>
      <c r="AA73" s="44">
        <f>AA22*(1-Paramètres!$B$2)</f>
        <v>3804.8249999999998</v>
      </c>
      <c r="AB73" s="44">
        <f>AB22*(1-Paramètres!$B$2)</f>
        <v>3840.23</v>
      </c>
      <c r="AC73" s="44">
        <f>AC22*(1-Paramètres!$B$2)</f>
        <v>3878.06</v>
      </c>
      <c r="AD73" s="44">
        <f>AD22*(1-Paramètres!$B$2)</f>
        <v>3916.375</v>
      </c>
      <c r="AE73" s="44">
        <f>AE22*(1-Paramètres!$B$2)</f>
        <v>3957.1149999999998</v>
      </c>
      <c r="AF73" s="44">
        <f>AF22*(1-Paramètres!$B$2)</f>
        <v>3996.4</v>
      </c>
      <c r="AG73" s="44">
        <f>AG22*(1-Paramètres!$B$2)</f>
        <v>4036.17</v>
      </c>
      <c r="AH73" s="44">
        <f>AH22*(1-Paramètres!$B$2)</f>
        <v>4074.4849999999997</v>
      </c>
      <c r="AI73" s="44">
        <f>AI22*(1-Paramètres!$B$2)</f>
        <v>4110.375</v>
      </c>
      <c r="AJ73" s="44">
        <f>AJ22*(1-Paramètres!$B$2)</f>
        <v>4149.66</v>
      </c>
      <c r="AK73" s="44">
        <f>AK22*(1-Paramètres!$B$2)</f>
        <v>4187.9749999999995</v>
      </c>
    </row>
    <row r="74" spans="1:37" ht="15" customHeight="1" x14ac:dyDescent="0.25">
      <c r="A74" s="43">
        <v>2550</v>
      </c>
      <c r="B74" s="44">
        <f>B23*(1-Paramètres!$B$2)</f>
        <v>2521.0299999999997</v>
      </c>
      <c r="C74" s="44">
        <f>C23*(1-Paramètres!$B$2)</f>
        <v>2590.3849999999998</v>
      </c>
      <c r="D74" s="44">
        <f>D23*(1-Paramètres!$B$2)</f>
        <v>2626.7599999999998</v>
      </c>
      <c r="E74" s="44">
        <f>E23*(1-Paramètres!$B$2)</f>
        <v>2661.68</v>
      </c>
      <c r="F74" s="44">
        <f>F23*(1-Paramètres!$B$2)</f>
        <v>2696.1149999999998</v>
      </c>
      <c r="G74" s="44">
        <f>G23*(1-Paramètres!$B$2)</f>
        <v>2732.49</v>
      </c>
      <c r="H74" s="44">
        <f>H23*(1-Paramètres!$B$2)</f>
        <v>2766.9249999999997</v>
      </c>
      <c r="I74" s="44">
        <f>I23*(1-Paramètres!$B$2)</f>
        <v>2803.2999999999997</v>
      </c>
      <c r="J74" s="44">
        <f>J23*(1-Paramètres!$B$2)</f>
        <v>2838.7049999999999</v>
      </c>
      <c r="K74" s="44">
        <f>K23*(1-Paramètres!$B$2)</f>
        <v>2873.14</v>
      </c>
      <c r="L74" s="44">
        <f>L23*(1-Paramètres!$B$2)</f>
        <v>2907.5749999999998</v>
      </c>
      <c r="M74" s="44">
        <f>M23*(1-Paramètres!$B$2)</f>
        <v>2943.95</v>
      </c>
      <c r="N74" s="44">
        <f>N23*(1-Paramètres!$B$2)</f>
        <v>2979.84</v>
      </c>
      <c r="O74" s="44">
        <f>O23*(1-Paramètres!$B$2)</f>
        <v>3014.7599999999998</v>
      </c>
      <c r="P74" s="44">
        <f>P23*(1-Paramètres!$B$2)</f>
        <v>3050.65</v>
      </c>
      <c r="Q74" s="44">
        <f>Q23*(1-Paramètres!$B$2)</f>
        <v>3085.085</v>
      </c>
      <c r="R74" s="44">
        <f>R23*(1-Paramètres!$B$2)</f>
        <v>3120.49</v>
      </c>
      <c r="S74" s="44">
        <f>S23*(1-Paramètres!$B$2)</f>
        <v>3155.895</v>
      </c>
      <c r="T74" s="44">
        <f>T23*(1-Paramètres!$B$2)</f>
        <v>3190.33</v>
      </c>
      <c r="U74" s="44">
        <f>U23*(1-Paramètres!$B$2)</f>
        <v>3227.19</v>
      </c>
      <c r="V74" s="44">
        <f>V23*(1-Paramètres!$B$2)</f>
        <v>3259.2</v>
      </c>
      <c r="W74" s="44">
        <f>W23*(1-Paramètres!$B$2)</f>
        <v>3712.6749999999997</v>
      </c>
      <c r="X74" s="44">
        <f>X23*(1-Paramètres!$B$2)</f>
        <v>3759.2349999999997</v>
      </c>
      <c r="Y74" s="44">
        <f>Y23*(1-Paramètres!$B$2)</f>
        <v>3805.7950000000001</v>
      </c>
      <c r="Z74" s="44">
        <f>Z23*(1-Paramètres!$B$2)</f>
        <v>3852.355</v>
      </c>
      <c r="AA74" s="44">
        <f>AA23*(1-Paramètres!$B$2)</f>
        <v>3895.0349999999999</v>
      </c>
      <c r="AB74" s="44">
        <f>AB23*(1-Paramètres!$B$2)</f>
        <v>3939.6549999999997</v>
      </c>
      <c r="AC74" s="44">
        <f>AC23*(1-Paramètres!$B$2)</f>
        <v>3984.7599999999998</v>
      </c>
      <c r="AD74" s="44">
        <f>AD23*(1-Paramètres!$B$2)</f>
        <v>4029.38</v>
      </c>
      <c r="AE74" s="44">
        <f>AE23*(1-Paramètres!$B$2)</f>
        <v>4074</v>
      </c>
      <c r="AF74" s="44">
        <f>AF23*(1-Paramètres!$B$2)</f>
        <v>4118.1350000000002</v>
      </c>
      <c r="AG74" s="44">
        <f>AG23*(1-Paramètres!$B$2)</f>
        <v>4163.24</v>
      </c>
      <c r="AH74" s="44">
        <f>AH23*(1-Paramètres!$B$2)</f>
        <v>4206.8900000000003</v>
      </c>
      <c r="AI74" s="44">
        <f>AI23*(1-Paramètres!$B$2)</f>
        <v>4252.4799999999996</v>
      </c>
      <c r="AJ74" s="44">
        <f>AJ23*(1-Paramètres!$B$2)</f>
        <v>4295.6449999999995</v>
      </c>
      <c r="AK74" s="44">
        <f>AK23*(1-Paramètres!$B$2)</f>
        <v>4339.2950000000001</v>
      </c>
    </row>
    <row r="75" spans="1:37" ht="15" customHeight="1" x14ac:dyDescent="0.25">
      <c r="A75" s="43">
        <v>2650</v>
      </c>
      <c r="B75" s="44">
        <f>B24*(1-Paramètres!$B$2)</f>
        <v>2573.41</v>
      </c>
      <c r="C75" s="44">
        <f>C24*(1-Paramètres!$B$2)</f>
        <v>2642.2799999999997</v>
      </c>
      <c r="D75" s="44">
        <f>D24*(1-Paramètres!$B$2)</f>
        <v>2680.11</v>
      </c>
      <c r="E75" s="44">
        <f>E24*(1-Paramètres!$B$2)</f>
        <v>2716.4850000000001</v>
      </c>
      <c r="F75" s="44">
        <f>F24*(1-Paramètres!$B$2)</f>
        <v>2749.95</v>
      </c>
      <c r="G75" s="44">
        <f>G24*(1-Paramètres!$B$2)</f>
        <v>2787.7799999999997</v>
      </c>
      <c r="H75" s="44">
        <f>H24*(1-Paramètres!$B$2)</f>
        <v>2822.7</v>
      </c>
      <c r="I75" s="44">
        <f>I24*(1-Paramètres!$B$2)</f>
        <v>2861.5</v>
      </c>
      <c r="J75" s="44">
        <f>J24*(1-Paramètres!$B$2)</f>
        <v>2894.9650000000001</v>
      </c>
      <c r="K75" s="44">
        <f>K24*(1-Paramètres!$B$2)</f>
        <v>2931.34</v>
      </c>
      <c r="L75" s="44">
        <f>L24*(1-Paramètres!$B$2)</f>
        <v>2967.23</v>
      </c>
      <c r="M75" s="44">
        <f>M24*(1-Paramètres!$B$2)</f>
        <v>3004.0899999999997</v>
      </c>
      <c r="N75" s="44">
        <f>N24*(1-Paramètres!$B$2)</f>
        <v>3039.4949999999999</v>
      </c>
      <c r="O75" s="44">
        <f>O24*(1-Paramètres!$B$2)</f>
        <v>3077.3249999999998</v>
      </c>
      <c r="P75" s="44">
        <f>P24*(1-Paramètres!$B$2)</f>
        <v>3112.2449999999999</v>
      </c>
      <c r="Q75" s="44">
        <f>Q24*(1-Paramètres!$B$2)</f>
        <v>3148.1349999999998</v>
      </c>
      <c r="R75" s="44">
        <f>R24*(1-Paramètres!$B$2)</f>
        <v>3184.5099999999998</v>
      </c>
      <c r="S75" s="44">
        <f>S24*(1-Paramètres!$B$2)</f>
        <v>3219.915</v>
      </c>
      <c r="T75" s="44">
        <f>T24*(1-Paramètres!$B$2)</f>
        <v>3254.35</v>
      </c>
      <c r="U75" s="44">
        <f>U24*(1-Paramètres!$B$2)</f>
        <v>3294.605</v>
      </c>
      <c r="V75" s="44">
        <f>V24*(1-Paramètres!$B$2)</f>
        <v>3477.45</v>
      </c>
      <c r="W75" s="44">
        <f>W24*(1-Paramètres!$B$2)</f>
        <v>3789.79</v>
      </c>
      <c r="X75" s="44">
        <f>X24*(1-Paramètres!$B$2)</f>
        <v>3840.23</v>
      </c>
      <c r="Y75" s="44">
        <f>Y24*(1-Paramètres!$B$2)</f>
        <v>3890.67</v>
      </c>
      <c r="Z75" s="44">
        <f>Z24*(1-Paramètres!$B$2)</f>
        <v>3941.1099999999997</v>
      </c>
      <c r="AA75" s="44">
        <f>AA24*(1-Paramètres!$B$2)</f>
        <v>3984.2750000000001</v>
      </c>
      <c r="AB75" s="44">
        <f>AB24*(1-Paramètres!$B$2)</f>
        <v>4028.895</v>
      </c>
      <c r="AC75" s="44">
        <f>AC24*(1-Paramètres!$B$2)</f>
        <v>4075.4549999999999</v>
      </c>
      <c r="AD75" s="44">
        <f>AD24*(1-Paramètres!$B$2)</f>
        <v>4122.0150000000003</v>
      </c>
      <c r="AE75" s="44">
        <f>AE24*(1-Paramètres!$B$2)</f>
        <v>4167.6049999999996</v>
      </c>
      <c r="AF75" s="44">
        <f>AF24*(1-Paramètres!$B$2)</f>
        <v>4216.1049999999996</v>
      </c>
      <c r="AG75" s="44">
        <f>AG24*(1-Paramètres!$B$2)</f>
        <v>4265.09</v>
      </c>
      <c r="AH75" s="44">
        <f>AH24*(1-Paramètres!$B$2)</f>
        <v>4310.68</v>
      </c>
      <c r="AI75" s="44">
        <f>AI24*(1-Paramètres!$B$2)</f>
        <v>4356.7550000000001</v>
      </c>
      <c r="AJ75" s="44">
        <f>AJ24*(1-Paramètres!$B$2)</f>
        <v>4402.3450000000003</v>
      </c>
      <c r="AK75" s="44">
        <f>AK24*(1-Paramètres!$B$2)</f>
        <v>4447.9349999999995</v>
      </c>
    </row>
    <row r="76" spans="1:37" ht="15" customHeight="1" x14ac:dyDescent="0.25">
      <c r="A76" s="43">
        <v>2700</v>
      </c>
      <c r="B76" s="44">
        <f>B25*(1-Paramètres!$B$2)</f>
        <v>2620.94</v>
      </c>
      <c r="C76" s="44">
        <f>C25*(1-Paramètres!$B$2)</f>
        <v>2696.6</v>
      </c>
      <c r="D76" s="44">
        <f>D25*(1-Paramètres!$B$2)</f>
        <v>2732.49</v>
      </c>
      <c r="E76" s="44">
        <f>E25*(1-Paramètres!$B$2)</f>
        <v>2771.29</v>
      </c>
      <c r="F76" s="44">
        <f>F25*(1-Paramètres!$B$2)</f>
        <v>2803.7849999999999</v>
      </c>
      <c r="G76" s="44">
        <f>G25*(1-Paramètres!$B$2)</f>
        <v>2843.0699999999997</v>
      </c>
      <c r="H76" s="44">
        <f>H25*(1-Paramètres!$B$2)</f>
        <v>2878.4749999999999</v>
      </c>
      <c r="I76" s="44">
        <f>I25*(1-Paramètres!$B$2)</f>
        <v>2919.7</v>
      </c>
      <c r="J76" s="44">
        <f>J25*(1-Paramètres!$B$2)</f>
        <v>2952.68</v>
      </c>
      <c r="K76" s="44">
        <f>K25*(1-Paramètres!$B$2)</f>
        <v>2989.54</v>
      </c>
      <c r="L76" s="44">
        <f>L25*(1-Paramètres!$B$2)</f>
        <v>3026.8849999999998</v>
      </c>
      <c r="M76" s="44">
        <f>M25*(1-Paramètres!$B$2)</f>
        <v>3064.23</v>
      </c>
      <c r="N76" s="44">
        <f>N25*(1-Paramètres!$B$2)</f>
        <v>3102.06</v>
      </c>
      <c r="O76" s="44">
        <f>O25*(1-Paramètres!$B$2)</f>
        <v>3139.4049999999997</v>
      </c>
      <c r="P76" s="44">
        <f>P25*(1-Paramètres!$B$2)</f>
        <v>3174.81</v>
      </c>
      <c r="Q76" s="44">
        <f>Q25*(1-Paramètres!$B$2)</f>
        <v>3211.1849999999999</v>
      </c>
      <c r="R76" s="44">
        <f>R25*(1-Paramètres!$B$2)</f>
        <v>3248.5299999999997</v>
      </c>
      <c r="S76" s="44">
        <f>S25*(1-Paramètres!$B$2)</f>
        <v>3282.9649999999997</v>
      </c>
      <c r="T76" s="44">
        <f>T25*(1-Paramètres!$B$2)</f>
        <v>3318.37</v>
      </c>
      <c r="U76" s="44">
        <f>U25*(1-Paramètres!$B$2)</f>
        <v>3362.02</v>
      </c>
      <c r="V76" s="44">
        <f>V25*(1-Paramètres!$B$2)</f>
        <v>3812.585</v>
      </c>
      <c r="W76" s="44">
        <f>W25*(1-Paramètres!$B$2)</f>
        <v>3866.9049999999997</v>
      </c>
      <c r="X76" s="44">
        <f>X25*(1-Paramètres!$B$2)</f>
        <v>3921.2249999999999</v>
      </c>
      <c r="Y76" s="44">
        <f>Y25*(1-Paramètres!$B$2)</f>
        <v>3975.5450000000001</v>
      </c>
      <c r="Z76" s="44">
        <f>Z25*(1-Paramètres!$B$2)</f>
        <v>4029.8649999999998</v>
      </c>
      <c r="AA76" s="44">
        <f>AA25*(1-Paramètres!$B$2)</f>
        <v>4069.6349999999998</v>
      </c>
      <c r="AB76" s="44">
        <f>AB25*(1-Paramètres!$B$2)</f>
        <v>4122.0150000000003</v>
      </c>
      <c r="AC76" s="44">
        <f>AC25*(1-Paramètres!$B$2)</f>
        <v>4166.1499999999996</v>
      </c>
      <c r="AD76" s="44">
        <f>AD25*(1-Paramètres!$B$2)</f>
        <v>4211.74</v>
      </c>
      <c r="AE76" s="44">
        <f>AE25*(1-Paramètres!$B$2)</f>
        <v>4261.21</v>
      </c>
      <c r="AF76" s="44">
        <f>AF25*(1-Paramètres!$B$2)</f>
        <v>4305.3450000000003</v>
      </c>
      <c r="AG76" s="44">
        <f>AG25*(1-Paramètres!$B$2)</f>
        <v>4355.3</v>
      </c>
      <c r="AH76" s="44">
        <f>AH25*(1-Paramètres!$B$2)</f>
        <v>4399.92</v>
      </c>
      <c r="AI76" s="44">
        <f>AI25*(1-Paramètres!$B$2)</f>
        <v>4449.3900000000003</v>
      </c>
      <c r="AJ76" s="44">
        <f>AJ25*(1-Paramètres!$B$2)</f>
        <v>4492.5550000000003</v>
      </c>
      <c r="AK76" s="44">
        <f>AK25*(1-Paramètres!$B$2)</f>
        <v>4539.1149999999998</v>
      </c>
    </row>
  </sheetData>
  <mergeCells count="4">
    <mergeCell ref="A1:AK1"/>
    <mergeCell ref="A27:AK27"/>
    <mergeCell ref="A3:AK3"/>
    <mergeCell ref="A53:AK5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76"/>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32" width="9" customWidth="1"/>
  </cols>
  <sheetData>
    <row r="1" spans="1:32" ht="24" customHeight="1" x14ac:dyDescent="0.25">
      <c r="A1" s="126" t="s">
        <v>266</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row>
    <row r="3" spans="1:32" ht="15" customHeight="1" x14ac:dyDescent="0.25">
      <c r="A3" s="121" t="s">
        <v>259</v>
      </c>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row>
    <row r="4" spans="1:32" ht="15" customHeight="1" x14ac:dyDescent="0.25">
      <c r="A4" s="43" t="s">
        <v>260</v>
      </c>
      <c r="B4" s="43">
        <v>2000</v>
      </c>
      <c r="C4" s="43">
        <v>2100</v>
      </c>
      <c r="D4" s="43">
        <v>2200</v>
      </c>
      <c r="E4" s="43">
        <v>2300</v>
      </c>
      <c r="F4" s="43">
        <v>2400</v>
      </c>
      <c r="G4" s="43">
        <v>2500</v>
      </c>
      <c r="H4" s="43">
        <v>2600</v>
      </c>
      <c r="I4" s="43">
        <v>2700</v>
      </c>
      <c r="J4" s="43">
        <v>2800</v>
      </c>
      <c r="K4" s="43">
        <v>2900</v>
      </c>
      <c r="L4" s="43">
        <v>3000</v>
      </c>
      <c r="M4" s="43">
        <v>3100</v>
      </c>
      <c r="N4" s="43">
        <v>3200</v>
      </c>
      <c r="O4" s="43">
        <v>3300</v>
      </c>
      <c r="P4" s="43">
        <v>3400</v>
      </c>
      <c r="Q4" s="43">
        <v>3500</v>
      </c>
      <c r="R4" s="43">
        <v>3600</v>
      </c>
      <c r="S4" s="43">
        <v>3700</v>
      </c>
      <c r="T4" s="43">
        <v>3800</v>
      </c>
      <c r="U4" s="43">
        <v>3900</v>
      </c>
      <c r="V4" s="43">
        <v>4000</v>
      </c>
      <c r="W4" s="43">
        <v>4100</v>
      </c>
      <c r="X4" s="43">
        <v>4200</v>
      </c>
      <c r="Y4" s="43">
        <v>4300</v>
      </c>
      <c r="Z4" s="43">
        <v>4400</v>
      </c>
      <c r="AA4" s="43">
        <v>4500</v>
      </c>
      <c r="AB4" s="43">
        <v>4600</v>
      </c>
      <c r="AC4" s="43">
        <v>4700</v>
      </c>
      <c r="AD4" s="43">
        <v>4800</v>
      </c>
      <c r="AE4" s="43">
        <v>4900</v>
      </c>
      <c r="AF4" s="43">
        <v>5000</v>
      </c>
    </row>
    <row r="5" spans="1:32" ht="15" customHeight="1" x14ac:dyDescent="0.25">
      <c r="A5" s="43">
        <v>750</v>
      </c>
      <c r="B5" s="44">
        <v>2488</v>
      </c>
      <c r="C5" s="44">
        <v>2539</v>
      </c>
      <c r="D5" s="44">
        <v>2591</v>
      </c>
      <c r="E5" s="44">
        <v>2642</v>
      </c>
      <c r="F5" s="44">
        <v>2694</v>
      </c>
      <c r="G5" s="44">
        <v>2745</v>
      </c>
      <c r="H5" s="44">
        <v>2799</v>
      </c>
      <c r="I5" s="44">
        <v>2849</v>
      </c>
      <c r="J5" s="44">
        <v>2900</v>
      </c>
      <c r="K5" s="44">
        <v>2951</v>
      </c>
      <c r="L5" s="44">
        <v>3003</v>
      </c>
      <c r="M5" s="44">
        <v>3149</v>
      </c>
      <c r="N5" s="44">
        <v>3289</v>
      </c>
      <c r="O5" s="44">
        <v>3341</v>
      </c>
      <c r="P5" s="44">
        <v>3393</v>
      </c>
      <c r="Q5" s="44">
        <v>3444</v>
      </c>
      <c r="R5" s="44">
        <v>3496</v>
      </c>
      <c r="S5" s="44">
        <v>3549</v>
      </c>
      <c r="T5" s="44">
        <v>3599</v>
      </c>
      <c r="U5" s="44">
        <v>3652</v>
      </c>
      <c r="V5" s="44">
        <v>3703</v>
      </c>
      <c r="W5" s="44">
        <v>3755</v>
      </c>
      <c r="X5" s="44">
        <v>3805</v>
      </c>
      <c r="Y5" s="44">
        <v>3858</v>
      </c>
      <c r="Z5" s="44">
        <v>3909</v>
      </c>
      <c r="AA5" s="44">
        <v>3961</v>
      </c>
      <c r="AB5" s="44">
        <v>4011</v>
      </c>
      <c r="AC5" s="44">
        <v>4061</v>
      </c>
      <c r="AD5" s="44">
        <v>4114</v>
      </c>
      <c r="AE5" s="44">
        <v>4168</v>
      </c>
      <c r="AF5" s="44">
        <v>4218</v>
      </c>
    </row>
    <row r="6" spans="1:32" ht="15" customHeight="1" x14ac:dyDescent="0.25">
      <c r="A6" s="43">
        <v>850</v>
      </c>
      <c r="B6" s="44">
        <v>2582</v>
      </c>
      <c r="C6" s="44">
        <v>2636</v>
      </c>
      <c r="D6" s="44">
        <v>2687</v>
      </c>
      <c r="E6" s="44">
        <v>2740</v>
      </c>
      <c r="F6" s="44">
        <v>2796</v>
      </c>
      <c r="G6" s="44">
        <v>2848</v>
      </c>
      <c r="H6" s="44">
        <v>2900</v>
      </c>
      <c r="I6" s="44">
        <v>2952</v>
      </c>
      <c r="J6" s="44">
        <v>3008</v>
      </c>
      <c r="K6" s="44">
        <v>3060</v>
      </c>
      <c r="L6" s="44">
        <v>3114</v>
      </c>
      <c r="M6" s="44">
        <v>3257</v>
      </c>
      <c r="N6" s="44">
        <v>3403</v>
      </c>
      <c r="O6" s="44">
        <v>3455</v>
      </c>
      <c r="P6" s="44">
        <v>3509</v>
      </c>
      <c r="Q6" s="44">
        <v>3564</v>
      </c>
      <c r="R6" s="44">
        <v>3618</v>
      </c>
      <c r="S6" s="44">
        <v>3671</v>
      </c>
      <c r="T6" s="44">
        <v>3723</v>
      </c>
      <c r="U6" s="44">
        <v>3776</v>
      </c>
      <c r="V6" s="44">
        <v>3829</v>
      </c>
      <c r="W6" s="44">
        <v>3883</v>
      </c>
      <c r="X6" s="44">
        <v>3936</v>
      </c>
      <c r="Y6" s="44">
        <v>3989</v>
      </c>
      <c r="Z6" s="44">
        <v>4043</v>
      </c>
      <c r="AA6" s="44">
        <v>4095</v>
      </c>
      <c r="AB6" s="44">
        <v>4149</v>
      </c>
      <c r="AC6" s="44">
        <v>4202</v>
      </c>
      <c r="AD6" s="44">
        <v>4256</v>
      </c>
      <c r="AE6" s="44">
        <v>4308</v>
      </c>
      <c r="AF6" s="44">
        <v>4361</v>
      </c>
    </row>
    <row r="7" spans="1:32" ht="15" customHeight="1" x14ac:dyDescent="0.25">
      <c r="A7" s="43">
        <v>950</v>
      </c>
      <c r="B7" s="44">
        <v>2674</v>
      </c>
      <c r="C7" s="44">
        <v>2729</v>
      </c>
      <c r="D7" s="44">
        <v>2784</v>
      </c>
      <c r="E7" s="44">
        <v>2841</v>
      </c>
      <c r="F7" s="44">
        <v>2894</v>
      </c>
      <c r="G7" s="44">
        <v>2949</v>
      </c>
      <c r="H7" s="44">
        <v>3003</v>
      </c>
      <c r="I7" s="44">
        <v>3058</v>
      </c>
      <c r="J7" s="44">
        <v>3114</v>
      </c>
      <c r="K7" s="44">
        <v>3168</v>
      </c>
      <c r="L7" s="44">
        <v>3222</v>
      </c>
      <c r="M7" s="44">
        <v>3370</v>
      </c>
      <c r="N7" s="44">
        <v>3517</v>
      </c>
      <c r="O7" s="44">
        <v>3572</v>
      </c>
      <c r="P7" s="44">
        <v>3627</v>
      </c>
      <c r="Q7" s="44">
        <v>3681</v>
      </c>
      <c r="R7" s="44">
        <v>3738</v>
      </c>
      <c r="S7" s="44">
        <v>3790</v>
      </c>
      <c r="T7" s="44">
        <v>3844</v>
      </c>
      <c r="U7" s="44">
        <v>3900</v>
      </c>
      <c r="V7" s="44">
        <v>3956</v>
      </c>
      <c r="W7" s="44">
        <v>4011</v>
      </c>
      <c r="X7" s="44">
        <v>4065</v>
      </c>
      <c r="Y7" s="44">
        <v>4121</v>
      </c>
      <c r="Z7" s="44">
        <v>4175</v>
      </c>
      <c r="AA7" s="44">
        <v>4230</v>
      </c>
      <c r="AB7" s="44">
        <v>4284</v>
      </c>
      <c r="AC7" s="44">
        <v>4340</v>
      </c>
      <c r="AD7" s="44">
        <v>4392</v>
      </c>
      <c r="AE7" s="44">
        <v>4448</v>
      </c>
      <c r="AF7" s="44">
        <v>4501</v>
      </c>
    </row>
    <row r="8" spans="1:32" ht="15" customHeight="1" x14ac:dyDescent="0.25">
      <c r="A8" s="43">
        <v>1050</v>
      </c>
      <c r="B8" s="44">
        <v>2767</v>
      </c>
      <c r="C8" s="44">
        <v>2822</v>
      </c>
      <c r="D8" s="44">
        <v>2881</v>
      </c>
      <c r="E8" s="44">
        <v>2941</v>
      </c>
      <c r="F8" s="44">
        <v>2994</v>
      </c>
      <c r="G8" s="44">
        <v>3051</v>
      </c>
      <c r="H8" s="44">
        <v>3108</v>
      </c>
      <c r="I8" s="44">
        <v>3163</v>
      </c>
      <c r="J8" s="44">
        <v>3218</v>
      </c>
      <c r="K8" s="44">
        <v>3278</v>
      </c>
      <c r="L8" s="44">
        <v>3334</v>
      </c>
      <c r="M8" s="44">
        <v>3483</v>
      </c>
      <c r="N8" s="44">
        <v>3631</v>
      </c>
      <c r="O8" s="44">
        <v>3686</v>
      </c>
      <c r="P8" s="44">
        <v>3743</v>
      </c>
      <c r="Q8" s="44">
        <v>3799</v>
      </c>
      <c r="R8" s="44">
        <v>3858</v>
      </c>
      <c r="S8" s="44">
        <v>3913</v>
      </c>
      <c r="T8" s="44">
        <v>3972</v>
      </c>
      <c r="U8" s="44">
        <v>4027</v>
      </c>
      <c r="V8" s="44">
        <v>4085</v>
      </c>
      <c r="W8" s="44">
        <v>4140</v>
      </c>
      <c r="X8" s="44">
        <v>4196</v>
      </c>
      <c r="Y8" s="44">
        <v>4254</v>
      </c>
      <c r="Z8" s="44">
        <v>4309</v>
      </c>
      <c r="AA8" s="44">
        <v>4366</v>
      </c>
      <c r="AB8" s="44">
        <v>4425</v>
      </c>
      <c r="AC8" s="44">
        <v>4482</v>
      </c>
      <c r="AD8" s="44">
        <v>4536</v>
      </c>
      <c r="AE8" s="44">
        <v>4593</v>
      </c>
      <c r="AF8" s="44">
        <v>4650</v>
      </c>
    </row>
    <row r="9" spans="1:32" ht="15" customHeight="1" x14ac:dyDescent="0.25">
      <c r="A9" s="43">
        <v>1150</v>
      </c>
      <c r="B9" s="44">
        <v>2859</v>
      </c>
      <c r="C9" s="44">
        <v>2918</v>
      </c>
      <c r="D9" s="44">
        <v>2977</v>
      </c>
      <c r="E9" s="44">
        <v>3035</v>
      </c>
      <c r="F9" s="44">
        <v>3092</v>
      </c>
      <c r="G9" s="44">
        <v>3152</v>
      </c>
      <c r="H9" s="44">
        <v>3209</v>
      </c>
      <c r="I9" s="44">
        <v>3268</v>
      </c>
      <c r="J9" s="44">
        <v>3326</v>
      </c>
      <c r="K9" s="44">
        <v>3385</v>
      </c>
      <c r="L9" s="44">
        <v>3443</v>
      </c>
      <c r="M9" s="44">
        <v>3595</v>
      </c>
      <c r="N9" s="44">
        <v>3743</v>
      </c>
      <c r="O9" s="44">
        <v>3801</v>
      </c>
      <c r="P9" s="44">
        <v>3860</v>
      </c>
      <c r="Q9" s="44">
        <v>3919</v>
      </c>
      <c r="R9" s="44">
        <v>3976</v>
      </c>
      <c r="S9" s="44">
        <v>4037</v>
      </c>
      <c r="T9" s="44">
        <v>4095</v>
      </c>
      <c r="U9" s="44">
        <v>4151</v>
      </c>
      <c r="V9" s="44">
        <v>4212</v>
      </c>
      <c r="W9" s="44">
        <v>4268</v>
      </c>
      <c r="X9" s="44">
        <v>4327</v>
      </c>
      <c r="Y9" s="44">
        <v>4386</v>
      </c>
      <c r="Z9" s="44">
        <v>4444</v>
      </c>
      <c r="AA9" s="44">
        <v>4501</v>
      </c>
      <c r="AB9" s="44">
        <v>4560</v>
      </c>
      <c r="AC9" s="44">
        <v>4617</v>
      </c>
      <c r="AD9" s="44">
        <v>4674</v>
      </c>
      <c r="AE9" s="44">
        <v>4736</v>
      </c>
      <c r="AF9" s="44">
        <v>4794</v>
      </c>
    </row>
    <row r="10" spans="1:32" ht="15" customHeight="1" x14ac:dyDescent="0.25">
      <c r="A10" s="43">
        <v>1250</v>
      </c>
      <c r="B10" s="44">
        <v>2952</v>
      </c>
      <c r="C10" s="44">
        <v>3014</v>
      </c>
      <c r="D10" s="44">
        <v>3075</v>
      </c>
      <c r="E10" s="44">
        <v>3134</v>
      </c>
      <c r="F10" s="44">
        <v>3195</v>
      </c>
      <c r="G10" s="44">
        <v>3256</v>
      </c>
      <c r="H10" s="44">
        <v>3314</v>
      </c>
      <c r="I10" s="44">
        <v>3373</v>
      </c>
      <c r="J10" s="44">
        <v>3435</v>
      </c>
      <c r="K10" s="44">
        <v>3494</v>
      </c>
      <c r="L10" s="44">
        <v>3553</v>
      </c>
      <c r="M10" s="44">
        <v>3705</v>
      </c>
      <c r="N10" s="44">
        <v>3859</v>
      </c>
      <c r="O10" s="44">
        <v>3919</v>
      </c>
      <c r="P10" s="44">
        <v>3976</v>
      </c>
      <c r="Q10" s="44">
        <v>4037</v>
      </c>
      <c r="R10" s="44">
        <v>4096</v>
      </c>
      <c r="S10" s="44">
        <v>4156</v>
      </c>
      <c r="T10" s="44">
        <v>4217</v>
      </c>
      <c r="U10" s="44">
        <v>4276</v>
      </c>
      <c r="V10" s="44">
        <v>4338</v>
      </c>
      <c r="W10" s="44">
        <v>4397</v>
      </c>
      <c r="X10" s="44">
        <v>4455</v>
      </c>
      <c r="Y10" s="44">
        <v>4517</v>
      </c>
      <c r="Z10" s="44">
        <v>4576</v>
      </c>
      <c r="AA10" s="44">
        <v>4638</v>
      </c>
      <c r="AB10" s="44">
        <v>4697</v>
      </c>
      <c r="AC10" s="44">
        <v>4756</v>
      </c>
      <c r="AD10" s="44">
        <v>4816</v>
      </c>
      <c r="AE10" s="44">
        <v>4877</v>
      </c>
      <c r="AF10" s="44">
        <v>4935</v>
      </c>
    </row>
    <row r="11" spans="1:32" ht="15" customHeight="1" x14ac:dyDescent="0.25">
      <c r="A11" s="43">
        <v>1350</v>
      </c>
      <c r="B11" s="44">
        <v>3046</v>
      </c>
      <c r="C11" s="44">
        <v>3110</v>
      </c>
      <c r="D11" s="44">
        <v>3169</v>
      </c>
      <c r="E11" s="44">
        <v>3233</v>
      </c>
      <c r="F11" s="44">
        <v>3293</v>
      </c>
      <c r="G11" s="44">
        <v>3356</v>
      </c>
      <c r="H11" s="44">
        <v>3417</v>
      </c>
      <c r="I11" s="44">
        <v>3477</v>
      </c>
      <c r="J11" s="44">
        <v>3543</v>
      </c>
      <c r="K11" s="44">
        <v>3601</v>
      </c>
      <c r="L11" s="44">
        <v>3663</v>
      </c>
      <c r="M11" s="44">
        <v>3817</v>
      </c>
      <c r="N11" s="44">
        <v>3972</v>
      </c>
      <c r="O11" s="44">
        <v>4033</v>
      </c>
      <c r="P11" s="44">
        <v>4095</v>
      </c>
      <c r="Q11" s="44">
        <v>4153</v>
      </c>
      <c r="R11" s="44">
        <v>4217</v>
      </c>
      <c r="S11" s="44">
        <v>4277</v>
      </c>
      <c r="T11" s="44">
        <v>4340</v>
      </c>
      <c r="U11" s="44">
        <v>4402</v>
      </c>
      <c r="V11" s="44">
        <v>4466</v>
      </c>
      <c r="W11" s="44">
        <v>4527</v>
      </c>
      <c r="X11" s="44">
        <v>4586</v>
      </c>
      <c r="Y11" s="44">
        <v>4670</v>
      </c>
      <c r="Z11" s="44">
        <v>4710</v>
      </c>
      <c r="AA11" s="44">
        <v>4773</v>
      </c>
      <c r="AB11" s="44">
        <v>4834</v>
      </c>
      <c r="AC11" s="44">
        <v>4896</v>
      </c>
      <c r="AD11" s="44">
        <v>4958</v>
      </c>
      <c r="AE11" s="44">
        <v>5017</v>
      </c>
      <c r="AF11" s="44">
        <v>5080</v>
      </c>
    </row>
    <row r="12" spans="1:32" ht="15" customHeight="1" x14ac:dyDescent="0.25">
      <c r="A12" s="43">
        <v>1450</v>
      </c>
      <c r="B12" s="44">
        <v>3140</v>
      </c>
      <c r="C12" s="44">
        <v>3202</v>
      </c>
      <c r="D12" s="44">
        <v>3266</v>
      </c>
      <c r="E12" s="44">
        <v>3328</v>
      </c>
      <c r="F12" s="44">
        <v>3393</v>
      </c>
      <c r="G12" s="44">
        <v>3455</v>
      </c>
      <c r="H12" s="44">
        <v>3521</v>
      </c>
      <c r="I12" s="44">
        <v>3585</v>
      </c>
      <c r="J12" s="44">
        <v>3647</v>
      </c>
      <c r="K12" s="44">
        <v>3711</v>
      </c>
      <c r="L12" s="44">
        <v>3774</v>
      </c>
      <c r="M12" s="44">
        <v>3928</v>
      </c>
      <c r="N12" s="44">
        <v>4085</v>
      </c>
      <c r="O12" s="44">
        <v>4148</v>
      </c>
      <c r="P12" s="44">
        <v>4214</v>
      </c>
      <c r="Q12" s="44">
        <v>4276</v>
      </c>
      <c r="R12" s="44">
        <v>4338</v>
      </c>
      <c r="S12" s="44">
        <v>4400</v>
      </c>
      <c r="T12" s="44">
        <v>4464</v>
      </c>
      <c r="U12" s="44">
        <v>4527</v>
      </c>
      <c r="V12" s="44">
        <v>4593</v>
      </c>
      <c r="W12" s="44">
        <v>4656</v>
      </c>
      <c r="X12" s="44">
        <v>4717</v>
      </c>
      <c r="Y12" s="44">
        <v>4779</v>
      </c>
      <c r="Z12" s="44">
        <v>4844</v>
      </c>
      <c r="AA12" s="44">
        <v>4908</v>
      </c>
      <c r="AB12" s="44">
        <v>4972</v>
      </c>
      <c r="AC12" s="44">
        <v>5034</v>
      </c>
      <c r="AD12" s="44">
        <v>5098</v>
      </c>
      <c r="AE12" s="44">
        <v>5160</v>
      </c>
      <c r="AF12" s="44">
        <v>5223</v>
      </c>
    </row>
    <row r="13" spans="1:32" ht="15" customHeight="1" x14ac:dyDescent="0.25">
      <c r="A13" s="43">
        <v>1550</v>
      </c>
      <c r="B13" s="44">
        <v>3234</v>
      </c>
      <c r="C13" s="44">
        <v>3297</v>
      </c>
      <c r="D13" s="44">
        <v>3363</v>
      </c>
      <c r="E13" s="44">
        <v>3428</v>
      </c>
      <c r="F13" s="44">
        <v>3494</v>
      </c>
      <c r="G13" s="44">
        <v>3557</v>
      </c>
      <c r="H13" s="44">
        <v>3622</v>
      </c>
      <c r="I13" s="44">
        <v>3688</v>
      </c>
      <c r="J13" s="44">
        <v>3752</v>
      </c>
      <c r="K13" s="44">
        <v>3818</v>
      </c>
      <c r="L13" s="44">
        <v>3883</v>
      </c>
      <c r="M13" s="44">
        <v>4042</v>
      </c>
      <c r="N13" s="44">
        <v>4197</v>
      </c>
      <c r="O13" s="44">
        <v>4262</v>
      </c>
      <c r="P13" s="44">
        <v>4327</v>
      </c>
      <c r="Q13" s="44">
        <v>4390</v>
      </c>
      <c r="R13" s="44">
        <v>4455</v>
      </c>
      <c r="S13" s="44">
        <v>4524</v>
      </c>
      <c r="T13" s="44">
        <v>4587</v>
      </c>
      <c r="U13" s="44">
        <v>4653</v>
      </c>
      <c r="V13" s="44">
        <v>4717</v>
      </c>
      <c r="W13" s="44">
        <v>4781</v>
      </c>
      <c r="X13" s="44">
        <v>4847</v>
      </c>
      <c r="Y13" s="44">
        <v>4914</v>
      </c>
      <c r="Z13" s="44">
        <v>4980</v>
      </c>
      <c r="AA13" s="44">
        <v>5043</v>
      </c>
      <c r="AB13" s="44">
        <v>5107</v>
      </c>
      <c r="AC13" s="44">
        <v>5173</v>
      </c>
      <c r="AD13" s="44">
        <v>5238</v>
      </c>
      <c r="AE13" s="44">
        <v>5302</v>
      </c>
      <c r="AF13" s="44">
        <v>5369</v>
      </c>
    </row>
    <row r="14" spans="1:32" ht="15" customHeight="1" x14ac:dyDescent="0.25">
      <c r="A14" s="43">
        <v>1650</v>
      </c>
      <c r="B14" s="44">
        <v>3325</v>
      </c>
      <c r="C14" s="44">
        <v>3392</v>
      </c>
      <c r="D14" s="44">
        <v>3461</v>
      </c>
      <c r="E14" s="44">
        <v>3526</v>
      </c>
      <c r="F14" s="44">
        <v>3593</v>
      </c>
      <c r="G14" s="44">
        <v>3659</v>
      </c>
      <c r="H14" s="44">
        <v>3726</v>
      </c>
      <c r="I14" s="44">
        <v>3794</v>
      </c>
      <c r="J14" s="44">
        <v>3860</v>
      </c>
      <c r="K14" s="44">
        <v>3926</v>
      </c>
      <c r="L14" s="44">
        <v>3993</v>
      </c>
      <c r="M14" s="44">
        <v>4151</v>
      </c>
      <c r="N14" s="44">
        <v>4310</v>
      </c>
      <c r="O14" s="44">
        <v>4379</v>
      </c>
      <c r="P14" s="44">
        <v>4444</v>
      </c>
      <c r="Q14" s="44">
        <v>4508</v>
      </c>
      <c r="R14" s="44">
        <v>4576</v>
      </c>
      <c r="S14" s="44">
        <v>4647</v>
      </c>
      <c r="T14" s="44">
        <v>4711</v>
      </c>
      <c r="U14" s="44">
        <v>4778</v>
      </c>
      <c r="V14" s="44">
        <v>4845</v>
      </c>
      <c r="W14" s="44">
        <v>4913</v>
      </c>
      <c r="X14" s="44">
        <v>4980</v>
      </c>
      <c r="Y14" s="44">
        <v>5044</v>
      </c>
      <c r="Z14" s="44">
        <v>5111</v>
      </c>
      <c r="AA14" s="44">
        <v>5178</v>
      </c>
      <c r="AB14" s="44">
        <v>5245</v>
      </c>
      <c r="AC14" s="44">
        <v>5313</v>
      </c>
      <c r="AD14" s="44">
        <v>5377</v>
      </c>
      <c r="AE14" s="44">
        <v>5445</v>
      </c>
      <c r="AF14" s="44">
        <v>5511</v>
      </c>
    </row>
    <row r="15" spans="1:32" ht="15" customHeight="1" x14ac:dyDescent="0.25">
      <c r="A15" s="43">
        <v>1750</v>
      </c>
      <c r="B15" s="44">
        <v>3420</v>
      </c>
      <c r="C15" s="44">
        <v>3488</v>
      </c>
      <c r="D15" s="44">
        <v>3555</v>
      </c>
      <c r="E15" s="44">
        <v>3623</v>
      </c>
      <c r="F15" s="44">
        <v>3692</v>
      </c>
      <c r="G15" s="44">
        <v>3761</v>
      </c>
      <c r="H15" s="44">
        <v>3829</v>
      </c>
      <c r="I15" s="44">
        <v>3897</v>
      </c>
      <c r="J15" s="44">
        <v>3966</v>
      </c>
      <c r="K15" s="44">
        <v>4036</v>
      </c>
      <c r="L15" s="44">
        <v>4102</v>
      </c>
      <c r="M15" s="44">
        <v>4264</v>
      </c>
      <c r="N15" s="44">
        <v>4426</v>
      </c>
      <c r="O15" s="44">
        <v>4493</v>
      </c>
      <c r="P15" s="44">
        <v>4561</v>
      </c>
      <c r="Q15" s="44">
        <v>4630</v>
      </c>
      <c r="R15" s="44">
        <v>4698</v>
      </c>
      <c r="S15" s="44">
        <v>4766</v>
      </c>
      <c r="T15" s="44">
        <v>4836</v>
      </c>
      <c r="U15" s="44">
        <v>4902</v>
      </c>
      <c r="V15" s="44">
        <v>4972</v>
      </c>
      <c r="W15" s="44">
        <v>5041</v>
      </c>
      <c r="X15" s="44">
        <v>5109</v>
      </c>
      <c r="Y15" s="44">
        <v>5177</v>
      </c>
      <c r="Z15" s="44">
        <v>5245</v>
      </c>
      <c r="AA15" s="44">
        <v>5314</v>
      </c>
      <c r="AB15" s="44">
        <v>5381</v>
      </c>
      <c r="AC15" s="44">
        <v>5451</v>
      </c>
      <c r="AD15" s="44">
        <v>5520</v>
      </c>
      <c r="AE15" s="44">
        <v>5946</v>
      </c>
      <c r="AF15" s="44">
        <v>6376</v>
      </c>
    </row>
    <row r="16" spans="1:32" ht="15" customHeight="1" x14ac:dyDescent="0.25">
      <c r="A16" s="43">
        <v>1850</v>
      </c>
      <c r="B16" s="44">
        <v>3510</v>
      </c>
      <c r="C16" s="44">
        <v>3584</v>
      </c>
      <c r="D16" s="44">
        <v>3653</v>
      </c>
      <c r="E16" s="44">
        <v>3722</v>
      </c>
      <c r="F16" s="44">
        <v>3793</v>
      </c>
      <c r="G16" s="44">
        <v>3864</v>
      </c>
      <c r="H16" s="44">
        <v>3932</v>
      </c>
      <c r="I16" s="44">
        <v>4002</v>
      </c>
      <c r="J16" s="44">
        <v>4072</v>
      </c>
      <c r="K16" s="44">
        <v>4144</v>
      </c>
      <c r="L16" s="44">
        <v>4216</v>
      </c>
      <c r="M16" s="44">
        <v>4376</v>
      </c>
      <c r="N16" s="44">
        <v>4537</v>
      </c>
      <c r="O16" s="44">
        <v>4607</v>
      </c>
      <c r="P16" s="44">
        <v>4678</v>
      </c>
      <c r="Q16" s="44">
        <v>4747</v>
      </c>
      <c r="R16" s="44">
        <v>4817</v>
      </c>
      <c r="S16" s="44">
        <v>4889</v>
      </c>
      <c r="T16" s="44">
        <v>4959</v>
      </c>
      <c r="U16" s="44">
        <v>5028</v>
      </c>
      <c r="V16" s="44">
        <v>5098</v>
      </c>
      <c r="W16" s="44">
        <v>5168</v>
      </c>
      <c r="X16" s="44">
        <v>5239</v>
      </c>
      <c r="Y16" s="44">
        <v>5307</v>
      </c>
      <c r="Z16" s="44">
        <v>5379</v>
      </c>
      <c r="AA16" s="44">
        <v>5450</v>
      </c>
      <c r="AB16" s="44">
        <v>5520</v>
      </c>
      <c r="AC16" s="44">
        <v>5953</v>
      </c>
      <c r="AD16" s="44">
        <v>6388</v>
      </c>
      <c r="AE16" s="44">
        <v>6473</v>
      </c>
      <c r="AF16" s="44">
        <v>6558</v>
      </c>
    </row>
    <row r="17" spans="1:32" ht="15" customHeight="1" x14ac:dyDescent="0.25">
      <c r="A17" s="43">
        <v>1950</v>
      </c>
      <c r="B17" s="44">
        <v>3604</v>
      </c>
      <c r="C17" s="44">
        <v>3677</v>
      </c>
      <c r="D17" s="44">
        <v>3748</v>
      </c>
      <c r="E17" s="44">
        <v>3821</v>
      </c>
      <c r="F17" s="44">
        <v>3893</v>
      </c>
      <c r="G17" s="44">
        <v>3964</v>
      </c>
      <c r="H17" s="44">
        <v>4037</v>
      </c>
      <c r="I17" s="44">
        <v>4108</v>
      </c>
      <c r="J17" s="44">
        <v>4179</v>
      </c>
      <c r="K17" s="44">
        <v>4253</v>
      </c>
      <c r="L17" s="44">
        <v>4323</v>
      </c>
      <c r="M17" s="44">
        <v>4487</v>
      </c>
      <c r="N17" s="44">
        <v>4651</v>
      </c>
      <c r="O17" s="44">
        <v>4722</v>
      </c>
      <c r="P17" s="44">
        <v>4797</v>
      </c>
      <c r="Q17" s="44">
        <v>4866</v>
      </c>
      <c r="R17" s="44">
        <v>4937</v>
      </c>
      <c r="S17" s="44">
        <v>5009</v>
      </c>
      <c r="T17" s="44">
        <v>5083</v>
      </c>
      <c r="U17" s="44">
        <v>5155</v>
      </c>
      <c r="V17" s="44">
        <v>5224</v>
      </c>
      <c r="W17" s="44">
        <v>5297</v>
      </c>
      <c r="X17" s="44">
        <v>5369</v>
      </c>
      <c r="Y17" s="44">
        <v>5442</v>
      </c>
      <c r="Z17" s="44">
        <v>5512</v>
      </c>
      <c r="AA17" s="44">
        <v>5952</v>
      </c>
      <c r="AB17" s="44">
        <v>6393</v>
      </c>
      <c r="AC17" s="44">
        <v>6482</v>
      </c>
      <c r="AD17" s="44">
        <v>6568</v>
      </c>
      <c r="AE17" s="44">
        <v>6656</v>
      </c>
      <c r="AF17" s="44">
        <v>6745</v>
      </c>
    </row>
    <row r="18" spans="1:32" ht="15" customHeight="1" x14ac:dyDescent="0.25">
      <c r="A18" s="43">
        <v>2050</v>
      </c>
      <c r="B18" s="44">
        <v>3699</v>
      </c>
      <c r="C18" s="44">
        <v>3772</v>
      </c>
      <c r="D18" s="44">
        <v>3843</v>
      </c>
      <c r="E18" s="44">
        <v>3919</v>
      </c>
      <c r="F18" s="44">
        <v>3992</v>
      </c>
      <c r="G18" s="44">
        <v>4066</v>
      </c>
      <c r="H18" s="44">
        <v>4140</v>
      </c>
      <c r="I18" s="44">
        <v>4213</v>
      </c>
      <c r="J18" s="44">
        <v>4284</v>
      </c>
      <c r="K18" s="44">
        <v>4359</v>
      </c>
      <c r="L18" s="44">
        <v>4433</v>
      </c>
      <c r="M18" s="44">
        <v>4599</v>
      </c>
      <c r="N18" s="44">
        <v>4761</v>
      </c>
      <c r="O18" s="44">
        <v>4838</v>
      </c>
      <c r="P18" s="44">
        <v>4913</v>
      </c>
      <c r="Q18" s="44">
        <v>4994</v>
      </c>
      <c r="R18" s="44">
        <v>5057</v>
      </c>
      <c r="S18" s="44">
        <v>5133</v>
      </c>
      <c r="T18" s="44">
        <v>5205</v>
      </c>
      <c r="U18" s="44">
        <v>5281</v>
      </c>
      <c r="V18" s="44">
        <v>5353</v>
      </c>
      <c r="W18" s="44">
        <v>5495</v>
      </c>
      <c r="X18" s="44">
        <v>5563</v>
      </c>
      <c r="Y18" s="44">
        <v>6294</v>
      </c>
      <c r="Z18" s="44">
        <v>6386</v>
      </c>
      <c r="AA18" s="44">
        <v>6478</v>
      </c>
      <c r="AB18" s="44">
        <v>6567</v>
      </c>
      <c r="AC18" s="44">
        <v>6658</v>
      </c>
      <c r="AD18" s="44">
        <v>6748</v>
      </c>
      <c r="AE18" s="44">
        <v>6839</v>
      </c>
      <c r="AF18" s="44">
        <v>6929</v>
      </c>
    </row>
    <row r="19" spans="1:32" ht="15" customHeight="1" x14ac:dyDescent="0.25">
      <c r="A19" s="43">
        <v>2150</v>
      </c>
      <c r="B19" s="44">
        <v>3790</v>
      </c>
      <c r="C19" s="44">
        <v>3867</v>
      </c>
      <c r="D19" s="44">
        <v>3942</v>
      </c>
      <c r="E19" s="44">
        <v>4016</v>
      </c>
      <c r="F19" s="44">
        <v>4093</v>
      </c>
      <c r="G19" s="44">
        <v>4169</v>
      </c>
      <c r="H19" s="44">
        <v>4242</v>
      </c>
      <c r="I19" s="44">
        <v>4318</v>
      </c>
      <c r="J19" s="44">
        <v>4391</v>
      </c>
      <c r="K19" s="44">
        <v>4465</v>
      </c>
      <c r="L19" s="44">
        <v>4542</v>
      </c>
      <c r="M19" s="44">
        <v>4710</v>
      </c>
      <c r="N19" s="44">
        <v>4878</v>
      </c>
      <c r="O19" s="44">
        <v>4954</v>
      </c>
      <c r="P19" s="44">
        <v>5030</v>
      </c>
      <c r="Q19" s="44">
        <v>5101</v>
      </c>
      <c r="R19" s="44">
        <v>5178</v>
      </c>
      <c r="S19" s="44">
        <v>5254</v>
      </c>
      <c r="T19" s="44">
        <v>5329</v>
      </c>
      <c r="U19" s="44">
        <v>5431</v>
      </c>
      <c r="V19" s="44">
        <v>5499</v>
      </c>
      <c r="W19" s="44">
        <v>6278</v>
      </c>
      <c r="X19" s="44">
        <v>6372</v>
      </c>
      <c r="Y19" s="44">
        <v>6463</v>
      </c>
      <c r="Z19" s="44">
        <v>6553</v>
      </c>
      <c r="AA19" s="44">
        <v>6651</v>
      </c>
      <c r="AB19" s="44">
        <v>6743</v>
      </c>
      <c r="AC19" s="44">
        <v>6834</v>
      </c>
      <c r="AD19" s="44">
        <v>6928</v>
      </c>
      <c r="AE19" s="44">
        <v>7020</v>
      </c>
      <c r="AF19" s="44">
        <v>7113</v>
      </c>
    </row>
    <row r="20" spans="1:32" ht="15" customHeight="1" x14ac:dyDescent="0.25">
      <c r="A20" s="43">
        <v>2250</v>
      </c>
      <c r="B20" s="44">
        <v>3884</v>
      </c>
      <c r="C20" s="44">
        <v>3962</v>
      </c>
      <c r="D20" s="44">
        <v>4038</v>
      </c>
      <c r="E20" s="44">
        <v>4115</v>
      </c>
      <c r="F20" s="44">
        <v>4193</v>
      </c>
      <c r="G20" s="44">
        <v>4268</v>
      </c>
      <c r="H20" s="44">
        <v>4345</v>
      </c>
      <c r="I20" s="44">
        <v>4424</v>
      </c>
      <c r="J20" s="44">
        <v>4498</v>
      </c>
      <c r="K20" s="44">
        <v>4575</v>
      </c>
      <c r="L20" s="44">
        <v>4653</v>
      </c>
      <c r="M20" s="44">
        <v>4822</v>
      </c>
      <c r="N20" s="44">
        <v>4988</v>
      </c>
      <c r="O20" s="44">
        <v>5067</v>
      </c>
      <c r="P20" s="44">
        <v>5144</v>
      </c>
      <c r="Q20" s="44">
        <v>5221</v>
      </c>
      <c r="R20" s="44">
        <v>5297</v>
      </c>
      <c r="S20" s="44">
        <v>5375</v>
      </c>
      <c r="T20" s="44">
        <v>5453</v>
      </c>
      <c r="U20" s="44">
        <v>5589</v>
      </c>
      <c r="V20" s="44">
        <v>5934</v>
      </c>
      <c r="W20" s="44">
        <v>6310</v>
      </c>
      <c r="X20" s="44">
        <v>6402</v>
      </c>
      <c r="Y20" s="44">
        <v>6498</v>
      </c>
      <c r="Z20" s="44">
        <v>6592</v>
      </c>
      <c r="AA20" s="44">
        <v>6688</v>
      </c>
      <c r="AB20" s="44">
        <v>6781</v>
      </c>
      <c r="AC20" s="44">
        <v>6878</v>
      </c>
      <c r="AD20" s="44">
        <v>6970</v>
      </c>
      <c r="AE20" s="44">
        <v>7062</v>
      </c>
      <c r="AF20" s="44">
        <v>7155</v>
      </c>
    </row>
    <row r="21" spans="1:32" ht="15" customHeight="1" x14ac:dyDescent="0.25">
      <c r="A21" s="43">
        <v>2350</v>
      </c>
      <c r="B21" s="44">
        <v>4033</v>
      </c>
      <c r="C21" s="44">
        <v>4111</v>
      </c>
      <c r="D21" s="44">
        <v>4192</v>
      </c>
      <c r="E21" s="44">
        <v>4270</v>
      </c>
      <c r="F21" s="44">
        <v>4347</v>
      </c>
      <c r="G21" s="44">
        <v>4425</v>
      </c>
      <c r="H21" s="44">
        <v>4504</v>
      </c>
      <c r="I21" s="44">
        <v>4584</v>
      </c>
      <c r="J21" s="44">
        <v>4661</v>
      </c>
      <c r="K21" s="44">
        <v>4742</v>
      </c>
      <c r="L21" s="44">
        <v>4820</v>
      </c>
      <c r="M21" s="44">
        <v>4988</v>
      </c>
      <c r="N21" s="44">
        <v>5159</v>
      </c>
      <c r="O21" s="44">
        <v>5239</v>
      </c>
      <c r="P21" s="44">
        <v>5317</v>
      </c>
      <c r="Q21" s="44">
        <v>5397</v>
      </c>
      <c r="R21" s="44">
        <v>5474</v>
      </c>
      <c r="S21" s="44">
        <v>6361</v>
      </c>
      <c r="T21" s="44">
        <v>6464</v>
      </c>
      <c r="U21" s="44">
        <v>6562</v>
      </c>
      <c r="V21" s="44">
        <v>6655</v>
      </c>
      <c r="W21" s="44">
        <v>6759</v>
      </c>
      <c r="X21" s="44">
        <v>6855</v>
      </c>
      <c r="Y21" s="44">
        <v>6951</v>
      </c>
      <c r="Z21" s="44">
        <v>7051</v>
      </c>
      <c r="AA21" s="44">
        <v>7147</v>
      </c>
      <c r="AB21" s="44">
        <v>7245</v>
      </c>
      <c r="AC21" s="44">
        <v>7344</v>
      </c>
      <c r="AD21" s="44">
        <v>7442</v>
      </c>
      <c r="AE21" s="44">
        <v>7538</v>
      </c>
      <c r="AF21" s="44">
        <v>7634</v>
      </c>
    </row>
    <row r="22" spans="1:32" ht="15" customHeight="1" x14ac:dyDescent="0.25">
      <c r="A22" s="43">
        <v>2450</v>
      </c>
      <c r="B22" s="44">
        <v>4128</v>
      </c>
      <c r="C22" s="44">
        <v>4209</v>
      </c>
      <c r="D22" s="44">
        <v>4285</v>
      </c>
      <c r="E22" s="44">
        <v>4366</v>
      </c>
      <c r="F22" s="44">
        <v>4446</v>
      </c>
      <c r="G22" s="44">
        <v>4529</v>
      </c>
      <c r="H22" s="44">
        <v>4609</v>
      </c>
      <c r="I22" s="44">
        <v>4690</v>
      </c>
      <c r="J22" s="44">
        <v>4768</v>
      </c>
      <c r="K22" s="44">
        <v>4849</v>
      </c>
      <c r="L22" s="44">
        <v>4928</v>
      </c>
      <c r="M22" s="44">
        <v>5100</v>
      </c>
      <c r="N22" s="44">
        <v>5273</v>
      </c>
      <c r="O22" s="44">
        <v>5354</v>
      </c>
      <c r="P22" s="44">
        <v>5432</v>
      </c>
      <c r="Q22" s="44">
        <v>5875</v>
      </c>
      <c r="R22" s="44">
        <v>6318</v>
      </c>
      <c r="S22" s="44">
        <v>6420</v>
      </c>
      <c r="T22" s="44">
        <v>6518</v>
      </c>
      <c r="U22" s="44">
        <v>6619</v>
      </c>
      <c r="V22" s="44">
        <v>6717</v>
      </c>
      <c r="W22" s="44">
        <v>6821</v>
      </c>
      <c r="X22" s="44">
        <v>6922</v>
      </c>
      <c r="Y22" s="44">
        <v>7020</v>
      </c>
      <c r="Z22" s="44">
        <v>7120</v>
      </c>
      <c r="AA22" s="44">
        <v>7221</v>
      </c>
      <c r="AB22" s="44">
        <v>7321</v>
      </c>
      <c r="AC22" s="44">
        <v>7422</v>
      </c>
      <c r="AD22" s="44">
        <v>7525</v>
      </c>
      <c r="AE22" s="44">
        <v>7625</v>
      </c>
      <c r="AF22" s="44">
        <v>7726</v>
      </c>
    </row>
    <row r="23" spans="1:32" ht="15" customHeight="1" x14ac:dyDescent="0.25">
      <c r="A23" s="43">
        <v>2550</v>
      </c>
      <c r="B23" s="44">
        <v>4219</v>
      </c>
      <c r="C23" s="44">
        <v>4302</v>
      </c>
      <c r="D23" s="44">
        <v>4385</v>
      </c>
      <c r="E23" s="44">
        <v>4467</v>
      </c>
      <c r="F23" s="44">
        <v>4546</v>
      </c>
      <c r="G23" s="44">
        <v>4629</v>
      </c>
      <c r="H23" s="44">
        <v>4709</v>
      </c>
      <c r="I23" s="44">
        <v>4793</v>
      </c>
      <c r="J23" s="44">
        <v>4873</v>
      </c>
      <c r="K23" s="44">
        <v>4958</v>
      </c>
      <c r="L23" s="44">
        <v>5041</v>
      </c>
      <c r="M23" s="44">
        <v>5212</v>
      </c>
      <c r="N23" s="44">
        <v>5387</v>
      </c>
      <c r="O23" s="44">
        <v>5469</v>
      </c>
      <c r="P23" s="44">
        <v>5549</v>
      </c>
      <c r="Q23" s="44">
        <v>5995</v>
      </c>
      <c r="R23" s="44">
        <v>6437</v>
      </c>
      <c r="S23" s="44">
        <v>6541</v>
      </c>
      <c r="T23" s="44">
        <v>6644</v>
      </c>
      <c r="U23" s="44">
        <v>6745</v>
      </c>
      <c r="V23" s="44">
        <v>6850</v>
      </c>
      <c r="W23" s="44">
        <v>6953</v>
      </c>
      <c r="X23" s="44">
        <v>7058</v>
      </c>
      <c r="Y23" s="44">
        <v>7160</v>
      </c>
      <c r="Z23" s="44">
        <v>7263</v>
      </c>
      <c r="AA23" s="44">
        <v>7367</v>
      </c>
      <c r="AB23" s="44">
        <v>7469</v>
      </c>
      <c r="AC23" s="44">
        <v>7572</v>
      </c>
      <c r="AD23" s="44">
        <v>7671</v>
      </c>
      <c r="AE23" s="44">
        <v>7754</v>
      </c>
      <c r="AF23" s="44">
        <v>7867</v>
      </c>
    </row>
    <row r="24" spans="1:32" ht="15" customHeight="1" x14ac:dyDescent="0.25">
      <c r="A24" s="43">
        <v>2650</v>
      </c>
      <c r="B24" s="44">
        <v>4313</v>
      </c>
      <c r="C24" s="44">
        <v>4398</v>
      </c>
      <c r="D24" s="44">
        <v>4480</v>
      </c>
      <c r="E24" s="44">
        <v>4566</v>
      </c>
      <c r="F24" s="44">
        <v>4646</v>
      </c>
      <c r="G24" s="44">
        <v>4732</v>
      </c>
      <c r="H24" s="44">
        <v>4815</v>
      </c>
      <c r="I24" s="44">
        <v>4899</v>
      </c>
      <c r="J24" s="44">
        <v>4983</v>
      </c>
      <c r="K24" s="44">
        <v>5066</v>
      </c>
      <c r="L24" s="44">
        <v>5151</v>
      </c>
      <c r="M24" s="44">
        <v>5324</v>
      </c>
      <c r="N24" s="44">
        <v>5501</v>
      </c>
      <c r="O24" s="44">
        <v>6056</v>
      </c>
      <c r="P24" s="44">
        <v>6152</v>
      </c>
      <c r="Q24" s="44">
        <v>6402</v>
      </c>
      <c r="R24" s="44">
        <v>6536</v>
      </c>
      <c r="S24" s="44">
        <v>6647</v>
      </c>
      <c r="T24" s="44">
        <v>6754</v>
      </c>
      <c r="U24" s="44">
        <v>6863</v>
      </c>
      <c r="V24" s="44">
        <v>6971</v>
      </c>
      <c r="W24" s="44">
        <v>7077</v>
      </c>
      <c r="X24" s="44">
        <v>7185</v>
      </c>
      <c r="Y24" s="44">
        <v>7295</v>
      </c>
      <c r="Z24" s="44">
        <v>7400</v>
      </c>
      <c r="AA24" s="44">
        <v>7510</v>
      </c>
      <c r="AB24" s="44">
        <v>7619</v>
      </c>
      <c r="AC24" s="44">
        <v>7727</v>
      </c>
      <c r="AD24" s="44">
        <v>7836</v>
      </c>
      <c r="AE24" s="44">
        <v>7944</v>
      </c>
      <c r="AF24" s="44">
        <v>8053</v>
      </c>
    </row>
    <row r="25" spans="1:32" ht="15" customHeight="1" x14ac:dyDescent="0.25">
      <c r="A25" s="43">
        <v>2700</v>
      </c>
      <c r="B25" s="44">
        <v>4406</v>
      </c>
      <c r="C25" s="44">
        <v>4494</v>
      </c>
      <c r="D25" s="44">
        <v>4577</v>
      </c>
      <c r="E25" s="44">
        <v>4666</v>
      </c>
      <c r="F25" s="44">
        <v>4746</v>
      </c>
      <c r="G25" s="44">
        <v>4833</v>
      </c>
      <c r="H25" s="44">
        <v>4919</v>
      </c>
      <c r="I25" s="44">
        <v>5004</v>
      </c>
      <c r="J25" s="44">
        <v>5091</v>
      </c>
      <c r="K25" s="44">
        <v>5174</v>
      </c>
      <c r="L25" s="44">
        <v>5261</v>
      </c>
      <c r="M25" s="44">
        <v>5436</v>
      </c>
      <c r="N25" s="44">
        <v>5615</v>
      </c>
      <c r="O25" s="44">
        <v>6189</v>
      </c>
      <c r="P25" s="44">
        <v>6432</v>
      </c>
      <c r="Q25" s="44">
        <v>6543</v>
      </c>
      <c r="R25" s="44">
        <v>6580</v>
      </c>
      <c r="S25" s="44">
        <v>6873</v>
      </c>
      <c r="T25" s="44">
        <v>6986</v>
      </c>
      <c r="U25" s="44">
        <v>7093</v>
      </c>
      <c r="V25" s="44">
        <v>7198</v>
      </c>
      <c r="W25" s="44">
        <v>7307</v>
      </c>
      <c r="X25" s="44">
        <v>7417</v>
      </c>
      <c r="Y25" s="44">
        <v>7524</v>
      </c>
      <c r="Z25" s="44">
        <v>7641</v>
      </c>
      <c r="AA25" s="44">
        <v>7741</v>
      </c>
      <c r="AB25" s="44">
        <v>7846</v>
      </c>
      <c r="AC25" s="44">
        <v>7952</v>
      </c>
      <c r="AD25" s="44">
        <v>8071</v>
      </c>
      <c r="AE25" s="44">
        <v>8180</v>
      </c>
      <c r="AF25" s="44">
        <v>8284</v>
      </c>
    </row>
    <row r="27" spans="1:32" ht="15" customHeight="1" x14ac:dyDescent="0.25">
      <c r="A27" s="121" t="s">
        <v>261</v>
      </c>
      <c r="B27" s="93"/>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row>
    <row r="28" spans="1:32" ht="15" customHeight="1" x14ac:dyDescent="0.25">
      <c r="A28" s="43" t="s">
        <v>260</v>
      </c>
      <c r="B28" s="43">
        <v>2000</v>
      </c>
      <c r="C28" s="43">
        <v>2100</v>
      </c>
      <c r="D28" s="43">
        <v>2200</v>
      </c>
      <c r="E28" s="43">
        <v>2300</v>
      </c>
      <c r="F28" s="43">
        <v>2400</v>
      </c>
      <c r="G28" s="43">
        <v>2500</v>
      </c>
      <c r="H28" s="43">
        <v>2600</v>
      </c>
      <c r="I28" s="43">
        <v>2700</v>
      </c>
      <c r="J28" s="43">
        <v>2800</v>
      </c>
      <c r="K28" s="43">
        <v>2900</v>
      </c>
      <c r="L28" s="43">
        <v>3000</v>
      </c>
      <c r="M28" s="43">
        <v>3100</v>
      </c>
      <c r="N28" s="43">
        <v>3200</v>
      </c>
      <c r="O28" s="43">
        <v>3300</v>
      </c>
      <c r="P28" s="43">
        <v>3400</v>
      </c>
      <c r="Q28" s="43">
        <v>3500</v>
      </c>
      <c r="R28" s="43">
        <v>3600</v>
      </c>
      <c r="S28" s="43">
        <v>3700</v>
      </c>
      <c r="T28" s="43">
        <v>3800</v>
      </c>
      <c r="U28" s="43">
        <v>3900</v>
      </c>
      <c r="V28" s="43">
        <v>4000</v>
      </c>
      <c r="W28" s="43">
        <v>4100</v>
      </c>
      <c r="X28" s="43">
        <v>4200</v>
      </c>
      <c r="Y28" s="43">
        <v>4300</v>
      </c>
      <c r="Z28" s="43">
        <v>4400</v>
      </c>
      <c r="AA28" s="43">
        <v>4500</v>
      </c>
      <c r="AB28" s="43">
        <v>4600</v>
      </c>
      <c r="AC28" s="43">
        <v>4700</v>
      </c>
      <c r="AD28" s="43">
        <v>4800</v>
      </c>
      <c r="AE28" s="43">
        <v>4900</v>
      </c>
      <c r="AF28" s="43">
        <v>5000</v>
      </c>
    </row>
    <row r="29" spans="1:32" ht="15" customHeight="1" x14ac:dyDescent="0.25">
      <c r="A29" s="43">
        <v>750</v>
      </c>
      <c r="B29" s="45">
        <v>1.01</v>
      </c>
      <c r="C29" s="45">
        <v>1.06</v>
      </c>
      <c r="D29" s="45">
        <v>1.1200000000000001</v>
      </c>
      <c r="E29" s="45">
        <v>1.18</v>
      </c>
      <c r="F29" s="45">
        <v>1.23</v>
      </c>
      <c r="G29" s="45">
        <v>1.29</v>
      </c>
      <c r="H29" s="45">
        <v>1.34</v>
      </c>
      <c r="I29" s="45">
        <v>1.4</v>
      </c>
      <c r="J29" s="45">
        <v>1.46</v>
      </c>
      <c r="K29" s="45">
        <v>1.51</v>
      </c>
      <c r="L29" s="45">
        <v>1.57</v>
      </c>
      <c r="M29" s="45">
        <v>1.62</v>
      </c>
      <c r="N29" s="45">
        <v>1.68</v>
      </c>
      <c r="O29" s="45">
        <v>1.74</v>
      </c>
      <c r="P29" s="45">
        <v>1.79</v>
      </c>
      <c r="Q29" s="45">
        <v>1.85</v>
      </c>
      <c r="R29" s="45">
        <v>1.91</v>
      </c>
      <c r="S29" s="45">
        <v>1.96</v>
      </c>
      <c r="T29" s="45">
        <v>2.02</v>
      </c>
      <c r="U29" s="45">
        <v>2.0699999999999998</v>
      </c>
      <c r="V29" s="45">
        <v>2.13</v>
      </c>
      <c r="W29" s="45">
        <v>2.19</v>
      </c>
      <c r="X29" s="45">
        <v>2.2400000000000002</v>
      </c>
      <c r="Y29" s="45">
        <v>2.2999999999999998</v>
      </c>
      <c r="Z29" s="45">
        <v>2.35</v>
      </c>
      <c r="AA29" s="45">
        <v>2.41</v>
      </c>
      <c r="AB29" s="45">
        <v>2.4700000000000002</v>
      </c>
      <c r="AC29" s="45">
        <v>2.52</v>
      </c>
      <c r="AD29" s="45">
        <v>2.58</v>
      </c>
      <c r="AE29" s="45">
        <v>2.64</v>
      </c>
      <c r="AF29" s="45">
        <v>2.69</v>
      </c>
    </row>
    <row r="30" spans="1:32" ht="15" customHeight="1" x14ac:dyDescent="0.25">
      <c r="A30" s="43">
        <v>850</v>
      </c>
      <c r="B30" s="45">
        <v>1.19</v>
      </c>
      <c r="C30" s="45">
        <v>1.25</v>
      </c>
      <c r="D30" s="45">
        <v>1.32</v>
      </c>
      <c r="E30" s="45">
        <v>1.38</v>
      </c>
      <c r="F30" s="45">
        <v>1.45</v>
      </c>
      <c r="G30" s="45">
        <v>1.52</v>
      </c>
      <c r="H30" s="45">
        <v>1.58</v>
      </c>
      <c r="I30" s="45">
        <v>1.65</v>
      </c>
      <c r="J30" s="45">
        <v>1.72</v>
      </c>
      <c r="K30" s="45">
        <v>1.78</v>
      </c>
      <c r="L30" s="45">
        <v>1.85</v>
      </c>
      <c r="M30" s="45">
        <v>1.91</v>
      </c>
      <c r="N30" s="45">
        <v>1.98</v>
      </c>
      <c r="O30" s="45">
        <v>2.0499999999999998</v>
      </c>
      <c r="P30" s="45">
        <v>2.11</v>
      </c>
      <c r="Q30" s="45">
        <v>2.1800000000000002</v>
      </c>
      <c r="R30" s="45">
        <v>2.2400000000000002</v>
      </c>
      <c r="S30" s="45">
        <v>2.31</v>
      </c>
      <c r="T30" s="45">
        <v>2.38</v>
      </c>
      <c r="U30" s="45">
        <v>2.44</v>
      </c>
      <c r="V30" s="45">
        <v>2.5099999999999998</v>
      </c>
      <c r="W30" s="45">
        <v>2.58</v>
      </c>
      <c r="X30" s="45">
        <v>2.64</v>
      </c>
      <c r="Y30" s="45">
        <v>2.71</v>
      </c>
      <c r="Z30" s="45">
        <v>2.77</v>
      </c>
      <c r="AA30" s="45">
        <v>2.84</v>
      </c>
      <c r="AB30" s="45">
        <v>2.91</v>
      </c>
      <c r="AC30" s="45">
        <v>2.97</v>
      </c>
      <c r="AD30" s="45">
        <v>3.04</v>
      </c>
      <c r="AE30" s="45">
        <v>3.11</v>
      </c>
      <c r="AF30" s="45">
        <v>3.17</v>
      </c>
    </row>
    <row r="31" spans="1:32" ht="15" customHeight="1" x14ac:dyDescent="0.25">
      <c r="A31" s="43">
        <v>950</v>
      </c>
      <c r="B31" s="45">
        <v>1.36</v>
      </c>
      <c r="C31" s="45">
        <v>1.44</v>
      </c>
      <c r="D31" s="45">
        <v>1.52</v>
      </c>
      <c r="E31" s="45">
        <v>1.59</v>
      </c>
      <c r="F31" s="45">
        <v>1.67</v>
      </c>
      <c r="G31" s="45">
        <v>1.75</v>
      </c>
      <c r="H31" s="45">
        <v>1.82</v>
      </c>
      <c r="I31" s="45">
        <v>1.9</v>
      </c>
      <c r="J31" s="45">
        <v>1.97</v>
      </c>
      <c r="K31" s="45">
        <v>2.0499999999999998</v>
      </c>
      <c r="L31" s="45">
        <v>2.13</v>
      </c>
      <c r="M31" s="45">
        <v>2.2000000000000002</v>
      </c>
      <c r="N31" s="45">
        <v>2.2799999999999998</v>
      </c>
      <c r="O31" s="45">
        <v>2.36</v>
      </c>
      <c r="P31" s="45">
        <v>2.4300000000000002</v>
      </c>
      <c r="Q31" s="45">
        <v>2.5099999999999998</v>
      </c>
      <c r="R31" s="45">
        <v>2.58</v>
      </c>
      <c r="S31" s="45">
        <v>2.66</v>
      </c>
      <c r="T31" s="45">
        <v>2.74</v>
      </c>
      <c r="U31" s="45">
        <v>2.81</v>
      </c>
      <c r="V31" s="45">
        <v>2.89</v>
      </c>
      <c r="W31" s="45">
        <v>2.96</v>
      </c>
      <c r="X31" s="45">
        <v>3.04</v>
      </c>
      <c r="Y31" s="45">
        <v>3.12</v>
      </c>
      <c r="Z31" s="45">
        <v>3.19</v>
      </c>
      <c r="AA31" s="45">
        <v>3.27</v>
      </c>
      <c r="AB31" s="45">
        <v>3.35</v>
      </c>
      <c r="AC31" s="45">
        <v>3.42</v>
      </c>
      <c r="AD31" s="45">
        <v>3.5</v>
      </c>
      <c r="AE31" s="45">
        <v>3.57</v>
      </c>
      <c r="AF31" s="45">
        <v>3.65</v>
      </c>
    </row>
    <row r="32" spans="1:32" ht="15" customHeight="1" x14ac:dyDescent="0.25">
      <c r="A32" s="43">
        <v>1050</v>
      </c>
      <c r="B32" s="45">
        <v>1.54</v>
      </c>
      <c r="C32" s="45">
        <v>1.63</v>
      </c>
      <c r="D32" s="45">
        <v>1.72</v>
      </c>
      <c r="E32" s="45">
        <v>1.8</v>
      </c>
      <c r="F32" s="45">
        <v>1.89</v>
      </c>
      <c r="G32" s="45">
        <v>1.98</v>
      </c>
      <c r="H32" s="45">
        <v>2.06</v>
      </c>
      <c r="I32" s="45">
        <v>2.15</v>
      </c>
      <c r="J32" s="45">
        <v>2.23</v>
      </c>
      <c r="K32" s="45">
        <v>2.3199999999999998</v>
      </c>
      <c r="L32" s="45">
        <v>2.41</v>
      </c>
      <c r="M32" s="45">
        <v>2.4900000000000002</v>
      </c>
      <c r="N32" s="45">
        <v>2.58</v>
      </c>
      <c r="O32" s="45">
        <v>2.67</v>
      </c>
      <c r="P32" s="45">
        <v>2.75</v>
      </c>
      <c r="Q32" s="45">
        <v>2.84</v>
      </c>
      <c r="R32" s="45">
        <v>2.92</v>
      </c>
      <c r="S32" s="45">
        <v>3.01</v>
      </c>
      <c r="T32" s="45">
        <v>3.1</v>
      </c>
      <c r="U32" s="45">
        <v>3.18</v>
      </c>
      <c r="V32" s="45">
        <v>3.27</v>
      </c>
      <c r="W32" s="45">
        <v>3.35</v>
      </c>
      <c r="X32" s="45">
        <v>3.44</v>
      </c>
      <c r="Y32" s="45">
        <v>3.53</v>
      </c>
      <c r="Z32" s="45">
        <v>3.61</v>
      </c>
      <c r="AA32" s="45">
        <v>3.7</v>
      </c>
      <c r="AB32" s="45">
        <v>3.78</v>
      </c>
      <c r="AC32" s="45">
        <v>3.87</v>
      </c>
      <c r="AD32" s="45">
        <v>3.95</v>
      </c>
      <c r="AE32" s="45">
        <v>4.04</v>
      </c>
      <c r="AF32" s="45">
        <v>4.13</v>
      </c>
    </row>
    <row r="33" spans="1:32" ht="15" customHeight="1" x14ac:dyDescent="0.25">
      <c r="A33" s="43">
        <v>1150</v>
      </c>
      <c r="B33" s="45">
        <v>1.72</v>
      </c>
      <c r="C33" s="45">
        <v>1.82</v>
      </c>
      <c r="D33" s="45">
        <v>1.92</v>
      </c>
      <c r="E33" s="45">
        <v>2.0099999999999998</v>
      </c>
      <c r="F33" s="45">
        <v>2.11</v>
      </c>
      <c r="G33" s="45">
        <v>2.2000000000000002</v>
      </c>
      <c r="H33" s="45">
        <v>2.2999999999999998</v>
      </c>
      <c r="I33" s="45">
        <v>2.4</v>
      </c>
      <c r="J33" s="45">
        <v>2.4900000000000002</v>
      </c>
      <c r="K33" s="45">
        <v>2.59</v>
      </c>
      <c r="L33" s="45">
        <v>2.69</v>
      </c>
      <c r="M33" s="45">
        <v>2.78</v>
      </c>
      <c r="N33" s="45">
        <v>2.88</v>
      </c>
      <c r="O33" s="45">
        <v>2.97</v>
      </c>
      <c r="P33" s="45">
        <v>3.07</v>
      </c>
      <c r="Q33" s="45">
        <v>3.17</v>
      </c>
      <c r="R33" s="45">
        <v>3.26</v>
      </c>
      <c r="S33" s="45">
        <v>3.36</v>
      </c>
      <c r="T33" s="45">
        <v>3.45</v>
      </c>
      <c r="U33" s="45">
        <v>3.55</v>
      </c>
      <c r="V33" s="45">
        <v>3.65</v>
      </c>
      <c r="W33" s="45">
        <v>3.74</v>
      </c>
      <c r="X33" s="45">
        <v>3.84</v>
      </c>
      <c r="Y33" s="45">
        <v>3.94</v>
      </c>
      <c r="Z33" s="45">
        <v>4.03</v>
      </c>
      <c r="AA33" s="45">
        <v>4.13</v>
      </c>
      <c r="AB33" s="45">
        <v>4.22</v>
      </c>
      <c r="AC33" s="45">
        <v>4.32</v>
      </c>
      <c r="AD33" s="45">
        <v>4.42</v>
      </c>
      <c r="AE33" s="45">
        <v>4.51</v>
      </c>
      <c r="AF33" s="45">
        <v>4.6100000000000003</v>
      </c>
    </row>
    <row r="34" spans="1:32" ht="15" customHeight="1" x14ac:dyDescent="0.25">
      <c r="A34" s="43">
        <v>1250</v>
      </c>
      <c r="B34" s="45">
        <v>1.9</v>
      </c>
      <c r="C34" s="45">
        <v>2.0099999999999998</v>
      </c>
      <c r="D34" s="45">
        <v>2.11</v>
      </c>
      <c r="E34" s="45">
        <v>2.2200000000000002</v>
      </c>
      <c r="F34" s="45">
        <v>2.33</v>
      </c>
      <c r="G34" s="45">
        <v>2.4300000000000002</v>
      </c>
      <c r="H34" s="45">
        <v>2.54</v>
      </c>
      <c r="I34" s="45">
        <v>2.65</v>
      </c>
      <c r="J34" s="45">
        <v>2.75</v>
      </c>
      <c r="K34" s="45">
        <v>2.85</v>
      </c>
      <c r="L34" s="45">
        <v>2.96</v>
      </c>
      <c r="M34" s="45">
        <v>3.07</v>
      </c>
      <c r="N34" s="45">
        <v>3.17</v>
      </c>
      <c r="O34" s="45">
        <v>3.28</v>
      </c>
      <c r="P34" s="45">
        <v>3.39</v>
      </c>
      <c r="Q34" s="45">
        <v>3.5</v>
      </c>
      <c r="R34" s="45">
        <v>3.6</v>
      </c>
      <c r="S34" s="45">
        <v>3.71</v>
      </c>
      <c r="T34" s="45">
        <v>3.81</v>
      </c>
      <c r="U34" s="45">
        <v>3.92</v>
      </c>
      <c r="V34" s="45">
        <v>4.03</v>
      </c>
      <c r="W34" s="45">
        <v>4.13</v>
      </c>
      <c r="X34" s="45">
        <v>4.24</v>
      </c>
      <c r="Y34" s="45">
        <v>4.34</v>
      </c>
      <c r="Z34" s="45">
        <v>4.45</v>
      </c>
      <c r="AA34" s="45">
        <v>4.5599999999999996</v>
      </c>
      <c r="AB34" s="45">
        <v>4.66</v>
      </c>
      <c r="AC34" s="45">
        <v>4.7699999999999996</v>
      </c>
      <c r="AD34" s="45">
        <v>4.88</v>
      </c>
      <c r="AE34" s="45">
        <v>4.9800000000000004</v>
      </c>
      <c r="AF34" s="45">
        <v>5.09</v>
      </c>
    </row>
    <row r="35" spans="1:32" ht="15" customHeight="1" x14ac:dyDescent="0.25">
      <c r="A35" s="43">
        <v>1350</v>
      </c>
      <c r="B35" s="45">
        <v>2.08</v>
      </c>
      <c r="C35" s="45">
        <v>2.2000000000000002</v>
      </c>
      <c r="D35" s="45">
        <v>2.31</v>
      </c>
      <c r="E35" s="45">
        <v>2.4300000000000002</v>
      </c>
      <c r="F35" s="45">
        <v>2.5499999999999998</v>
      </c>
      <c r="G35" s="45">
        <v>2.66</v>
      </c>
      <c r="H35" s="45">
        <v>2.78</v>
      </c>
      <c r="I35" s="45">
        <v>2.89</v>
      </c>
      <c r="J35" s="45">
        <v>3.01</v>
      </c>
      <c r="K35" s="45">
        <v>3.13</v>
      </c>
      <c r="L35" s="45">
        <v>3.24</v>
      </c>
      <c r="M35" s="45">
        <v>3.36</v>
      </c>
      <c r="N35" s="45">
        <v>3.47</v>
      </c>
      <c r="O35" s="45">
        <v>3.59</v>
      </c>
      <c r="P35" s="45">
        <v>3.71</v>
      </c>
      <c r="Q35" s="45">
        <v>3.82</v>
      </c>
      <c r="R35" s="45">
        <v>3.94</v>
      </c>
      <c r="S35" s="45">
        <v>4.0599999999999996</v>
      </c>
      <c r="T35" s="45">
        <v>4.17</v>
      </c>
      <c r="U35" s="45">
        <v>4.29</v>
      </c>
      <c r="V35" s="45">
        <v>4.41</v>
      </c>
      <c r="W35" s="45">
        <v>4.5199999999999996</v>
      </c>
      <c r="X35" s="45">
        <v>4.6399999999999997</v>
      </c>
      <c r="Y35" s="45">
        <v>4.75</v>
      </c>
      <c r="Z35" s="45">
        <v>4.87</v>
      </c>
      <c r="AA35" s="45">
        <v>4.99</v>
      </c>
      <c r="AB35" s="45">
        <v>5.0999999999999996</v>
      </c>
      <c r="AC35" s="45">
        <v>5.22</v>
      </c>
      <c r="AD35" s="45">
        <v>5.33</v>
      </c>
      <c r="AE35" s="45">
        <v>5.45</v>
      </c>
      <c r="AF35" s="45">
        <v>5.57</v>
      </c>
    </row>
    <row r="36" spans="1:32" ht="15" customHeight="1" x14ac:dyDescent="0.25">
      <c r="A36" s="43">
        <v>1450</v>
      </c>
      <c r="B36" s="45">
        <v>2.2599999999999998</v>
      </c>
      <c r="C36" s="45">
        <v>2.39</v>
      </c>
      <c r="D36" s="45">
        <v>2.5099999999999998</v>
      </c>
      <c r="E36" s="45">
        <v>2.64</v>
      </c>
      <c r="F36" s="45">
        <v>2.77</v>
      </c>
      <c r="G36" s="45">
        <v>2.89</v>
      </c>
      <c r="H36" s="45">
        <v>3.02</v>
      </c>
      <c r="I36" s="45">
        <v>3.14</v>
      </c>
      <c r="J36" s="45">
        <v>3.27</v>
      </c>
      <c r="K36" s="45">
        <v>3.4</v>
      </c>
      <c r="L36" s="45">
        <v>3.52</v>
      </c>
      <c r="M36" s="45">
        <v>3.65</v>
      </c>
      <c r="N36" s="45">
        <v>3.77</v>
      </c>
      <c r="O36" s="45">
        <v>3.9</v>
      </c>
      <c r="P36" s="45">
        <v>4.03</v>
      </c>
      <c r="Q36" s="45">
        <v>4.1500000000000004</v>
      </c>
      <c r="R36" s="45">
        <v>4.28</v>
      </c>
      <c r="S36" s="45">
        <v>4.41</v>
      </c>
      <c r="T36" s="45">
        <v>4.53</v>
      </c>
      <c r="U36" s="45">
        <v>4.66</v>
      </c>
      <c r="V36" s="45">
        <v>4.78</v>
      </c>
      <c r="W36" s="45">
        <v>4.91</v>
      </c>
      <c r="X36" s="45">
        <v>5.04</v>
      </c>
      <c r="Y36" s="45">
        <v>5.16</v>
      </c>
      <c r="Z36" s="45">
        <v>5.29</v>
      </c>
      <c r="AA36" s="45">
        <v>5.42</v>
      </c>
      <c r="AB36" s="45">
        <v>5.54</v>
      </c>
      <c r="AC36" s="45">
        <v>5.67</v>
      </c>
      <c r="AD36" s="45">
        <v>5.79</v>
      </c>
      <c r="AE36" s="45">
        <v>5.92</v>
      </c>
      <c r="AF36" s="45">
        <v>6.05</v>
      </c>
    </row>
    <row r="37" spans="1:32" ht="15" customHeight="1" x14ac:dyDescent="0.25">
      <c r="A37" s="43">
        <v>1550</v>
      </c>
      <c r="B37" s="45">
        <v>2.44</v>
      </c>
      <c r="C37" s="45">
        <v>2.58</v>
      </c>
      <c r="D37" s="45">
        <v>2.71</v>
      </c>
      <c r="E37" s="45">
        <v>2.85</v>
      </c>
      <c r="F37" s="45">
        <v>2.98</v>
      </c>
      <c r="G37" s="45">
        <v>3.12</v>
      </c>
      <c r="H37" s="45">
        <v>3.26</v>
      </c>
      <c r="I37" s="45">
        <v>3.39</v>
      </c>
      <c r="J37" s="45">
        <v>3.53</v>
      </c>
      <c r="K37" s="45">
        <v>3.67</v>
      </c>
      <c r="L37" s="45">
        <v>3.8</v>
      </c>
      <c r="M37" s="45">
        <v>3.94</v>
      </c>
      <c r="N37" s="45">
        <v>4.07</v>
      </c>
      <c r="O37" s="45">
        <v>4.21</v>
      </c>
      <c r="P37" s="45">
        <v>4.3499999999999996</v>
      </c>
      <c r="Q37" s="45">
        <v>4.4800000000000004</v>
      </c>
      <c r="R37" s="45">
        <v>4.62</v>
      </c>
      <c r="S37" s="45">
        <v>4.76</v>
      </c>
      <c r="T37" s="45">
        <v>4.8899999999999997</v>
      </c>
      <c r="U37" s="45">
        <v>5.03</v>
      </c>
      <c r="V37" s="45">
        <v>5.16</v>
      </c>
      <c r="W37" s="45">
        <v>5.3</v>
      </c>
      <c r="X37" s="45">
        <v>5.44</v>
      </c>
      <c r="Y37" s="45">
        <v>5.57</v>
      </c>
      <c r="Z37" s="45">
        <v>5.71</v>
      </c>
      <c r="AA37" s="45">
        <v>5.84</v>
      </c>
      <c r="AB37" s="45">
        <v>5.98</v>
      </c>
      <c r="AC37" s="45">
        <v>6.12</v>
      </c>
      <c r="AD37" s="45">
        <v>6.25</v>
      </c>
      <c r="AE37" s="45">
        <v>6.39</v>
      </c>
      <c r="AF37" s="45">
        <v>6.53</v>
      </c>
    </row>
    <row r="38" spans="1:32" ht="15" customHeight="1" x14ac:dyDescent="0.25">
      <c r="A38" s="43">
        <v>1650</v>
      </c>
      <c r="B38" s="45">
        <v>2.62</v>
      </c>
      <c r="C38" s="45">
        <v>2.77</v>
      </c>
      <c r="D38" s="45">
        <v>2.91</v>
      </c>
      <c r="E38" s="45">
        <v>3.06</v>
      </c>
      <c r="F38" s="45">
        <v>3.2</v>
      </c>
      <c r="G38" s="45">
        <v>3.35</v>
      </c>
      <c r="H38" s="45">
        <v>3.5</v>
      </c>
      <c r="I38" s="45">
        <v>3.64</v>
      </c>
      <c r="J38" s="45">
        <v>3.79</v>
      </c>
      <c r="K38" s="45">
        <v>3.93</v>
      </c>
      <c r="L38" s="45">
        <v>4.08</v>
      </c>
      <c r="M38" s="45">
        <v>4.2300000000000004</v>
      </c>
      <c r="N38" s="45">
        <v>4.37</v>
      </c>
      <c r="O38" s="45">
        <v>4.5199999999999996</v>
      </c>
      <c r="P38" s="45">
        <v>4.67</v>
      </c>
      <c r="Q38" s="45">
        <v>4.8099999999999996</v>
      </c>
      <c r="R38" s="45">
        <v>4.96</v>
      </c>
      <c r="S38" s="45">
        <v>5.0999999999999996</v>
      </c>
      <c r="T38" s="45">
        <v>5.25</v>
      </c>
      <c r="U38" s="45">
        <v>5.4</v>
      </c>
      <c r="V38" s="45">
        <v>5.54</v>
      </c>
      <c r="W38" s="45">
        <v>5.69</v>
      </c>
      <c r="X38" s="45">
        <v>5.84</v>
      </c>
      <c r="Y38" s="45">
        <v>5.98</v>
      </c>
      <c r="Z38" s="45">
        <v>6.13</v>
      </c>
      <c r="AA38" s="45">
        <v>6.27</v>
      </c>
      <c r="AB38" s="45">
        <v>6.42</v>
      </c>
      <c r="AC38" s="45">
        <v>6.57</v>
      </c>
      <c r="AD38" s="45">
        <v>6.71</v>
      </c>
      <c r="AE38" s="45">
        <v>6.86</v>
      </c>
      <c r="AF38" s="45">
        <v>7</v>
      </c>
    </row>
    <row r="39" spans="1:32" ht="15" customHeight="1" x14ac:dyDescent="0.25">
      <c r="A39" s="43">
        <v>1750</v>
      </c>
      <c r="B39" s="45">
        <v>2.8</v>
      </c>
      <c r="C39" s="45">
        <v>2.95</v>
      </c>
      <c r="D39" s="45">
        <v>3.11</v>
      </c>
      <c r="E39" s="45">
        <v>3.27</v>
      </c>
      <c r="F39" s="45">
        <v>3.42</v>
      </c>
      <c r="G39" s="45">
        <v>3.58</v>
      </c>
      <c r="H39" s="45">
        <v>3.74</v>
      </c>
      <c r="I39" s="45">
        <v>3.89</v>
      </c>
      <c r="J39" s="45">
        <v>4.05</v>
      </c>
      <c r="K39" s="45">
        <v>4.2</v>
      </c>
      <c r="L39" s="45">
        <v>4.3600000000000003</v>
      </c>
      <c r="M39" s="45">
        <v>4.5199999999999996</v>
      </c>
      <c r="N39" s="45">
        <v>4.67</v>
      </c>
      <c r="O39" s="45">
        <v>4.83</v>
      </c>
      <c r="P39" s="45">
        <v>4.9800000000000004</v>
      </c>
      <c r="Q39" s="45">
        <v>5.14</v>
      </c>
      <c r="R39" s="45">
        <v>5.3</v>
      </c>
      <c r="S39" s="45">
        <v>5.45</v>
      </c>
      <c r="T39" s="45">
        <v>5.61</v>
      </c>
      <c r="U39" s="45">
        <v>5.77</v>
      </c>
      <c r="V39" s="45">
        <v>5.92</v>
      </c>
      <c r="W39" s="45">
        <v>6.08</v>
      </c>
      <c r="X39" s="45">
        <v>6.23</v>
      </c>
      <c r="Y39" s="45">
        <v>6.39</v>
      </c>
      <c r="Z39" s="45">
        <v>6.55</v>
      </c>
      <c r="AA39" s="45">
        <v>6.7</v>
      </c>
      <c r="AB39" s="45">
        <v>6.86</v>
      </c>
      <c r="AC39" s="45">
        <v>7.02</v>
      </c>
      <c r="AD39" s="45">
        <v>7.17</v>
      </c>
      <c r="AE39" s="45">
        <v>7.33</v>
      </c>
      <c r="AF39" s="45">
        <v>7.48</v>
      </c>
    </row>
    <row r="40" spans="1:32" ht="15" customHeight="1" x14ac:dyDescent="0.25">
      <c r="A40" s="43">
        <v>1850</v>
      </c>
      <c r="B40" s="45">
        <v>2.98</v>
      </c>
      <c r="C40" s="45">
        <v>3.14</v>
      </c>
      <c r="D40" s="45">
        <v>3.31</v>
      </c>
      <c r="E40" s="45">
        <v>3.48</v>
      </c>
      <c r="F40" s="45">
        <v>3.64</v>
      </c>
      <c r="G40" s="45">
        <v>3.81</v>
      </c>
      <c r="H40" s="45">
        <v>3.97</v>
      </c>
      <c r="I40" s="45">
        <v>4.1399999999999997</v>
      </c>
      <c r="J40" s="45">
        <v>4.3099999999999996</v>
      </c>
      <c r="K40" s="45">
        <v>4.47</v>
      </c>
      <c r="L40" s="45">
        <v>4.6399999999999997</v>
      </c>
      <c r="M40" s="45">
        <v>4.8099999999999996</v>
      </c>
      <c r="N40" s="45">
        <v>4.97</v>
      </c>
      <c r="O40" s="45">
        <v>5.14</v>
      </c>
      <c r="P40" s="45">
        <v>5.3</v>
      </c>
      <c r="Q40" s="45">
        <v>5.47</v>
      </c>
      <c r="R40" s="45">
        <v>5.64</v>
      </c>
      <c r="S40" s="45">
        <v>5.8</v>
      </c>
      <c r="T40" s="45">
        <v>5.97</v>
      </c>
      <c r="U40" s="45">
        <v>6.14</v>
      </c>
      <c r="V40" s="45">
        <v>6.3</v>
      </c>
      <c r="W40" s="45">
        <v>6.47</v>
      </c>
      <c r="X40" s="45">
        <v>6.63</v>
      </c>
      <c r="Y40" s="45">
        <v>6.8</v>
      </c>
      <c r="Z40" s="45">
        <v>6.97</v>
      </c>
      <c r="AA40" s="45">
        <v>7.13</v>
      </c>
      <c r="AB40" s="45">
        <v>7.3</v>
      </c>
      <c r="AC40" s="45">
        <v>7.46</v>
      </c>
      <c r="AD40" s="45">
        <v>7.63</v>
      </c>
      <c r="AE40" s="45">
        <v>7.8</v>
      </c>
      <c r="AF40" s="45">
        <v>7.96</v>
      </c>
    </row>
    <row r="41" spans="1:32" ht="15" customHeight="1" x14ac:dyDescent="0.25">
      <c r="A41" s="43">
        <v>1950</v>
      </c>
      <c r="B41" s="45">
        <v>3.16</v>
      </c>
      <c r="C41" s="45">
        <v>3.33</v>
      </c>
      <c r="D41" s="45">
        <v>3.51</v>
      </c>
      <c r="E41" s="45">
        <v>3.69</v>
      </c>
      <c r="F41" s="45">
        <v>3.86</v>
      </c>
      <c r="G41" s="45">
        <v>4.04</v>
      </c>
      <c r="H41" s="45">
        <v>4.21</v>
      </c>
      <c r="I41" s="45">
        <v>4.3899999999999997</v>
      </c>
      <c r="J41" s="45">
        <v>4.57</v>
      </c>
      <c r="K41" s="45">
        <v>4.74</v>
      </c>
      <c r="L41" s="45">
        <v>4.92</v>
      </c>
      <c r="M41" s="45">
        <v>5.09</v>
      </c>
      <c r="N41" s="45">
        <v>5.27</v>
      </c>
      <c r="O41" s="45">
        <v>5.45</v>
      </c>
      <c r="P41" s="45">
        <v>5.62</v>
      </c>
      <c r="Q41" s="45">
        <v>5.8</v>
      </c>
      <c r="R41" s="45">
        <v>5.98</v>
      </c>
      <c r="S41" s="45">
        <v>6.15</v>
      </c>
      <c r="T41" s="45">
        <v>6.33</v>
      </c>
      <c r="U41" s="45">
        <v>6.5</v>
      </c>
      <c r="V41" s="45">
        <v>6.68</v>
      </c>
      <c r="W41" s="45">
        <v>6.86</v>
      </c>
      <c r="X41" s="45">
        <v>7.03</v>
      </c>
      <c r="Y41" s="45">
        <v>7.21</v>
      </c>
      <c r="Z41" s="45">
        <v>7.39</v>
      </c>
      <c r="AA41" s="45">
        <v>7.56</v>
      </c>
      <c r="AB41" s="45">
        <v>7.74</v>
      </c>
      <c r="AC41" s="45">
        <v>7.91</v>
      </c>
      <c r="AD41" s="45">
        <v>8.09</v>
      </c>
      <c r="AE41" s="45">
        <v>8.27</v>
      </c>
      <c r="AF41" s="45">
        <v>8.44</v>
      </c>
    </row>
    <row r="42" spans="1:32" ht="15" customHeight="1" x14ac:dyDescent="0.25">
      <c r="A42" s="43">
        <v>2050</v>
      </c>
      <c r="B42" s="45">
        <v>3.34</v>
      </c>
      <c r="C42" s="45">
        <v>3.52</v>
      </c>
      <c r="D42" s="45">
        <v>3.71</v>
      </c>
      <c r="E42" s="45">
        <v>3.89</v>
      </c>
      <c r="F42" s="45">
        <v>4.08</v>
      </c>
      <c r="G42" s="45">
        <v>4.2699999999999996</v>
      </c>
      <c r="H42" s="45">
        <v>4.45</v>
      </c>
      <c r="I42" s="45">
        <v>4.6399999999999997</v>
      </c>
      <c r="J42" s="45">
        <v>4.83</v>
      </c>
      <c r="K42" s="45">
        <v>5.01</v>
      </c>
      <c r="L42" s="45">
        <v>5.2</v>
      </c>
      <c r="M42" s="45">
        <v>5.38</v>
      </c>
      <c r="N42" s="45">
        <v>5.57</v>
      </c>
      <c r="O42" s="45">
        <v>5.76</v>
      </c>
      <c r="P42" s="45">
        <v>5.94</v>
      </c>
      <c r="Q42" s="45">
        <v>6.13</v>
      </c>
      <c r="R42" s="45">
        <v>6.31</v>
      </c>
      <c r="S42" s="45">
        <v>6.5</v>
      </c>
      <c r="T42" s="45">
        <v>6.69</v>
      </c>
      <c r="U42" s="45">
        <v>6.87</v>
      </c>
      <c r="V42" s="45">
        <v>7.06</v>
      </c>
      <c r="W42" s="45">
        <v>7.25</v>
      </c>
      <c r="X42" s="45">
        <v>7.43</v>
      </c>
      <c r="Y42" s="45">
        <v>7.62</v>
      </c>
      <c r="Z42" s="45">
        <v>7.8</v>
      </c>
      <c r="AA42" s="45">
        <v>7.99</v>
      </c>
      <c r="AB42" s="45">
        <v>8.18</v>
      </c>
      <c r="AC42" s="45">
        <v>8.36</v>
      </c>
      <c r="AD42" s="45">
        <v>8.5500000000000007</v>
      </c>
      <c r="AE42" s="45">
        <v>8.74</v>
      </c>
      <c r="AF42" s="45">
        <v>8.92</v>
      </c>
    </row>
    <row r="43" spans="1:32" ht="15" customHeight="1" x14ac:dyDescent="0.25">
      <c r="A43" s="43">
        <v>2150</v>
      </c>
      <c r="B43" s="45">
        <v>3.52</v>
      </c>
      <c r="C43" s="45">
        <v>3.71</v>
      </c>
      <c r="D43" s="45">
        <v>3.91</v>
      </c>
      <c r="E43" s="45">
        <v>4.0999999999999996</v>
      </c>
      <c r="F43" s="45">
        <v>4.3</v>
      </c>
      <c r="G43" s="45">
        <v>4.5</v>
      </c>
      <c r="H43" s="45">
        <v>4.6900000000000004</v>
      </c>
      <c r="I43" s="45">
        <v>4.8899999999999997</v>
      </c>
      <c r="J43" s="45">
        <v>5.08</v>
      </c>
      <c r="K43" s="45">
        <v>5.28</v>
      </c>
      <c r="L43" s="45">
        <v>5.48</v>
      </c>
      <c r="M43" s="45">
        <v>5.67</v>
      </c>
      <c r="N43" s="45">
        <v>5.87</v>
      </c>
      <c r="O43" s="45">
        <v>6.07</v>
      </c>
      <c r="P43" s="45">
        <v>6.26</v>
      </c>
      <c r="Q43" s="45">
        <v>6.46</v>
      </c>
      <c r="R43" s="45">
        <v>6.65</v>
      </c>
      <c r="S43" s="45">
        <v>6.85</v>
      </c>
      <c r="T43" s="45">
        <v>7.05</v>
      </c>
      <c r="U43" s="45">
        <v>7.24</v>
      </c>
      <c r="V43" s="45">
        <v>7.44</v>
      </c>
      <c r="W43" s="45">
        <v>7.63</v>
      </c>
      <c r="X43" s="45">
        <v>7.83</v>
      </c>
      <c r="Y43" s="45">
        <v>8.0299999999999994</v>
      </c>
      <c r="Z43" s="45">
        <v>8.2200000000000006</v>
      </c>
      <c r="AA43" s="45">
        <v>8.42</v>
      </c>
      <c r="AB43" s="45">
        <v>8.6199999999999992</v>
      </c>
      <c r="AC43" s="45">
        <v>8.81</v>
      </c>
      <c r="AD43" s="45">
        <v>9.01</v>
      </c>
      <c r="AE43" s="45">
        <v>9.1999999999999993</v>
      </c>
      <c r="AF43" s="45">
        <v>9.4</v>
      </c>
    </row>
    <row r="44" spans="1:32" ht="15" customHeight="1" x14ac:dyDescent="0.25">
      <c r="A44" s="43">
        <v>2250</v>
      </c>
      <c r="B44" s="45">
        <v>3.69</v>
      </c>
      <c r="C44" s="45">
        <v>3.9</v>
      </c>
      <c r="D44" s="45">
        <v>4.1100000000000003</v>
      </c>
      <c r="E44" s="45">
        <v>4.3099999999999996</v>
      </c>
      <c r="F44" s="45">
        <v>4.5199999999999996</v>
      </c>
      <c r="G44" s="45">
        <v>4.7300000000000004</v>
      </c>
      <c r="H44" s="45">
        <v>4.93</v>
      </c>
      <c r="I44" s="45">
        <v>5.14</v>
      </c>
      <c r="J44" s="45">
        <v>5.34</v>
      </c>
      <c r="K44" s="45">
        <v>5.55</v>
      </c>
      <c r="L44" s="45">
        <v>5.76</v>
      </c>
      <c r="M44" s="45">
        <v>5.96</v>
      </c>
      <c r="N44" s="45">
        <v>6.17</v>
      </c>
      <c r="O44" s="45">
        <v>6.37</v>
      </c>
      <c r="P44" s="45">
        <v>6.58</v>
      </c>
      <c r="Q44" s="45">
        <v>6.79</v>
      </c>
      <c r="R44" s="45">
        <v>6.99</v>
      </c>
      <c r="S44" s="45">
        <v>7.2</v>
      </c>
      <c r="T44" s="45">
        <v>7.41</v>
      </c>
      <c r="U44" s="45">
        <v>7.61</v>
      </c>
      <c r="V44" s="45">
        <v>7.82</v>
      </c>
      <c r="W44" s="45">
        <v>8.02</v>
      </c>
      <c r="X44" s="45">
        <v>8.23</v>
      </c>
      <c r="Y44" s="45">
        <v>8.44</v>
      </c>
      <c r="Z44" s="45">
        <v>8.65</v>
      </c>
      <c r="AA44" s="45">
        <v>8.85</v>
      </c>
      <c r="AB44" s="45">
        <v>9.06</v>
      </c>
      <c r="AC44" s="45">
        <v>9.26</v>
      </c>
      <c r="AD44" s="45">
        <v>9.4700000000000006</v>
      </c>
      <c r="AE44" s="45">
        <v>9.67</v>
      </c>
      <c r="AF44" s="45">
        <v>9.8800000000000008</v>
      </c>
    </row>
    <row r="45" spans="1:32" ht="15" customHeight="1" x14ac:dyDescent="0.25">
      <c r="A45" s="43">
        <v>2350</v>
      </c>
      <c r="B45" s="45">
        <v>3.87</v>
      </c>
      <c r="C45" s="45">
        <v>4.09</v>
      </c>
      <c r="D45" s="45">
        <v>4.3099999999999996</v>
      </c>
      <c r="E45" s="45">
        <v>4.5199999999999996</v>
      </c>
      <c r="F45" s="45">
        <v>4.74</v>
      </c>
      <c r="G45" s="45">
        <v>4.95</v>
      </c>
      <c r="H45" s="45">
        <v>5.17</v>
      </c>
      <c r="I45" s="45">
        <v>5.39</v>
      </c>
      <c r="J45" s="45">
        <v>5.6</v>
      </c>
      <c r="K45" s="45">
        <v>5.82</v>
      </c>
      <c r="L45" s="45">
        <v>6.04</v>
      </c>
      <c r="M45" s="45">
        <v>6.25</v>
      </c>
      <c r="N45" s="45">
        <v>6.47</v>
      </c>
      <c r="O45" s="45">
        <v>6.68</v>
      </c>
      <c r="P45" s="45">
        <v>6.9</v>
      </c>
      <c r="Q45" s="45">
        <v>7.12</v>
      </c>
      <c r="R45" s="45">
        <v>7.33</v>
      </c>
      <c r="S45" s="45">
        <v>7.55</v>
      </c>
      <c r="T45" s="45">
        <v>7.76</v>
      </c>
      <c r="U45" s="45">
        <v>7.98</v>
      </c>
      <c r="V45" s="45">
        <v>8.1999999999999993</v>
      </c>
      <c r="W45" s="45">
        <v>8.41</v>
      </c>
      <c r="X45" s="45">
        <v>8.6300000000000008</v>
      </c>
      <c r="Y45" s="45">
        <v>8.85</v>
      </c>
      <c r="Z45" s="45">
        <v>9.06</v>
      </c>
      <c r="AA45" s="45">
        <v>9.2799999999999994</v>
      </c>
      <c r="AB45" s="45">
        <v>9.49</v>
      </c>
      <c r="AC45" s="45">
        <v>9.7100000000000009</v>
      </c>
      <c r="AD45" s="45">
        <v>9.93</v>
      </c>
      <c r="AE45" s="45">
        <v>10.14</v>
      </c>
      <c r="AF45" s="45">
        <v>10.36</v>
      </c>
    </row>
    <row r="46" spans="1:32" ht="15" customHeight="1" x14ac:dyDescent="0.25">
      <c r="A46" s="43">
        <v>2450</v>
      </c>
      <c r="B46" s="45">
        <v>4.05</v>
      </c>
      <c r="C46" s="45">
        <v>4.28</v>
      </c>
      <c r="D46" s="45">
        <v>4.51</v>
      </c>
      <c r="E46" s="45">
        <v>4.7300000000000004</v>
      </c>
      <c r="F46" s="45">
        <v>4.96</v>
      </c>
      <c r="G46" s="45">
        <v>5.18</v>
      </c>
      <c r="H46" s="45">
        <v>5.41</v>
      </c>
      <c r="I46" s="45">
        <v>5.64</v>
      </c>
      <c r="J46" s="45">
        <v>5.86</v>
      </c>
      <c r="K46" s="45">
        <v>6.09</v>
      </c>
      <c r="L46" s="45">
        <v>6.31</v>
      </c>
      <c r="M46" s="45">
        <v>6.54</v>
      </c>
      <c r="N46" s="45">
        <v>6.77</v>
      </c>
      <c r="O46" s="45">
        <v>6.99</v>
      </c>
      <c r="P46" s="45">
        <v>7.22</v>
      </c>
      <c r="Q46" s="45">
        <v>7.45</v>
      </c>
      <c r="R46" s="45">
        <v>7.67</v>
      </c>
      <c r="S46" s="45">
        <v>7.9</v>
      </c>
      <c r="T46" s="45">
        <v>8.1199999999999992</v>
      </c>
      <c r="U46" s="45">
        <v>8.35</v>
      </c>
      <c r="V46" s="45">
        <v>8.58</v>
      </c>
      <c r="W46" s="45">
        <v>8.8000000000000007</v>
      </c>
      <c r="X46" s="45">
        <v>9.0299999999999994</v>
      </c>
      <c r="Y46" s="45">
        <v>9.25</v>
      </c>
      <c r="Z46" s="45">
        <v>9.48</v>
      </c>
      <c r="AA46" s="45">
        <v>9.7100000000000009</v>
      </c>
      <c r="AB46" s="45">
        <v>9.93</v>
      </c>
      <c r="AC46" s="45">
        <v>10.16</v>
      </c>
      <c r="AD46" s="45">
        <v>10.38</v>
      </c>
      <c r="AE46" s="45">
        <v>10.61</v>
      </c>
      <c r="AF46" s="45">
        <v>10.83</v>
      </c>
    </row>
    <row r="47" spans="1:32" ht="15" customHeight="1" x14ac:dyDescent="0.25">
      <c r="A47" s="43">
        <v>2550</v>
      </c>
      <c r="B47" s="45">
        <v>4.2300000000000004</v>
      </c>
      <c r="C47" s="45">
        <v>4.47</v>
      </c>
      <c r="D47" s="45">
        <v>4.7</v>
      </c>
      <c r="E47" s="45">
        <v>4.9400000000000004</v>
      </c>
      <c r="F47" s="45">
        <v>5.18</v>
      </c>
      <c r="G47" s="45">
        <v>5.41</v>
      </c>
      <c r="H47" s="45">
        <v>5.65</v>
      </c>
      <c r="I47" s="45">
        <v>5.89</v>
      </c>
      <c r="J47" s="45">
        <v>6.12</v>
      </c>
      <c r="K47" s="45">
        <v>6.36</v>
      </c>
      <c r="L47" s="45">
        <v>6.59</v>
      </c>
      <c r="M47" s="45">
        <v>6.83</v>
      </c>
      <c r="N47" s="45">
        <v>7.07</v>
      </c>
      <c r="O47" s="45">
        <v>7.3</v>
      </c>
      <c r="P47" s="45">
        <v>7.54</v>
      </c>
      <c r="Q47" s="45">
        <v>7.77</v>
      </c>
      <c r="R47" s="45">
        <v>8.01</v>
      </c>
      <c r="S47" s="45">
        <v>8.25</v>
      </c>
      <c r="T47" s="45">
        <v>8.48</v>
      </c>
      <c r="U47" s="45">
        <v>8.7200000000000006</v>
      </c>
      <c r="V47" s="45">
        <v>8.9600000000000009</v>
      </c>
      <c r="W47" s="45">
        <v>9.19</v>
      </c>
      <c r="X47" s="45">
        <v>9.43</v>
      </c>
      <c r="Y47" s="45">
        <v>9.66</v>
      </c>
      <c r="Z47" s="45">
        <v>9.9</v>
      </c>
      <c r="AA47" s="45">
        <v>10.14</v>
      </c>
      <c r="AB47" s="45">
        <v>10.37</v>
      </c>
      <c r="AC47" s="45">
        <v>10.61</v>
      </c>
      <c r="AD47" s="45">
        <v>10.84</v>
      </c>
      <c r="AE47" s="45">
        <v>11.08</v>
      </c>
      <c r="AF47" s="45">
        <v>11.32</v>
      </c>
    </row>
    <row r="48" spans="1:32" ht="15" customHeight="1" x14ac:dyDescent="0.25">
      <c r="A48" s="43">
        <v>2650</v>
      </c>
      <c r="B48" s="45">
        <v>4.41</v>
      </c>
      <c r="C48" s="45">
        <v>4.66</v>
      </c>
      <c r="D48" s="45">
        <v>4.91</v>
      </c>
      <c r="E48" s="45">
        <v>5.15</v>
      </c>
      <c r="F48" s="45">
        <v>5.4</v>
      </c>
      <c r="G48" s="45">
        <v>5.66</v>
      </c>
      <c r="H48" s="45">
        <v>5.87</v>
      </c>
      <c r="I48" s="45">
        <v>6.12</v>
      </c>
      <c r="J48" s="45">
        <v>6.37</v>
      </c>
      <c r="K48" s="45">
        <v>6.61</v>
      </c>
      <c r="L48" s="45">
        <v>6.86</v>
      </c>
      <c r="M48" s="45">
        <v>7.11</v>
      </c>
      <c r="N48" s="45">
        <v>7.36</v>
      </c>
      <c r="O48" s="45">
        <v>7.61</v>
      </c>
      <c r="P48" s="45">
        <v>7.86</v>
      </c>
      <c r="Q48" s="45">
        <v>8.1</v>
      </c>
      <c r="R48" s="45">
        <v>8.35</v>
      </c>
      <c r="S48" s="45">
        <v>8.6</v>
      </c>
      <c r="T48" s="45">
        <v>8.85</v>
      </c>
      <c r="U48" s="45">
        <v>9.09</v>
      </c>
      <c r="V48" s="45">
        <v>9.34</v>
      </c>
      <c r="W48" s="45">
        <v>9.58</v>
      </c>
      <c r="X48" s="45">
        <v>9.83</v>
      </c>
      <c r="Y48" s="45">
        <v>10.07</v>
      </c>
      <c r="Z48" s="45">
        <v>10.32</v>
      </c>
      <c r="AA48" s="45">
        <v>10.57</v>
      </c>
      <c r="AB48" s="45">
        <v>10.81</v>
      </c>
      <c r="AC48" s="45">
        <v>11.06</v>
      </c>
      <c r="AD48" s="45">
        <v>11.3</v>
      </c>
      <c r="AE48" s="45">
        <v>11.55</v>
      </c>
      <c r="AF48" s="45">
        <v>11.79</v>
      </c>
    </row>
    <row r="49" spans="1:32" ht="15" customHeight="1" x14ac:dyDescent="0.25">
      <c r="A49" s="43">
        <v>2700</v>
      </c>
      <c r="B49" s="45">
        <v>4.59</v>
      </c>
      <c r="C49" s="45">
        <v>4.8499999999999996</v>
      </c>
      <c r="D49" s="45">
        <v>5.0999999999999996</v>
      </c>
      <c r="E49" s="45">
        <v>5.36</v>
      </c>
      <c r="F49" s="45">
        <v>5.61</v>
      </c>
      <c r="G49" s="45">
        <v>5.87</v>
      </c>
      <c r="H49" s="45">
        <v>6.13</v>
      </c>
      <c r="I49" s="45">
        <v>6.38</v>
      </c>
      <c r="J49" s="45">
        <v>6.64</v>
      </c>
      <c r="K49" s="45">
        <v>6.9</v>
      </c>
      <c r="L49" s="45">
        <v>7.15</v>
      </c>
      <c r="M49" s="45">
        <v>7.41</v>
      </c>
      <c r="N49" s="45">
        <v>7.66</v>
      </c>
      <c r="O49" s="45">
        <v>7.92</v>
      </c>
      <c r="P49" s="45">
        <v>8.18</v>
      </c>
      <c r="Q49" s="45">
        <v>8.43</v>
      </c>
      <c r="R49" s="45">
        <v>8.69</v>
      </c>
      <c r="S49" s="45">
        <v>8.9499999999999993</v>
      </c>
      <c r="T49" s="45">
        <v>9.1999999999999993</v>
      </c>
      <c r="U49" s="45">
        <v>9.4600000000000009</v>
      </c>
      <c r="V49" s="45">
        <v>9.7100000000000009</v>
      </c>
      <c r="W49" s="45">
        <v>9.9700000000000006</v>
      </c>
      <c r="X49" s="45">
        <v>10.23</v>
      </c>
      <c r="Y49" s="45">
        <v>10.48</v>
      </c>
      <c r="Z49" s="45">
        <v>10.74</v>
      </c>
      <c r="AA49" s="45">
        <v>10.99</v>
      </c>
      <c r="AB49" s="45">
        <v>11.25</v>
      </c>
      <c r="AC49" s="45">
        <v>11.51</v>
      </c>
      <c r="AD49" s="45">
        <v>11.76</v>
      </c>
      <c r="AE49" s="45">
        <v>12.02</v>
      </c>
      <c r="AF49" s="45">
        <v>12.28</v>
      </c>
    </row>
    <row r="51" spans="1:32" ht="15" customHeight="1" x14ac:dyDescent="0.25">
      <c r="A51" s="46" t="s">
        <v>243</v>
      </c>
      <c r="B51" s="47">
        <v>466</v>
      </c>
      <c r="C51" s="47">
        <v>473</v>
      </c>
      <c r="D51" s="47">
        <v>480</v>
      </c>
      <c r="E51" s="47">
        <v>488</v>
      </c>
      <c r="F51" s="47">
        <v>503</v>
      </c>
      <c r="G51" s="47">
        <v>509</v>
      </c>
      <c r="H51" s="47">
        <v>515</v>
      </c>
      <c r="I51" s="47">
        <v>524</v>
      </c>
      <c r="J51" s="47">
        <v>531</v>
      </c>
      <c r="K51" s="47">
        <v>537</v>
      </c>
      <c r="L51" s="47">
        <v>544</v>
      </c>
      <c r="M51" s="47">
        <v>553</v>
      </c>
      <c r="N51" s="47">
        <v>558</v>
      </c>
      <c r="O51" s="47">
        <v>566</v>
      </c>
      <c r="P51" s="47">
        <v>572</v>
      </c>
      <c r="Q51" s="47">
        <v>580</v>
      </c>
      <c r="R51" s="47">
        <v>593</v>
      </c>
      <c r="S51" s="47">
        <v>600</v>
      </c>
      <c r="T51" s="47">
        <v>609</v>
      </c>
      <c r="U51" s="47">
        <v>615</v>
      </c>
      <c r="V51" s="47">
        <v>622</v>
      </c>
      <c r="W51" s="47">
        <v>629</v>
      </c>
      <c r="X51" s="47">
        <v>636</v>
      </c>
      <c r="Y51" s="47">
        <v>641</v>
      </c>
      <c r="Z51" s="47">
        <v>649</v>
      </c>
      <c r="AA51" s="47">
        <v>656</v>
      </c>
      <c r="AB51" s="47">
        <v>663</v>
      </c>
      <c r="AC51" s="47">
        <v>670</v>
      </c>
      <c r="AD51" s="47">
        <v>679</v>
      </c>
      <c r="AE51" s="47">
        <v>684</v>
      </c>
      <c r="AF51" s="47">
        <v>692</v>
      </c>
    </row>
    <row r="53" spans="1:32" ht="15" customHeight="1" x14ac:dyDescent="0.25">
      <c r="A53" s="121" t="s">
        <v>262</v>
      </c>
      <c r="B53" s="93"/>
      <c r="C53" s="93"/>
      <c r="D53" s="93"/>
      <c r="E53" s="93"/>
      <c r="F53" s="93"/>
      <c r="G53" s="93"/>
      <c r="H53" s="93"/>
      <c r="I53" s="93"/>
      <c r="J53" s="93"/>
      <c r="K53" s="93"/>
      <c r="L53" s="93"/>
      <c r="M53" s="93"/>
      <c r="N53" s="93"/>
      <c r="O53" s="93"/>
      <c r="P53" s="93"/>
      <c r="Q53" s="93"/>
      <c r="R53" s="93"/>
      <c r="S53" s="93"/>
      <c r="T53" s="93"/>
      <c r="U53" s="93"/>
      <c r="V53" s="93"/>
      <c r="W53" s="93"/>
      <c r="X53" s="93"/>
      <c r="Y53" s="93"/>
      <c r="Z53" s="93"/>
      <c r="AA53" s="93"/>
      <c r="AB53" s="93"/>
      <c r="AC53" s="93"/>
      <c r="AD53" s="93"/>
      <c r="AE53" s="93"/>
      <c r="AF53" s="93"/>
    </row>
    <row r="54" spans="1:32" ht="15" customHeight="1" x14ac:dyDescent="0.25">
      <c r="A54" s="48" t="s">
        <v>263</v>
      </c>
      <c r="B54" s="49">
        <f>Paramètres!$B$2</f>
        <v>0.51500000000000001</v>
      </c>
    </row>
    <row r="55" spans="1:32" ht="15" customHeight="1" x14ac:dyDescent="0.25">
      <c r="A55" s="43" t="s">
        <v>260</v>
      </c>
      <c r="B55" s="43">
        <v>2000</v>
      </c>
      <c r="C55" s="43">
        <v>2100</v>
      </c>
      <c r="D55" s="43">
        <v>2200</v>
      </c>
      <c r="E55" s="43">
        <v>2300</v>
      </c>
      <c r="F55" s="43">
        <v>2400</v>
      </c>
      <c r="G55" s="43">
        <v>2500</v>
      </c>
      <c r="H55" s="43">
        <v>2600</v>
      </c>
      <c r="I55" s="43">
        <v>2700</v>
      </c>
      <c r="J55" s="43">
        <v>2800</v>
      </c>
      <c r="K55" s="43">
        <v>2900</v>
      </c>
      <c r="L55" s="43">
        <v>3000</v>
      </c>
      <c r="M55" s="43">
        <v>3100</v>
      </c>
      <c r="N55" s="43">
        <v>3200</v>
      </c>
      <c r="O55" s="43">
        <v>3300</v>
      </c>
      <c r="P55" s="43">
        <v>3400</v>
      </c>
      <c r="Q55" s="43">
        <v>3500</v>
      </c>
      <c r="R55" s="43">
        <v>3600</v>
      </c>
      <c r="S55" s="43">
        <v>3700</v>
      </c>
      <c r="T55" s="43">
        <v>3800</v>
      </c>
      <c r="U55" s="43">
        <v>3900</v>
      </c>
      <c r="V55" s="43">
        <v>4000</v>
      </c>
      <c r="W55" s="43">
        <v>4100</v>
      </c>
      <c r="X55" s="43">
        <v>4200</v>
      </c>
      <c r="Y55" s="43">
        <v>4300</v>
      </c>
      <c r="Z55" s="43">
        <v>4400</v>
      </c>
      <c r="AA55" s="43">
        <v>4500</v>
      </c>
      <c r="AB55" s="43">
        <v>4600</v>
      </c>
      <c r="AC55" s="43">
        <v>4700</v>
      </c>
      <c r="AD55" s="43">
        <v>4800</v>
      </c>
      <c r="AE55" s="43">
        <v>4900</v>
      </c>
      <c r="AF55" s="43">
        <v>5000</v>
      </c>
    </row>
    <row r="56" spans="1:32" ht="15" customHeight="1" x14ac:dyDescent="0.25">
      <c r="A56" s="43">
        <v>750</v>
      </c>
      <c r="B56" s="44">
        <f>B5*(1-Paramètres!$B$2)</f>
        <v>1206.68</v>
      </c>
      <c r="C56" s="44">
        <f>C5*(1-Paramètres!$B$2)</f>
        <v>1231.415</v>
      </c>
      <c r="D56" s="44">
        <f>D5*(1-Paramètres!$B$2)</f>
        <v>1256.635</v>
      </c>
      <c r="E56" s="44">
        <f>E5*(1-Paramètres!$B$2)</f>
        <v>1281.3699999999999</v>
      </c>
      <c r="F56" s="44">
        <f>F5*(1-Paramètres!$B$2)</f>
        <v>1306.5899999999999</v>
      </c>
      <c r="G56" s="44">
        <f>G5*(1-Paramètres!$B$2)</f>
        <v>1331.325</v>
      </c>
      <c r="H56" s="44">
        <f>H5*(1-Paramètres!$B$2)</f>
        <v>1357.5149999999999</v>
      </c>
      <c r="I56" s="44">
        <f>I5*(1-Paramètres!$B$2)</f>
        <v>1381.7649999999999</v>
      </c>
      <c r="J56" s="44">
        <f>J5*(1-Paramètres!$B$2)</f>
        <v>1406.5</v>
      </c>
      <c r="K56" s="44">
        <f>K5*(1-Paramètres!$B$2)</f>
        <v>1431.2349999999999</v>
      </c>
      <c r="L56" s="44">
        <f>L5*(1-Paramètres!$B$2)</f>
        <v>1456.4549999999999</v>
      </c>
      <c r="M56" s="44">
        <f>M5*(1-Paramètres!$B$2)</f>
        <v>1527.2649999999999</v>
      </c>
      <c r="N56" s="44">
        <f>N5*(1-Paramètres!$B$2)</f>
        <v>1595.165</v>
      </c>
      <c r="O56" s="44">
        <f>O5*(1-Paramètres!$B$2)</f>
        <v>1620.385</v>
      </c>
      <c r="P56" s="44">
        <f>P5*(1-Paramètres!$B$2)</f>
        <v>1645.605</v>
      </c>
      <c r="Q56" s="44">
        <f>Q5*(1-Paramètres!$B$2)</f>
        <v>1670.34</v>
      </c>
      <c r="R56" s="44">
        <f>R5*(1-Paramètres!$B$2)</f>
        <v>1695.56</v>
      </c>
      <c r="S56" s="44">
        <f>S5*(1-Paramètres!$B$2)</f>
        <v>1721.2649999999999</v>
      </c>
      <c r="T56" s="44">
        <f>T5*(1-Paramètres!$B$2)</f>
        <v>1745.5149999999999</v>
      </c>
      <c r="U56" s="44">
        <f>U5*(1-Paramètres!$B$2)</f>
        <v>1771.22</v>
      </c>
      <c r="V56" s="44">
        <f>V5*(1-Paramètres!$B$2)</f>
        <v>1795.9549999999999</v>
      </c>
      <c r="W56" s="44">
        <f>W5*(1-Paramètres!$B$2)</f>
        <v>1821.175</v>
      </c>
      <c r="X56" s="44">
        <f>X5*(1-Paramètres!$B$2)</f>
        <v>1845.425</v>
      </c>
      <c r="Y56" s="44">
        <f>Y5*(1-Paramètres!$B$2)</f>
        <v>1871.1299999999999</v>
      </c>
      <c r="Z56" s="44">
        <f>Z5*(1-Paramètres!$B$2)</f>
        <v>1895.865</v>
      </c>
      <c r="AA56" s="44">
        <f>AA5*(1-Paramètres!$B$2)</f>
        <v>1921.085</v>
      </c>
      <c r="AB56" s="44">
        <f>AB5*(1-Paramètres!$B$2)</f>
        <v>1945.335</v>
      </c>
      <c r="AC56" s="44">
        <f>AC5*(1-Paramètres!$B$2)</f>
        <v>1969.585</v>
      </c>
      <c r="AD56" s="44">
        <f>AD5*(1-Paramètres!$B$2)</f>
        <v>1995.29</v>
      </c>
      <c r="AE56" s="44">
        <f>AE5*(1-Paramètres!$B$2)</f>
        <v>2021.48</v>
      </c>
      <c r="AF56" s="44">
        <f>AF5*(1-Paramètres!$B$2)</f>
        <v>2045.73</v>
      </c>
    </row>
    <row r="57" spans="1:32" ht="15" customHeight="1" x14ac:dyDescent="0.25">
      <c r="A57" s="43">
        <v>850</v>
      </c>
      <c r="B57" s="44">
        <f>B6*(1-Paramètres!$B$2)</f>
        <v>1252.27</v>
      </c>
      <c r="C57" s="44">
        <f>C6*(1-Paramètres!$B$2)</f>
        <v>1278.46</v>
      </c>
      <c r="D57" s="44">
        <f>D6*(1-Paramètres!$B$2)</f>
        <v>1303.1949999999999</v>
      </c>
      <c r="E57" s="44">
        <f>E6*(1-Paramètres!$B$2)</f>
        <v>1328.8999999999999</v>
      </c>
      <c r="F57" s="44">
        <f>F6*(1-Paramètres!$B$2)</f>
        <v>1356.06</v>
      </c>
      <c r="G57" s="44">
        <f>G6*(1-Paramètres!$B$2)</f>
        <v>1381.28</v>
      </c>
      <c r="H57" s="44">
        <f>H6*(1-Paramètres!$B$2)</f>
        <v>1406.5</v>
      </c>
      <c r="I57" s="44">
        <f>I6*(1-Paramètres!$B$2)</f>
        <v>1431.72</v>
      </c>
      <c r="J57" s="44">
        <f>J6*(1-Paramètres!$B$2)</f>
        <v>1458.8799999999999</v>
      </c>
      <c r="K57" s="44">
        <f>K6*(1-Paramètres!$B$2)</f>
        <v>1484.1</v>
      </c>
      <c r="L57" s="44">
        <f>L6*(1-Paramètres!$B$2)</f>
        <v>1510.29</v>
      </c>
      <c r="M57" s="44">
        <f>M6*(1-Paramètres!$B$2)</f>
        <v>1579.645</v>
      </c>
      <c r="N57" s="44">
        <f>N6*(1-Paramètres!$B$2)</f>
        <v>1650.4549999999999</v>
      </c>
      <c r="O57" s="44">
        <f>O6*(1-Paramètres!$B$2)</f>
        <v>1675.675</v>
      </c>
      <c r="P57" s="44">
        <f>P6*(1-Paramètres!$B$2)</f>
        <v>1701.865</v>
      </c>
      <c r="Q57" s="44">
        <f>Q6*(1-Paramètres!$B$2)</f>
        <v>1728.54</v>
      </c>
      <c r="R57" s="44">
        <f>R6*(1-Paramètres!$B$2)</f>
        <v>1754.73</v>
      </c>
      <c r="S57" s="44">
        <f>S6*(1-Paramètres!$B$2)</f>
        <v>1780.4349999999999</v>
      </c>
      <c r="T57" s="44">
        <f>T6*(1-Paramètres!$B$2)</f>
        <v>1805.655</v>
      </c>
      <c r="U57" s="44">
        <f>U6*(1-Paramètres!$B$2)</f>
        <v>1831.36</v>
      </c>
      <c r="V57" s="44">
        <f>V6*(1-Paramètres!$B$2)</f>
        <v>1857.0650000000001</v>
      </c>
      <c r="W57" s="44">
        <f>W6*(1-Paramètres!$B$2)</f>
        <v>1883.2549999999999</v>
      </c>
      <c r="X57" s="44">
        <f>X6*(1-Paramètres!$B$2)</f>
        <v>1908.96</v>
      </c>
      <c r="Y57" s="44">
        <f>Y6*(1-Paramètres!$B$2)</f>
        <v>1934.665</v>
      </c>
      <c r="Z57" s="44">
        <f>Z6*(1-Paramètres!$B$2)</f>
        <v>1960.855</v>
      </c>
      <c r="AA57" s="44">
        <f>AA6*(1-Paramètres!$B$2)</f>
        <v>1986.075</v>
      </c>
      <c r="AB57" s="44">
        <f>AB6*(1-Paramètres!$B$2)</f>
        <v>2012.2649999999999</v>
      </c>
      <c r="AC57" s="44">
        <f>AC6*(1-Paramètres!$B$2)</f>
        <v>2037.97</v>
      </c>
      <c r="AD57" s="44">
        <f>AD6*(1-Paramètres!$B$2)</f>
        <v>2064.16</v>
      </c>
      <c r="AE57" s="44">
        <f>AE6*(1-Paramètres!$B$2)</f>
        <v>2089.38</v>
      </c>
      <c r="AF57" s="44">
        <f>AF6*(1-Paramètres!$B$2)</f>
        <v>2115.085</v>
      </c>
    </row>
    <row r="58" spans="1:32" ht="15" customHeight="1" x14ac:dyDescent="0.25">
      <c r="A58" s="43">
        <v>950</v>
      </c>
      <c r="B58" s="44">
        <f>B7*(1-Paramètres!$B$2)</f>
        <v>1296.8899999999999</v>
      </c>
      <c r="C58" s="44">
        <f>C7*(1-Paramètres!$B$2)</f>
        <v>1323.5650000000001</v>
      </c>
      <c r="D58" s="44">
        <f>D7*(1-Paramètres!$B$2)</f>
        <v>1350.24</v>
      </c>
      <c r="E58" s="44">
        <f>E7*(1-Paramètres!$B$2)</f>
        <v>1377.885</v>
      </c>
      <c r="F58" s="44">
        <f>F7*(1-Paramètres!$B$2)</f>
        <v>1403.59</v>
      </c>
      <c r="G58" s="44">
        <f>G7*(1-Paramètres!$B$2)</f>
        <v>1430.2649999999999</v>
      </c>
      <c r="H58" s="44">
        <f>H7*(1-Paramètres!$B$2)</f>
        <v>1456.4549999999999</v>
      </c>
      <c r="I58" s="44">
        <f>I7*(1-Paramètres!$B$2)</f>
        <v>1483.1299999999999</v>
      </c>
      <c r="J58" s="44">
        <f>J7*(1-Paramètres!$B$2)</f>
        <v>1510.29</v>
      </c>
      <c r="K58" s="44">
        <f>K7*(1-Paramètres!$B$2)</f>
        <v>1536.48</v>
      </c>
      <c r="L58" s="44">
        <f>L7*(1-Paramètres!$B$2)</f>
        <v>1562.6699999999998</v>
      </c>
      <c r="M58" s="44">
        <f>M7*(1-Paramètres!$B$2)</f>
        <v>1634.45</v>
      </c>
      <c r="N58" s="44">
        <f>N7*(1-Paramètres!$B$2)</f>
        <v>1705.7449999999999</v>
      </c>
      <c r="O58" s="44">
        <f>O7*(1-Paramètres!$B$2)</f>
        <v>1732.4199999999998</v>
      </c>
      <c r="P58" s="44">
        <f>P7*(1-Paramètres!$B$2)</f>
        <v>1759.095</v>
      </c>
      <c r="Q58" s="44">
        <f>Q7*(1-Paramètres!$B$2)</f>
        <v>1785.2849999999999</v>
      </c>
      <c r="R58" s="44">
        <f>R7*(1-Paramètres!$B$2)</f>
        <v>1812.93</v>
      </c>
      <c r="S58" s="44">
        <f>S7*(1-Paramètres!$B$2)</f>
        <v>1838.1499999999999</v>
      </c>
      <c r="T58" s="44">
        <f>T7*(1-Paramètres!$B$2)</f>
        <v>1864.34</v>
      </c>
      <c r="U58" s="44">
        <f>U7*(1-Paramètres!$B$2)</f>
        <v>1891.5</v>
      </c>
      <c r="V58" s="44">
        <f>V7*(1-Paramètres!$B$2)</f>
        <v>1918.6599999999999</v>
      </c>
      <c r="W58" s="44">
        <f>W7*(1-Paramètres!$B$2)</f>
        <v>1945.335</v>
      </c>
      <c r="X58" s="44">
        <f>X7*(1-Paramètres!$B$2)</f>
        <v>1971.5249999999999</v>
      </c>
      <c r="Y58" s="44">
        <f>Y7*(1-Paramètres!$B$2)</f>
        <v>1998.6849999999999</v>
      </c>
      <c r="Z58" s="44">
        <f>Z7*(1-Paramètres!$B$2)</f>
        <v>2024.875</v>
      </c>
      <c r="AA58" s="44">
        <f>AA7*(1-Paramètres!$B$2)</f>
        <v>2051.5499999999997</v>
      </c>
      <c r="AB58" s="44">
        <f>AB7*(1-Paramètres!$B$2)</f>
        <v>2077.7399999999998</v>
      </c>
      <c r="AC58" s="44">
        <f>AC7*(1-Paramètres!$B$2)</f>
        <v>2104.9</v>
      </c>
      <c r="AD58" s="44">
        <f>AD7*(1-Paramètres!$B$2)</f>
        <v>2130.12</v>
      </c>
      <c r="AE58" s="44">
        <f>AE7*(1-Paramètres!$B$2)</f>
        <v>2157.2799999999997</v>
      </c>
      <c r="AF58" s="44">
        <f>AF7*(1-Paramètres!$B$2)</f>
        <v>2182.9850000000001</v>
      </c>
    </row>
    <row r="59" spans="1:32" ht="15" customHeight="1" x14ac:dyDescent="0.25">
      <c r="A59" s="43">
        <v>1050</v>
      </c>
      <c r="B59" s="44">
        <f>B8*(1-Paramètres!$B$2)</f>
        <v>1341.9949999999999</v>
      </c>
      <c r="C59" s="44">
        <f>C8*(1-Paramètres!$B$2)</f>
        <v>1368.67</v>
      </c>
      <c r="D59" s="44">
        <f>D8*(1-Paramètres!$B$2)</f>
        <v>1397.2849999999999</v>
      </c>
      <c r="E59" s="44">
        <f>E8*(1-Paramètres!$B$2)</f>
        <v>1426.385</v>
      </c>
      <c r="F59" s="44">
        <f>F8*(1-Paramètres!$B$2)</f>
        <v>1452.09</v>
      </c>
      <c r="G59" s="44">
        <f>G8*(1-Paramètres!$B$2)</f>
        <v>1479.7349999999999</v>
      </c>
      <c r="H59" s="44">
        <f>H8*(1-Paramètres!$B$2)</f>
        <v>1507.3799999999999</v>
      </c>
      <c r="I59" s="44">
        <f>I8*(1-Paramètres!$B$2)</f>
        <v>1534.0550000000001</v>
      </c>
      <c r="J59" s="44">
        <f>J8*(1-Paramètres!$B$2)</f>
        <v>1560.73</v>
      </c>
      <c r="K59" s="44">
        <f>K8*(1-Paramètres!$B$2)</f>
        <v>1589.83</v>
      </c>
      <c r="L59" s="44">
        <f>L8*(1-Paramètres!$B$2)</f>
        <v>1616.99</v>
      </c>
      <c r="M59" s="44">
        <f>M8*(1-Paramètres!$B$2)</f>
        <v>1689.2549999999999</v>
      </c>
      <c r="N59" s="44">
        <f>N8*(1-Paramètres!$B$2)</f>
        <v>1761.0349999999999</v>
      </c>
      <c r="O59" s="44">
        <f>O8*(1-Paramètres!$B$2)</f>
        <v>1787.71</v>
      </c>
      <c r="P59" s="44">
        <f>P8*(1-Paramètres!$B$2)</f>
        <v>1815.355</v>
      </c>
      <c r="Q59" s="44">
        <f>Q8*(1-Paramètres!$B$2)</f>
        <v>1842.5149999999999</v>
      </c>
      <c r="R59" s="44">
        <f>R8*(1-Paramètres!$B$2)</f>
        <v>1871.1299999999999</v>
      </c>
      <c r="S59" s="44">
        <f>S8*(1-Paramètres!$B$2)</f>
        <v>1897.8049999999998</v>
      </c>
      <c r="T59" s="44">
        <f>T8*(1-Paramètres!$B$2)</f>
        <v>1926.4199999999998</v>
      </c>
      <c r="U59" s="44">
        <f>U8*(1-Paramètres!$B$2)</f>
        <v>1953.095</v>
      </c>
      <c r="V59" s="44">
        <f>V8*(1-Paramètres!$B$2)</f>
        <v>1981.2249999999999</v>
      </c>
      <c r="W59" s="44">
        <f>W8*(1-Paramètres!$B$2)</f>
        <v>2007.8999999999999</v>
      </c>
      <c r="X59" s="44">
        <f>X8*(1-Paramètres!$B$2)</f>
        <v>2035.06</v>
      </c>
      <c r="Y59" s="44">
        <f>Y8*(1-Paramètres!$B$2)</f>
        <v>2063.19</v>
      </c>
      <c r="Z59" s="44">
        <f>Z8*(1-Paramètres!$B$2)</f>
        <v>2089.8649999999998</v>
      </c>
      <c r="AA59" s="44">
        <f>AA8*(1-Paramètres!$B$2)</f>
        <v>2117.5099999999998</v>
      </c>
      <c r="AB59" s="44">
        <f>AB8*(1-Paramètres!$B$2)</f>
        <v>2146.125</v>
      </c>
      <c r="AC59" s="44">
        <f>AC8*(1-Paramètres!$B$2)</f>
        <v>2173.77</v>
      </c>
      <c r="AD59" s="44">
        <f>AD8*(1-Paramètres!$B$2)</f>
        <v>2199.96</v>
      </c>
      <c r="AE59" s="44">
        <f>AE8*(1-Paramètres!$B$2)</f>
        <v>2227.605</v>
      </c>
      <c r="AF59" s="44">
        <f>AF8*(1-Paramètres!$B$2)</f>
        <v>2255.25</v>
      </c>
    </row>
    <row r="60" spans="1:32" ht="15" customHeight="1" x14ac:dyDescent="0.25">
      <c r="A60" s="43">
        <v>1150</v>
      </c>
      <c r="B60" s="44">
        <f>B9*(1-Paramètres!$B$2)</f>
        <v>1386.615</v>
      </c>
      <c r="C60" s="44">
        <f>C9*(1-Paramètres!$B$2)</f>
        <v>1415.23</v>
      </c>
      <c r="D60" s="44">
        <f>D9*(1-Paramètres!$B$2)</f>
        <v>1443.845</v>
      </c>
      <c r="E60" s="44">
        <f>E9*(1-Paramètres!$B$2)</f>
        <v>1471.9749999999999</v>
      </c>
      <c r="F60" s="44">
        <f>F9*(1-Paramètres!$B$2)</f>
        <v>1499.62</v>
      </c>
      <c r="G60" s="44">
        <f>G9*(1-Paramètres!$B$2)</f>
        <v>1528.72</v>
      </c>
      <c r="H60" s="44">
        <f>H9*(1-Paramètres!$B$2)</f>
        <v>1556.365</v>
      </c>
      <c r="I60" s="44">
        <f>I9*(1-Paramètres!$B$2)</f>
        <v>1584.98</v>
      </c>
      <c r="J60" s="44">
        <f>J9*(1-Paramètres!$B$2)</f>
        <v>1613.11</v>
      </c>
      <c r="K60" s="44">
        <f>K9*(1-Paramètres!$B$2)</f>
        <v>1641.7249999999999</v>
      </c>
      <c r="L60" s="44">
        <f>L9*(1-Paramètres!$B$2)</f>
        <v>1669.855</v>
      </c>
      <c r="M60" s="44">
        <f>M9*(1-Paramètres!$B$2)</f>
        <v>1743.575</v>
      </c>
      <c r="N60" s="44">
        <f>N9*(1-Paramètres!$B$2)</f>
        <v>1815.355</v>
      </c>
      <c r="O60" s="44">
        <f>O9*(1-Paramètres!$B$2)</f>
        <v>1843.4849999999999</v>
      </c>
      <c r="P60" s="44">
        <f>P9*(1-Paramètres!$B$2)</f>
        <v>1872.1</v>
      </c>
      <c r="Q60" s="44">
        <f>Q9*(1-Paramètres!$B$2)</f>
        <v>1900.7149999999999</v>
      </c>
      <c r="R60" s="44">
        <f>R9*(1-Paramètres!$B$2)</f>
        <v>1928.36</v>
      </c>
      <c r="S60" s="44">
        <f>S9*(1-Paramètres!$B$2)</f>
        <v>1957.9449999999999</v>
      </c>
      <c r="T60" s="44">
        <f>T9*(1-Paramètres!$B$2)</f>
        <v>1986.075</v>
      </c>
      <c r="U60" s="44">
        <f>U9*(1-Paramètres!$B$2)</f>
        <v>2013.2349999999999</v>
      </c>
      <c r="V60" s="44">
        <f>V9*(1-Paramètres!$B$2)</f>
        <v>2042.82</v>
      </c>
      <c r="W60" s="44">
        <f>W9*(1-Paramètres!$B$2)</f>
        <v>2069.98</v>
      </c>
      <c r="X60" s="44">
        <f>X9*(1-Paramètres!$B$2)</f>
        <v>2098.5949999999998</v>
      </c>
      <c r="Y60" s="44">
        <f>Y9*(1-Paramètres!$B$2)</f>
        <v>2127.21</v>
      </c>
      <c r="Z60" s="44">
        <f>Z9*(1-Paramètres!$B$2)</f>
        <v>2155.34</v>
      </c>
      <c r="AA60" s="44">
        <f>AA9*(1-Paramètres!$B$2)</f>
        <v>2182.9850000000001</v>
      </c>
      <c r="AB60" s="44">
        <f>AB9*(1-Paramètres!$B$2)</f>
        <v>2211.6</v>
      </c>
      <c r="AC60" s="44">
        <f>AC9*(1-Paramètres!$B$2)</f>
        <v>2239.2449999999999</v>
      </c>
      <c r="AD60" s="44">
        <f>AD9*(1-Paramètres!$B$2)</f>
        <v>2266.89</v>
      </c>
      <c r="AE60" s="44">
        <f>AE9*(1-Paramètres!$B$2)</f>
        <v>2296.96</v>
      </c>
      <c r="AF60" s="44">
        <f>AF9*(1-Paramètres!$B$2)</f>
        <v>2325.09</v>
      </c>
    </row>
    <row r="61" spans="1:32" ht="15" customHeight="1" x14ac:dyDescent="0.25">
      <c r="A61" s="43">
        <v>1250</v>
      </c>
      <c r="B61" s="44">
        <f>B10*(1-Paramètres!$B$2)</f>
        <v>1431.72</v>
      </c>
      <c r="C61" s="44">
        <f>C10*(1-Paramètres!$B$2)</f>
        <v>1461.79</v>
      </c>
      <c r="D61" s="44">
        <f>D10*(1-Paramètres!$B$2)</f>
        <v>1491.375</v>
      </c>
      <c r="E61" s="44">
        <f>E10*(1-Paramètres!$B$2)</f>
        <v>1519.99</v>
      </c>
      <c r="F61" s="44">
        <f>F10*(1-Paramètres!$B$2)</f>
        <v>1549.575</v>
      </c>
      <c r="G61" s="44">
        <f>G10*(1-Paramètres!$B$2)</f>
        <v>1579.1599999999999</v>
      </c>
      <c r="H61" s="44">
        <f>H10*(1-Paramètres!$B$2)</f>
        <v>1607.29</v>
      </c>
      <c r="I61" s="44">
        <f>I10*(1-Paramètres!$B$2)</f>
        <v>1635.905</v>
      </c>
      <c r="J61" s="44">
        <f>J10*(1-Paramètres!$B$2)</f>
        <v>1665.9749999999999</v>
      </c>
      <c r="K61" s="44">
        <f>K10*(1-Paramètres!$B$2)</f>
        <v>1694.59</v>
      </c>
      <c r="L61" s="44">
        <f>L10*(1-Paramètres!$B$2)</f>
        <v>1723.2049999999999</v>
      </c>
      <c r="M61" s="44">
        <f>M10*(1-Paramètres!$B$2)</f>
        <v>1796.925</v>
      </c>
      <c r="N61" s="44">
        <f>N10*(1-Paramètres!$B$2)</f>
        <v>1871.615</v>
      </c>
      <c r="O61" s="44">
        <f>O10*(1-Paramètres!$B$2)</f>
        <v>1900.7149999999999</v>
      </c>
      <c r="P61" s="44">
        <f>P10*(1-Paramètres!$B$2)</f>
        <v>1928.36</v>
      </c>
      <c r="Q61" s="44">
        <f>Q10*(1-Paramètres!$B$2)</f>
        <v>1957.9449999999999</v>
      </c>
      <c r="R61" s="44">
        <f>R10*(1-Paramètres!$B$2)</f>
        <v>1986.56</v>
      </c>
      <c r="S61" s="44">
        <f>S10*(1-Paramètres!$B$2)</f>
        <v>2015.6599999999999</v>
      </c>
      <c r="T61" s="44">
        <f>T10*(1-Paramètres!$B$2)</f>
        <v>2045.2449999999999</v>
      </c>
      <c r="U61" s="44">
        <f>U10*(1-Paramètres!$B$2)</f>
        <v>2073.86</v>
      </c>
      <c r="V61" s="44">
        <f>V10*(1-Paramètres!$B$2)</f>
        <v>2103.9299999999998</v>
      </c>
      <c r="W61" s="44">
        <f>W10*(1-Paramètres!$B$2)</f>
        <v>2132.5450000000001</v>
      </c>
      <c r="X61" s="44">
        <f>X10*(1-Paramètres!$B$2)</f>
        <v>2160.6749999999997</v>
      </c>
      <c r="Y61" s="44">
        <f>Y10*(1-Paramètres!$B$2)</f>
        <v>2190.7449999999999</v>
      </c>
      <c r="Z61" s="44">
        <f>Z10*(1-Paramètres!$B$2)</f>
        <v>2219.36</v>
      </c>
      <c r="AA61" s="44">
        <f>AA10*(1-Paramètres!$B$2)</f>
        <v>2249.4299999999998</v>
      </c>
      <c r="AB61" s="44">
        <f>AB10*(1-Paramètres!$B$2)</f>
        <v>2278.0450000000001</v>
      </c>
      <c r="AC61" s="44">
        <f>AC10*(1-Paramètres!$B$2)</f>
        <v>2306.66</v>
      </c>
      <c r="AD61" s="44">
        <f>AD10*(1-Paramètres!$B$2)</f>
        <v>2335.7599999999998</v>
      </c>
      <c r="AE61" s="44">
        <f>AE10*(1-Paramètres!$B$2)</f>
        <v>2365.3449999999998</v>
      </c>
      <c r="AF61" s="44">
        <f>AF10*(1-Paramètres!$B$2)</f>
        <v>2393.4749999999999</v>
      </c>
    </row>
    <row r="62" spans="1:32" ht="15" customHeight="1" x14ac:dyDescent="0.25">
      <c r="A62" s="43">
        <v>1350</v>
      </c>
      <c r="B62" s="44">
        <f>B11*(1-Paramètres!$B$2)</f>
        <v>1477.31</v>
      </c>
      <c r="C62" s="44">
        <f>C11*(1-Paramètres!$B$2)</f>
        <v>1508.35</v>
      </c>
      <c r="D62" s="44">
        <f>D11*(1-Paramètres!$B$2)</f>
        <v>1536.9649999999999</v>
      </c>
      <c r="E62" s="44">
        <f>E11*(1-Paramètres!$B$2)</f>
        <v>1568.0049999999999</v>
      </c>
      <c r="F62" s="44">
        <f>F11*(1-Paramètres!$B$2)</f>
        <v>1597.105</v>
      </c>
      <c r="G62" s="44">
        <f>G11*(1-Paramètres!$B$2)</f>
        <v>1627.6599999999999</v>
      </c>
      <c r="H62" s="44">
        <f>H11*(1-Paramètres!$B$2)</f>
        <v>1657.2449999999999</v>
      </c>
      <c r="I62" s="44">
        <f>I11*(1-Paramètres!$B$2)</f>
        <v>1686.345</v>
      </c>
      <c r="J62" s="44">
        <f>J11*(1-Paramètres!$B$2)</f>
        <v>1718.355</v>
      </c>
      <c r="K62" s="44">
        <f>K11*(1-Paramètres!$B$2)</f>
        <v>1746.4849999999999</v>
      </c>
      <c r="L62" s="44">
        <f>L11*(1-Paramètres!$B$2)</f>
        <v>1776.5550000000001</v>
      </c>
      <c r="M62" s="44">
        <f>M11*(1-Paramètres!$B$2)</f>
        <v>1851.2449999999999</v>
      </c>
      <c r="N62" s="44">
        <f>N11*(1-Paramètres!$B$2)</f>
        <v>1926.4199999999998</v>
      </c>
      <c r="O62" s="44">
        <f>O11*(1-Paramètres!$B$2)</f>
        <v>1956.0049999999999</v>
      </c>
      <c r="P62" s="44">
        <f>P11*(1-Paramètres!$B$2)</f>
        <v>1986.075</v>
      </c>
      <c r="Q62" s="44">
        <f>Q11*(1-Paramètres!$B$2)</f>
        <v>2014.2049999999999</v>
      </c>
      <c r="R62" s="44">
        <f>R11*(1-Paramètres!$B$2)</f>
        <v>2045.2449999999999</v>
      </c>
      <c r="S62" s="44">
        <f>S11*(1-Paramètres!$B$2)</f>
        <v>2074.3449999999998</v>
      </c>
      <c r="T62" s="44">
        <f>T11*(1-Paramètres!$B$2)</f>
        <v>2104.9</v>
      </c>
      <c r="U62" s="44">
        <f>U11*(1-Paramètres!$B$2)</f>
        <v>2134.9699999999998</v>
      </c>
      <c r="V62" s="44">
        <f>V11*(1-Paramètres!$B$2)</f>
        <v>2166.0099999999998</v>
      </c>
      <c r="W62" s="44">
        <f>W11*(1-Paramètres!$B$2)</f>
        <v>2195.5949999999998</v>
      </c>
      <c r="X62" s="44">
        <f>X11*(1-Paramètres!$B$2)</f>
        <v>2224.21</v>
      </c>
      <c r="Y62" s="44">
        <f>Y11*(1-Paramètres!$B$2)</f>
        <v>2264.9499999999998</v>
      </c>
      <c r="Z62" s="44">
        <f>Z11*(1-Paramètres!$B$2)</f>
        <v>2284.35</v>
      </c>
      <c r="AA62" s="44">
        <f>AA11*(1-Paramètres!$B$2)</f>
        <v>2314.9049999999997</v>
      </c>
      <c r="AB62" s="44">
        <f>AB11*(1-Paramètres!$B$2)</f>
        <v>2344.4899999999998</v>
      </c>
      <c r="AC62" s="44">
        <f>AC11*(1-Paramètres!$B$2)</f>
        <v>2374.56</v>
      </c>
      <c r="AD62" s="44">
        <f>AD11*(1-Paramètres!$B$2)</f>
        <v>2404.63</v>
      </c>
      <c r="AE62" s="44">
        <f>AE11*(1-Paramètres!$B$2)</f>
        <v>2433.2449999999999</v>
      </c>
      <c r="AF62" s="44">
        <f>AF11*(1-Paramètres!$B$2)</f>
        <v>2463.7999999999997</v>
      </c>
    </row>
    <row r="63" spans="1:32" ht="15" customHeight="1" x14ac:dyDescent="0.25">
      <c r="A63" s="43">
        <v>1450</v>
      </c>
      <c r="B63" s="44">
        <f>B12*(1-Paramètres!$B$2)</f>
        <v>1522.8999999999999</v>
      </c>
      <c r="C63" s="44">
        <f>C12*(1-Paramètres!$B$2)</f>
        <v>1552.97</v>
      </c>
      <c r="D63" s="44">
        <f>D12*(1-Paramètres!$B$2)</f>
        <v>1584.01</v>
      </c>
      <c r="E63" s="44">
        <f>E12*(1-Paramètres!$B$2)</f>
        <v>1614.08</v>
      </c>
      <c r="F63" s="44">
        <f>F12*(1-Paramètres!$B$2)</f>
        <v>1645.605</v>
      </c>
      <c r="G63" s="44">
        <f>G12*(1-Paramètres!$B$2)</f>
        <v>1675.675</v>
      </c>
      <c r="H63" s="44">
        <f>H12*(1-Paramètres!$B$2)</f>
        <v>1707.6849999999999</v>
      </c>
      <c r="I63" s="44">
        <f>I12*(1-Paramètres!$B$2)</f>
        <v>1738.7249999999999</v>
      </c>
      <c r="J63" s="44">
        <f>J12*(1-Paramètres!$B$2)</f>
        <v>1768.7949999999998</v>
      </c>
      <c r="K63" s="44">
        <f>K12*(1-Paramètres!$B$2)</f>
        <v>1799.835</v>
      </c>
      <c r="L63" s="44">
        <f>L12*(1-Paramètres!$B$2)</f>
        <v>1830.3899999999999</v>
      </c>
      <c r="M63" s="44">
        <f>M12*(1-Paramètres!$B$2)</f>
        <v>1905.08</v>
      </c>
      <c r="N63" s="44">
        <f>N12*(1-Paramètres!$B$2)</f>
        <v>1981.2249999999999</v>
      </c>
      <c r="O63" s="44">
        <f>O12*(1-Paramètres!$B$2)</f>
        <v>2011.78</v>
      </c>
      <c r="P63" s="44">
        <f>P12*(1-Paramètres!$B$2)</f>
        <v>2043.79</v>
      </c>
      <c r="Q63" s="44">
        <f>Q12*(1-Paramètres!$B$2)</f>
        <v>2073.86</v>
      </c>
      <c r="R63" s="44">
        <f>R12*(1-Paramètres!$B$2)</f>
        <v>2103.9299999999998</v>
      </c>
      <c r="S63" s="44">
        <f>S12*(1-Paramètres!$B$2)</f>
        <v>2134</v>
      </c>
      <c r="T63" s="44">
        <f>T12*(1-Paramètres!$B$2)</f>
        <v>2165.04</v>
      </c>
      <c r="U63" s="44">
        <f>U12*(1-Paramètres!$B$2)</f>
        <v>2195.5949999999998</v>
      </c>
      <c r="V63" s="44">
        <f>V12*(1-Paramètres!$B$2)</f>
        <v>2227.605</v>
      </c>
      <c r="W63" s="44">
        <f>W12*(1-Paramètres!$B$2)</f>
        <v>2258.16</v>
      </c>
      <c r="X63" s="44">
        <f>X12*(1-Paramètres!$B$2)</f>
        <v>2287.7449999999999</v>
      </c>
      <c r="Y63" s="44">
        <f>Y12*(1-Paramètres!$B$2)</f>
        <v>2317.8150000000001</v>
      </c>
      <c r="Z63" s="44">
        <f>Z12*(1-Paramètres!$B$2)</f>
        <v>2349.34</v>
      </c>
      <c r="AA63" s="44">
        <f>AA12*(1-Paramètres!$B$2)</f>
        <v>2380.38</v>
      </c>
      <c r="AB63" s="44">
        <f>AB12*(1-Paramètres!$B$2)</f>
        <v>2411.42</v>
      </c>
      <c r="AC63" s="44">
        <f>AC12*(1-Paramètres!$B$2)</f>
        <v>2441.4899999999998</v>
      </c>
      <c r="AD63" s="44">
        <f>AD12*(1-Paramètres!$B$2)</f>
        <v>2472.5299999999997</v>
      </c>
      <c r="AE63" s="44">
        <f>AE12*(1-Paramètres!$B$2)</f>
        <v>2502.6</v>
      </c>
      <c r="AF63" s="44">
        <f>AF12*(1-Paramètres!$B$2)</f>
        <v>2533.1549999999997</v>
      </c>
    </row>
    <row r="64" spans="1:32" ht="15" customHeight="1" x14ac:dyDescent="0.25">
      <c r="A64" s="43">
        <v>1550</v>
      </c>
      <c r="B64" s="44">
        <f>B13*(1-Paramètres!$B$2)</f>
        <v>1568.49</v>
      </c>
      <c r="C64" s="44">
        <f>C13*(1-Paramètres!$B$2)</f>
        <v>1599.0449999999998</v>
      </c>
      <c r="D64" s="44">
        <f>D13*(1-Paramètres!$B$2)</f>
        <v>1631.0550000000001</v>
      </c>
      <c r="E64" s="44">
        <f>E13*(1-Paramètres!$B$2)</f>
        <v>1662.58</v>
      </c>
      <c r="F64" s="44">
        <f>F13*(1-Paramètres!$B$2)</f>
        <v>1694.59</v>
      </c>
      <c r="G64" s="44">
        <f>G13*(1-Paramètres!$B$2)</f>
        <v>1725.145</v>
      </c>
      <c r="H64" s="44">
        <f>H13*(1-Paramètres!$B$2)</f>
        <v>1756.6699999999998</v>
      </c>
      <c r="I64" s="44">
        <f>I13*(1-Paramètres!$B$2)</f>
        <v>1788.68</v>
      </c>
      <c r="J64" s="44">
        <f>J13*(1-Paramètres!$B$2)</f>
        <v>1819.72</v>
      </c>
      <c r="K64" s="44">
        <f>K13*(1-Paramètres!$B$2)</f>
        <v>1851.73</v>
      </c>
      <c r="L64" s="44">
        <f>L13*(1-Paramètres!$B$2)</f>
        <v>1883.2549999999999</v>
      </c>
      <c r="M64" s="44">
        <f>M13*(1-Paramètres!$B$2)</f>
        <v>1960.37</v>
      </c>
      <c r="N64" s="44">
        <f>N13*(1-Paramètres!$B$2)</f>
        <v>2035.5449999999998</v>
      </c>
      <c r="O64" s="44">
        <f>O13*(1-Paramètres!$B$2)</f>
        <v>2067.0700000000002</v>
      </c>
      <c r="P64" s="44">
        <f>P13*(1-Paramètres!$B$2)</f>
        <v>2098.5949999999998</v>
      </c>
      <c r="Q64" s="44">
        <f>Q13*(1-Paramètres!$B$2)</f>
        <v>2129.15</v>
      </c>
      <c r="R64" s="44">
        <f>R13*(1-Paramètres!$B$2)</f>
        <v>2160.6749999999997</v>
      </c>
      <c r="S64" s="44">
        <f>S13*(1-Paramètres!$B$2)</f>
        <v>2194.14</v>
      </c>
      <c r="T64" s="44">
        <f>T13*(1-Paramètres!$B$2)</f>
        <v>2224.6950000000002</v>
      </c>
      <c r="U64" s="44">
        <f>U13*(1-Paramètres!$B$2)</f>
        <v>2256.7049999999999</v>
      </c>
      <c r="V64" s="44">
        <f>V13*(1-Paramètres!$B$2)</f>
        <v>2287.7449999999999</v>
      </c>
      <c r="W64" s="44">
        <f>W13*(1-Paramètres!$B$2)</f>
        <v>2318.7849999999999</v>
      </c>
      <c r="X64" s="44">
        <f>X13*(1-Paramètres!$B$2)</f>
        <v>2350.7950000000001</v>
      </c>
      <c r="Y64" s="44">
        <f>Y13*(1-Paramètres!$B$2)</f>
        <v>2383.29</v>
      </c>
      <c r="Z64" s="44">
        <f>Z13*(1-Paramètres!$B$2)</f>
        <v>2415.2999999999997</v>
      </c>
      <c r="AA64" s="44">
        <f>AA13*(1-Paramètres!$B$2)</f>
        <v>2445.855</v>
      </c>
      <c r="AB64" s="44">
        <f>AB13*(1-Paramètres!$B$2)</f>
        <v>2476.895</v>
      </c>
      <c r="AC64" s="44">
        <f>AC13*(1-Paramètres!$B$2)</f>
        <v>2508.9049999999997</v>
      </c>
      <c r="AD64" s="44">
        <f>AD13*(1-Paramètres!$B$2)</f>
        <v>2540.4299999999998</v>
      </c>
      <c r="AE64" s="44">
        <f>AE13*(1-Paramètres!$B$2)</f>
        <v>2571.4699999999998</v>
      </c>
      <c r="AF64" s="44">
        <f>AF13*(1-Paramètres!$B$2)</f>
        <v>2603.9650000000001</v>
      </c>
    </row>
    <row r="65" spans="1:32" ht="15" customHeight="1" x14ac:dyDescent="0.25">
      <c r="A65" s="43">
        <v>1650</v>
      </c>
      <c r="B65" s="44">
        <f>B14*(1-Paramètres!$B$2)</f>
        <v>1612.625</v>
      </c>
      <c r="C65" s="44">
        <f>C14*(1-Paramètres!$B$2)</f>
        <v>1645.12</v>
      </c>
      <c r="D65" s="44">
        <f>D14*(1-Paramètres!$B$2)</f>
        <v>1678.585</v>
      </c>
      <c r="E65" s="44">
        <f>E14*(1-Paramètres!$B$2)</f>
        <v>1710.11</v>
      </c>
      <c r="F65" s="44">
        <f>F14*(1-Paramètres!$B$2)</f>
        <v>1742.605</v>
      </c>
      <c r="G65" s="44">
        <f>G14*(1-Paramètres!$B$2)</f>
        <v>1774.615</v>
      </c>
      <c r="H65" s="44">
        <f>H14*(1-Paramètres!$B$2)</f>
        <v>1807.11</v>
      </c>
      <c r="I65" s="44">
        <f>I14*(1-Paramètres!$B$2)</f>
        <v>1840.09</v>
      </c>
      <c r="J65" s="44">
        <f>J14*(1-Paramètres!$B$2)</f>
        <v>1872.1</v>
      </c>
      <c r="K65" s="44">
        <f>K14*(1-Paramètres!$B$2)</f>
        <v>1904.11</v>
      </c>
      <c r="L65" s="44">
        <f>L14*(1-Paramètres!$B$2)</f>
        <v>1936.605</v>
      </c>
      <c r="M65" s="44">
        <f>M14*(1-Paramètres!$B$2)</f>
        <v>2013.2349999999999</v>
      </c>
      <c r="N65" s="44">
        <f>N14*(1-Paramètres!$B$2)</f>
        <v>2090.35</v>
      </c>
      <c r="O65" s="44">
        <f>O14*(1-Paramètres!$B$2)</f>
        <v>2123.8150000000001</v>
      </c>
      <c r="P65" s="44">
        <f>P14*(1-Paramètres!$B$2)</f>
        <v>2155.34</v>
      </c>
      <c r="Q65" s="44">
        <f>Q14*(1-Paramètres!$B$2)</f>
        <v>2186.38</v>
      </c>
      <c r="R65" s="44">
        <f>R14*(1-Paramètres!$B$2)</f>
        <v>2219.36</v>
      </c>
      <c r="S65" s="44">
        <f>S14*(1-Paramètres!$B$2)</f>
        <v>2253.7950000000001</v>
      </c>
      <c r="T65" s="44">
        <f>T14*(1-Paramètres!$B$2)</f>
        <v>2284.835</v>
      </c>
      <c r="U65" s="44">
        <f>U14*(1-Paramètres!$B$2)</f>
        <v>2317.33</v>
      </c>
      <c r="V65" s="44">
        <f>V14*(1-Paramètres!$B$2)</f>
        <v>2349.8249999999998</v>
      </c>
      <c r="W65" s="44">
        <f>W14*(1-Paramètres!$B$2)</f>
        <v>2382.8049999999998</v>
      </c>
      <c r="X65" s="44">
        <f>X14*(1-Paramètres!$B$2)</f>
        <v>2415.2999999999997</v>
      </c>
      <c r="Y65" s="44">
        <f>Y14*(1-Paramètres!$B$2)</f>
        <v>2446.34</v>
      </c>
      <c r="Z65" s="44">
        <f>Z14*(1-Paramètres!$B$2)</f>
        <v>2478.835</v>
      </c>
      <c r="AA65" s="44">
        <f>AA14*(1-Paramètres!$B$2)</f>
        <v>2511.33</v>
      </c>
      <c r="AB65" s="44">
        <f>AB14*(1-Paramètres!$B$2)</f>
        <v>2543.8249999999998</v>
      </c>
      <c r="AC65" s="44">
        <f>AC14*(1-Paramètres!$B$2)</f>
        <v>2576.8049999999998</v>
      </c>
      <c r="AD65" s="44">
        <f>AD14*(1-Paramètres!$B$2)</f>
        <v>2607.8449999999998</v>
      </c>
      <c r="AE65" s="44">
        <f>AE14*(1-Paramètres!$B$2)</f>
        <v>2640.8249999999998</v>
      </c>
      <c r="AF65" s="44">
        <f>AF14*(1-Paramètres!$B$2)</f>
        <v>2672.835</v>
      </c>
    </row>
    <row r="66" spans="1:32" ht="15" customHeight="1" x14ac:dyDescent="0.25">
      <c r="A66" s="43">
        <v>1750</v>
      </c>
      <c r="B66" s="44">
        <f>B15*(1-Paramètres!$B$2)</f>
        <v>1658.7</v>
      </c>
      <c r="C66" s="44">
        <f>C15*(1-Paramètres!$B$2)</f>
        <v>1691.68</v>
      </c>
      <c r="D66" s="44">
        <f>D15*(1-Paramètres!$B$2)</f>
        <v>1724.175</v>
      </c>
      <c r="E66" s="44">
        <f>E15*(1-Paramètres!$B$2)</f>
        <v>1757.155</v>
      </c>
      <c r="F66" s="44">
        <f>F15*(1-Paramètres!$B$2)</f>
        <v>1790.62</v>
      </c>
      <c r="G66" s="44">
        <f>G15*(1-Paramètres!$B$2)</f>
        <v>1824.085</v>
      </c>
      <c r="H66" s="44">
        <f>H15*(1-Paramètres!$B$2)</f>
        <v>1857.0650000000001</v>
      </c>
      <c r="I66" s="44">
        <f>I15*(1-Paramètres!$B$2)</f>
        <v>1890.0449999999998</v>
      </c>
      <c r="J66" s="44">
        <f>J15*(1-Paramètres!$B$2)</f>
        <v>1923.51</v>
      </c>
      <c r="K66" s="44">
        <f>K15*(1-Paramètres!$B$2)</f>
        <v>1957.46</v>
      </c>
      <c r="L66" s="44">
        <f>L15*(1-Paramètres!$B$2)</f>
        <v>1989.47</v>
      </c>
      <c r="M66" s="44">
        <f>M15*(1-Paramètres!$B$2)</f>
        <v>2068.04</v>
      </c>
      <c r="N66" s="44">
        <f>N15*(1-Paramètres!$B$2)</f>
        <v>2146.61</v>
      </c>
      <c r="O66" s="44">
        <f>O15*(1-Paramètres!$B$2)</f>
        <v>2179.105</v>
      </c>
      <c r="P66" s="44">
        <f>P15*(1-Paramètres!$B$2)</f>
        <v>2212.085</v>
      </c>
      <c r="Q66" s="44">
        <f>Q15*(1-Paramètres!$B$2)</f>
        <v>2245.5499999999997</v>
      </c>
      <c r="R66" s="44">
        <f>R15*(1-Paramètres!$B$2)</f>
        <v>2278.5299999999997</v>
      </c>
      <c r="S66" s="44">
        <f>S15*(1-Paramètres!$B$2)</f>
        <v>2311.5099999999998</v>
      </c>
      <c r="T66" s="44">
        <f>T15*(1-Paramètres!$B$2)</f>
        <v>2345.46</v>
      </c>
      <c r="U66" s="44">
        <f>U15*(1-Paramètres!$B$2)</f>
        <v>2377.4699999999998</v>
      </c>
      <c r="V66" s="44">
        <f>V15*(1-Paramètres!$B$2)</f>
        <v>2411.42</v>
      </c>
      <c r="W66" s="44">
        <f>W15*(1-Paramètres!$B$2)</f>
        <v>2444.8849999999998</v>
      </c>
      <c r="X66" s="44">
        <f>X15*(1-Paramètres!$B$2)</f>
        <v>2477.8649999999998</v>
      </c>
      <c r="Y66" s="44">
        <f>Y15*(1-Paramètres!$B$2)</f>
        <v>2510.8449999999998</v>
      </c>
      <c r="Z66" s="44">
        <f>Z15*(1-Paramètres!$B$2)</f>
        <v>2543.8249999999998</v>
      </c>
      <c r="AA66" s="44">
        <f>AA15*(1-Paramètres!$B$2)</f>
        <v>2577.29</v>
      </c>
      <c r="AB66" s="44">
        <f>AB15*(1-Paramètres!$B$2)</f>
        <v>2609.7849999999999</v>
      </c>
      <c r="AC66" s="44">
        <f>AC15*(1-Paramètres!$B$2)</f>
        <v>2643.7350000000001</v>
      </c>
      <c r="AD66" s="44">
        <f>AD15*(1-Paramètres!$B$2)</f>
        <v>2677.2</v>
      </c>
      <c r="AE66" s="44">
        <f>AE15*(1-Paramètres!$B$2)</f>
        <v>2883.81</v>
      </c>
      <c r="AF66" s="44">
        <f>AF15*(1-Paramètres!$B$2)</f>
        <v>3092.36</v>
      </c>
    </row>
    <row r="67" spans="1:32" ht="15" customHeight="1" x14ac:dyDescent="0.25">
      <c r="A67" s="43">
        <v>1850</v>
      </c>
      <c r="B67" s="44">
        <f>B16*(1-Paramètres!$B$2)</f>
        <v>1702.35</v>
      </c>
      <c r="C67" s="44">
        <f>C16*(1-Paramètres!$B$2)</f>
        <v>1738.24</v>
      </c>
      <c r="D67" s="44">
        <f>D16*(1-Paramètres!$B$2)</f>
        <v>1771.7049999999999</v>
      </c>
      <c r="E67" s="44">
        <f>E16*(1-Paramètres!$B$2)</f>
        <v>1805.1699999999998</v>
      </c>
      <c r="F67" s="44">
        <f>F16*(1-Paramètres!$B$2)</f>
        <v>1839.605</v>
      </c>
      <c r="G67" s="44">
        <f>G16*(1-Paramètres!$B$2)</f>
        <v>1874.04</v>
      </c>
      <c r="H67" s="44">
        <f>H16*(1-Paramètres!$B$2)</f>
        <v>1907.02</v>
      </c>
      <c r="I67" s="44">
        <f>I16*(1-Paramètres!$B$2)</f>
        <v>1940.97</v>
      </c>
      <c r="J67" s="44">
        <f>J16*(1-Paramètres!$B$2)</f>
        <v>1974.9199999999998</v>
      </c>
      <c r="K67" s="44">
        <f>K16*(1-Paramètres!$B$2)</f>
        <v>2009.84</v>
      </c>
      <c r="L67" s="44">
        <f>L16*(1-Paramètres!$B$2)</f>
        <v>2044.76</v>
      </c>
      <c r="M67" s="44">
        <f>M16*(1-Paramètres!$B$2)</f>
        <v>2122.36</v>
      </c>
      <c r="N67" s="44">
        <f>N16*(1-Paramètres!$B$2)</f>
        <v>2200.4450000000002</v>
      </c>
      <c r="O67" s="44">
        <f>O16*(1-Paramètres!$B$2)</f>
        <v>2234.395</v>
      </c>
      <c r="P67" s="44">
        <f>P16*(1-Paramètres!$B$2)</f>
        <v>2268.83</v>
      </c>
      <c r="Q67" s="44">
        <f>Q16*(1-Paramètres!$B$2)</f>
        <v>2302.2950000000001</v>
      </c>
      <c r="R67" s="44">
        <f>R16*(1-Paramètres!$B$2)</f>
        <v>2336.2449999999999</v>
      </c>
      <c r="S67" s="44">
        <f>S16*(1-Paramètres!$B$2)</f>
        <v>2371.165</v>
      </c>
      <c r="T67" s="44">
        <f>T16*(1-Paramètres!$B$2)</f>
        <v>2405.1149999999998</v>
      </c>
      <c r="U67" s="44">
        <f>U16*(1-Paramètres!$B$2)</f>
        <v>2438.58</v>
      </c>
      <c r="V67" s="44">
        <f>V16*(1-Paramètres!$B$2)</f>
        <v>2472.5299999999997</v>
      </c>
      <c r="W67" s="44">
        <f>W16*(1-Paramètres!$B$2)</f>
        <v>2506.48</v>
      </c>
      <c r="X67" s="44">
        <f>X16*(1-Paramètres!$B$2)</f>
        <v>2540.915</v>
      </c>
      <c r="Y67" s="44">
        <f>Y16*(1-Paramètres!$B$2)</f>
        <v>2573.895</v>
      </c>
      <c r="Z67" s="44">
        <f>Z16*(1-Paramètres!$B$2)</f>
        <v>2608.8150000000001</v>
      </c>
      <c r="AA67" s="44">
        <f>AA16*(1-Paramètres!$B$2)</f>
        <v>2643.25</v>
      </c>
      <c r="AB67" s="44">
        <f>AB16*(1-Paramètres!$B$2)</f>
        <v>2677.2</v>
      </c>
      <c r="AC67" s="44">
        <f>AC16*(1-Paramètres!$B$2)</f>
        <v>2887.2049999999999</v>
      </c>
      <c r="AD67" s="44">
        <f>AD16*(1-Paramètres!$B$2)</f>
        <v>3098.18</v>
      </c>
      <c r="AE67" s="44">
        <f>AE16*(1-Paramètres!$B$2)</f>
        <v>3139.4049999999997</v>
      </c>
      <c r="AF67" s="44">
        <f>AF16*(1-Paramètres!$B$2)</f>
        <v>3180.63</v>
      </c>
    </row>
    <row r="68" spans="1:32" ht="15" customHeight="1" x14ac:dyDescent="0.25">
      <c r="A68" s="43">
        <v>1950</v>
      </c>
      <c r="B68" s="44">
        <f>B17*(1-Paramètres!$B$2)</f>
        <v>1747.94</v>
      </c>
      <c r="C68" s="44">
        <f>C17*(1-Paramètres!$B$2)</f>
        <v>1783.345</v>
      </c>
      <c r="D68" s="44">
        <f>D17*(1-Paramètres!$B$2)</f>
        <v>1817.78</v>
      </c>
      <c r="E68" s="44">
        <f>E17*(1-Paramètres!$B$2)</f>
        <v>1853.1849999999999</v>
      </c>
      <c r="F68" s="44">
        <f>F17*(1-Paramètres!$B$2)</f>
        <v>1888.105</v>
      </c>
      <c r="G68" s="44">
        <f>G17*(1-Paramètres!$B$2)</f>
        <v>1922.54</v>
      </c>
      <c r="H68" s="44">
        <f>H17*(1-Paramètres!$B$2)</f>
        <v>1957.9449999999999</v>
      </c>
      <c r="I68" s="44">
        <f>I17*(1-Paramètres!$B$2)</f>
        <v>1992.3799999999999</v>
      </c>
      <c r="J68" s="44">
        <f>J17*(1-Paramètres!$B$2)</f>
        <v>2026.8150000000001</v>
      </c>
      <c r="K68" s="44">
        <f>K17*(1-Paramètres!$B$2)</f>
        <v>2062.7049999999999</v>
      </c>
      <c r="L68" s="44">
        <f>L17*(1-Paramètres!$B$2)</f>
        <v>2096.6549999999997</v>
      </c>
      <c r="M68" s="44">
        <f>M17*(1-Paramètres!$B$2)</f>
        <v>2176.1950000000002</v>
      </c>
      <c r="N68" s="44">
        <f>N17*(1-Paramètres!$B$2)</f>
        <v>2255.7350000000001</v>
      </c>
      <c r="O68" s="44">
        <f>O17*(1-Paramètres!$B$2)</f>
        <v>2290.17</v>
      </c>
      <c r="P68" s="44">
        <f>P17*(1-Paramètres!$B$2)</f>
        <v>2326.5450000000001</v>
      </c>
      <c r="Q68" s="44">
        <f>Q17*(1-Paramètres!$B$2)</f>
        <v>2360.0099999999998</v>
      </c>
      <c r="R68" s="44">
        <f>R17*(1-Paramètres!$B$2)</f>
        <v>2394.4449999999997</v>
      </c>
      <c r="S68" s="44">
        <f>S17*(1-Paramètres!$B$2)</f>
        <v>2429.3649999999998</v>
      </c>
      <c r="T68" s="44">
        <f>T17*(1-Paramètres!$B$2)</f>
        <v>2465.2550000000001</v>
      </c>
      <c r="U68" s="44">
        <f>U17*(1-Paramètres!$B$2)</f>
        <v>2500.1749999999997</v>
      </c>
      <c r="V68" s="44">
        <f>V17*(1-Paramètres!$B$2)</f>
        <v>2533.64</v>
      </c>
      <c r="W68" s="44">
        <f>W17*(1-Paramètres!$B$2)</f>
        <v>2569.0450000000001</v>
      </c>
      <c r="X68" s="44">
        <f>X17*(1-Paramètres!$B$2)</f>
        <v>2603.9650000000001</v>
      </c>
      <c r="Y68" s="44">
        <f>Y17*(1-Paramètres!$B$2)</f>
        <v>2639.37</v>
      </c>
      <c r="Z68" s="44">
        <f>Z17*(1-Paramètres!$B$2)</f>
        <v>2673.3199999999997</v>
      </c>
      <c r="AA68" s="44">
        <f>AA17*(1-Paramètres!$B$2)</f>
        <v>2886.72</v>
      </c>
      <c r="AB68" s="44">
        <f>AB17*(1-Paramètres!$B$2)</f>
        <v>3100.605</v>
      </c>
      <c r="AC68" s="44">
        <f>AC17*(1-Paramètres!$B$2)</f>
        <v>3143.77</v>
      </c>
      <c r="AD68" s="44">
        <f>AD17*(1-Paramètres!$B$2)</f>
        <v>3185.48</v>
      </c>
      <c r="AE68" s="44">
        <f>AE17*(1-Paramètres!$B$2)</f>
        <v>3228.16</v>
      </c>
      <c r="AF68" s="44">
        <f>AF17*(1-Paramètres!$B$2)</f>
        <v>3271.3249999999998</v>
      </c>
    </row>
    <row r="69" spans="1:32" ht="15" customHeight="1" x14ac:dyDescent="0.25">
      <c r="A69" s="43">
        <v>2050</v>
      </c>
      <c r="B69" s="44">
        <f>B18*(1-Paramètres!$B$2)</f>
        <v>1794.0149999999999</v>
      </c>
      <c r="C69" s="44">
        <f>C18*(1-Paramètres!$B$2)</f>
        <v>1829.4199999999998</v>
      </c>
      <c r="D69" s="44">
        <f>D18*(1-Paramètres!$B$2)</f>
        <v>1863.855</v>
      </c>
      <c r="E69" s="44">
        <f>E18*(1-Paramètres!$B$2)</f>
        <v>1900.7149999999999</v>
      </c>
      <c r="F69" s="44">
        <f>F18*(1-Paramètres!$B$2)</f>
        <v>1936.12</v>
      </c>
      <c r="G69" s="44">
        <f>G18*(1-Paramètres!$B$2)</f>
        <v>1972.01</v>
      </c>
      <c r="H69" s="44">
        <f>H18*(1-Paramètres!$B$2)</f>
        <v>2007.8999999999999</v>
      </c>
      <c r="I69" s="44">
        <f>I18*(1-Paramètres!$B$2)</f>
        <v>2043.3049999999998</v>
      </c>
      <c r="J69" s="44">
        <f>J18*(1-Paramètres!$B$2)</f>
        <v>2077.7399999999998</v>
      </c>
      <c r="K69" s="44">
        <f>K18*(1-Paramètres!$B$2)</f>
        <v>2114.1149999999998</v>
      </c>
      <c r="L69" s="44">
        <f>L18*(1-Paramètres!$B$2)</f>
        <v>2150.0050000000001</v>
      </c>
      <c r="M69" s="44">
        <f>M18*(1-Paramètres!$B$2)</f>
        <v>2230.5149999999999</v>
      </c>
      <c r="N69" s="44">
        <f>N18*(1-Paramètres!$B$2)</f>
        <v>2309.085</v>
      </c>
      <c r="O69" s="44">
        <f>O18*(1-Paramètres!$B$2)</f>
        <v>2346.4299999999998</v>
      </c>
      <c r="P69" s="44">
        <f>P18*(1-Paramètres!$B$2)</f>
        <v>2382.8049999999998</v>
      </c>
      <c r="Q69" s="44">
        <f>Q18*(1-Paramètres!$B$2)</f>
        <v>2422.09</v>
      </c>
      <c r="R69" s="44">
        <f>R18*(1-Paramètres!$B$2)</f>
        <v>2452.645</v>
      </c>
      <c r="S69" s="44">
        <f>S18*(1-Paramètres!$B$2)</f>
        <v>2489.5050000000001</v>
      </c>
      <c r="T69" s="44">
        <f>T18*(1-Paramètres!$B$2)</f>
        <v>2524.4249999999997</v>
      </c>
      <c r="U69" s="44">
        <f>U18*(1-Paramètres!$B$2)</f>
        <v>2561.2849999999999</v>
      </c>
      <c r="V69" s="44">
        <f>V18*(1-Paramètres!$B$2)</f>
        <v>2596.2049999999999</v>
      </c>
      <c r="W69" s="44">
        <f>W18*(1-Paramètres!$B$2)</f>
        <v>2665.0749999999998</v>
      </c>
      <c r="X69" s="44">
        <f>X18*(1-Paramètres!$B$2)</f>
        <v>2698.0549999999998</v>
      </c>
      <c r="Y69" s="44">
        <f>Y18*(1-Paramètres!$B$2)</f>
        <v>3052.5899999999997</v>
      </c>
      <c r="Z69" s="44">
        <f>Z18*(1-Paramètres!$B$2)</f>
        <v>3097.21</v>
      </c>
      <c r="AA69" s="44">
        <f>AA18*(1-Paramètres!$B$2)</f>
        <v>3141.83</v>
      </c>
      <c r="AB69" s="44">
        <f>AB18*(1-Paramètres!$B$2)</f>
        <v>3184.9949999999999</v>
      </c>
      <c r="AC69" s="44">
        <f>AC18*(1-Paramètres!$B$2)</f>
        <v>3229.13</v>
      </c>
      <c r="AD69" s="44">
        <f>AD18*(1-Paramètres!$B$2)</f>
        <v>3272.7799999999997</v>
      </c>
      <c r="AE69" s="44">
        <f>AE18*(1-Paramètres!$B$2)</f>
        <v>3316.915</v>
      </c>
      <c r="AF69" s="44">
        <f>AF18*(1-Paramètres!$B$2)</f>
        <v>3360.5650000000001</v>
      </c>
    </row>
    <row r="70" spans="1:32" ht="15" customHeight="1" x14ac:dyDescent="0.25">
      <c r="A70" s="43">
        <v>2150</v>
      </c>
      <c r="B70" s="44">
        <f>B19*(1-Paramètres!$B$2)</f>
        <v>1838.1499999999999</v>
      </c>
      <c r="C70" s="44">
        <f>C19*(1-Paramètres!$B$2)</f>
        <v>1875.4949999999999</v>
      </c>
      <c r="D70" s="44">
        <f>D19*(1-Paramètres!$B$2)</f>
        <v>1911.87</v>
      </c>
      <c r="E70" s="44">
        <f>E19*(1-Paramètres!$B$2)</f>
        <v>1947.76</v>
      </c>
      <c r="F70" s="44">
        <f>F19*(1-Paramètres!$B$2)</f>
        <v>1985.105</v>
      </c>
      <c r="G70" s="44">
        <f>G19*(1-Paramètres!$B$2)</f>
        <v>2021.9649999999999</v>
      </c>
      <c r="H70" s="44">
        <f>H19*(1-Paramètres!$B$2)</f>
        <v>2057.37</v>
      </c>
      <c r="I70" s="44">
        <f>I19*(1-Paramètres!$B$2)</f>
        <v>2094.23</v>
      </c>
      <c r="J70" s="44">
        <f>J19*(1-Paramètres!$B$2)</f>
        <v>2129.6349999999998</v>
      </c>
      <c r="K70" s="44">
        <f>K19*(1-Paramètres!$B$2)</f>
        <v>2165.5250000000001</v>
      </c>
      <c r="L70" s="44">
        <f>L19*(1-Paramètres!$B$2)</f>
        <v>2202.87</v>
      </c>
      <c r="M70" s="44">
        <f>M19*(1-Paramètres!$B$2)</f>
        <v>2284.35</v>
      </c>
      <c r="N70" s="44">
        <f>N19*(1-Paramètres!$B$2)</f>
        <v>2365.83</v>
      </c>
      <c r="O70" s="44">
        <f>O19*(1-Paramètres!$B$2)</f>
        <v>2402.69</v>
      </c>
      <c r="P70" s="44">
        <f>P19*(1-Paramètres!$B$2)</f>
        <v>2439.5499999999997</v>
      </c>
      <c r="Q70" s="44">
        <f>Q19*(1-Paramètres!$B$2)</f>
        <v>2473.9850000000001</v>
      </c>
      <c r="R70" s="44">
        <f>R19*(1-Paramètres!$B$2)</f>
        <v>2511.33</v>
      </c>
      <c r="S70" s="44">
        <f>S19*(1-Paramètres!$B$2)</f>
        <v>2548.19</v>
      </c>
      <c r="T70" s="44">
        <f>T19*(1-Paramètres!$B$2)</f>
        <v>2584.5650000000001</v>
      </c>
      <c r="U70" s="44">
        <f>U19*(1-Paramètres!$B$2)</f>
        <v>2634.0349999999999</v>
      </c>
      <c r="V70" s="44">
        <f>V19*(1-Paramètres!$B$2)</f>
        <v>2667.0149999999999</v>
      </c>
      <c r="W70" s="44">
        <f>W19*(1-Paramètres!$B$2)</f>
        <v>3044.83</v>
      </c>
      <c r="X70" s="44">
        <f>X19*(1-Paramètres!$B$2)</f>
        <v>3090.42</v>
      </c>
      <c r="Y70" s="44">
        <f>Y19*(1-Paramètres!$B$2)</f>
        <v>3134.5549999999998</v>
      </c>
      <c r="Z70" s="44">
        <f>Z19*(1-Paramètres!$B$2)</f>
        <v>3178.2049999999999</v>
      </c>
      <c r="AA70" s="44">
        <f>AA19*(1-Paramètres!$B$2)</f>
        <v>3225.7350000000001</v>
      </c>
      <c r="AB70" s="44">
        <f>AB19*(1-Paramètres!$B$2)</f>
        <v>3270.355</v>
      </c>
      <c r="AC70" s="44">
        <f>AC19*(1-Paramètres!$B$2)</f>
        <v>3314.49</v>
      </c>
      <c r="AD70" s="44">
        <f>AD19*(1-Paramètres!$B$2)</f>
        <v>3360.08</v>
      </c>
      <c r="AE70" s="44">
        <f>AE19*(1-Paramètres!$B$2)</f>
        <v>3404.7</v>
      </c>
      <c r="AF70" s="44">
        <f>AF19*(1-Paramètres!$B$2)</f>
        <v>3449.8049999999998</v>
      </c>
    </row>
    <row r="71" spans="1:32" ht="15" customHeight="1" x14ac:dyDescent="0.25">
      <c r="A71" s="43">
        <v>2250</v>
      </c>
      <c r="B71" s="44">
        <f>B20*(1-Paramètres!$B$2)</f>
        <v>1883.74</v>
      </c>
      <c r="C71" s="44">
        <f>C20*(1-Paramètres!$B$2)</f>
        <v>1921.57</v>
      </c>
      <c r="D71" s="44">
        <f>D20*(1-Paramètres!$B$2)</f>
        <v>1958.4299999999998</v>
      </c>
      <c r="E71" s="44">
        <f>E20*(1-Paramètres!$B$2)</f>
        <v>1995.7749999999999</v>
      </c>
      <c r="F71" s="44">
        <f>F20*(1-Paramètres!$B$2)</f>
        <v>2033.605</v>
      </c>
      <c r="G71" s="44">
        <f>G20*(1-Paramètres!$B$2)</f>
        <v>2069.98</v>
      </c>
      <c r="H71" s="44">
        <f>H20*(1-Paramètres!$B$2)</f>
        <v>2107.3249999999998</v>
      </c>
      <c r="I71" s="44">
        <f>I20*(1-Paramètres!$B$2)</f>
        <v>2145.64</v>
      </c>
      <c r="J71" s="44">
        <f>J20*(1-Paramètres!$B$2)</f>
        <v>2181.5299999999997</v>
      </c>
      <c r="K71" s="44">
        <f>K20*(1-Paramètres!$B$2)</f>
        <v>2218.875</v>
      </c>
      <c r="L71" s="44">
        <f>L20*(1-Paramètres!$B$2)</f>
        <v>2256.7049999999999</v>
      </c>
      <c r="M71" s="44">
        <f>M20*(1-Paramètres!$B$2)</f>
        <v>2338.67</v>
      </c>
      <c r="N71" s="44">
        <f>N20*(1-Paramètres!$B$2)</f>
        <v>2419.1799999999998</v>
      </c>
      <c r="O71" s="44">
        <f>O20*(1-Paramètres!$B$2)</f>
        <v>2457.4949999999999</v>
      </c>
      <c r="P71" s="44">
        <f>P20*(1-Paramètres!$B$2)</f>
        <v>2494.84</v>
      </c>
      <c r="Q71" s="44">
        <f>Q20*(1-Paramètres!$B$2)</f>
        <v>2532.1849999999999</v>
      </c>
      <c r="R71" s="44">
        <f>R20*(1-Paramètres!$B$2)</f>
        <v>2569.0450000000001</v>
      </c>
      <c r="S71" s="44">
        <f>S20*(1-Paramètres!$B$2)</f>
        <v>2606.875</v>
      </c>
      <c r="T71" s="44">
        <f>T20*(1-Paramètres!$B$2)</f>
        <v>2644.7049999999999</v>
      </c>
      <c r="U71" s="44">
        <f>U20*(1-Paramètres!$B$2)</f>
        <v>2710.665</v>
      </c>
      <c r="V71" s="44">
        <f>V20*(1-Paramètres!$B$2)</f>
        <v>2877.99</v>
      </c>
      <c r="W71" s="44">
        <f>W20*(1-Paramètres!$B$2)</f>
        <v>3060.35</v>
      </c>
      <c r="X71" s="44">
        <f>X20*(1-Paramètres!$B$2)</f>
        <v>3104.97</v>
      </c>
      <c r="Y71" s="44">
        <f>Y20*(1-Paramètres!$B$2)</f>
        <v>3151.5299999999997</v>
      </c>
      <c r="Z71" s="44">
        <f>Z20*(1-Paramètres!$B$2)</f>
        <v>3197.12</v>
      </c>
      <c r="AA71" s="44">
        <f>AA20*(1-Paramètres!$B$2)</f>
        <v>3243.68</v>
      </c>
      <c r="AB71" s="44">
        <f>AB20*(1-Paramètres!$B$2)</f>
        <v>3288.7849999999999</v>
      </c>
      <c r="AC71" s="44">
        <f>AC20*(1-Paramètres!$B$2)</f>
        <v>3335.83</v>
      </c>
      <c r="AD71" s="44">
        <f>AD20*(1-Paramètres!$B$2)</f>
        <v>3380.45</v>
      </c>
      <c r="AE71" s="44">
        <f>AE20*(1-Paramètres!$B$2)</f>
        <v>3425.0699999999997</v>
      </c>
      <c r="AF71" s="44">
        <f>AF20*(1-Paramètres!$B$2)</f>
        <v>3470.1749999999997</v>
      </c>
    </row>
    <row r="72" spans="1:32" ht="15" customHeight="1" x14ac:dyDescent="0.25">
      <c r="A72" s="43">
        <v>2350</v>
      </c>
      <c r="B72" s="44">
        <f>B21*(1-Paramètres!$B$2)</f>
        <v>1956.0049999999999</v>
      </c>
      <c r="C72" s="44">
        <f>C21*(1-Paramètres!$B$2)</f>
        <v>1993.835</v>
      </c>
      <c r="D72" s="44">
        <f>D21*(1-Paramètres!$B$2)</f>
        <v>2033.12</v>
      </c>
      <c r="E72" s="44">
        <f>E21*(1-Paramètres!$B$2)</f>
        <v>2070.9499999999998</v>
      </c>
      <c r="F72" s="44">
        <f>F21*(1-Paramètres!$B$2)</f>
        <v>2108.2950000000001</v>
      </c>
      <c r="G72" s="44">
        <f>G21*(1-Paramètres!$B$2)</f>
        <v>2146.125</v>
      </c>
      <c r="H72" s="44">
        <f>H21*(1-Paramètres!$B$2)</f>
        <v>2184.44</v>
      </c>
      <c r="I72" s="44">
        <f>I21*(1-Paramètres!$B$2)</f>
        <v>2223.2399999999998</v>
      </c>
      <c r="J72" s="44">
        <f>J21*(1-Paramètres!$B$2)</f>
        <v>2260.585</v>
      </c>
      <c r="K72" s="44">
        <f>K21*(1-Paramètres!$B$2)</f>
        <v>2299.87</v>
      </c>
      <c r="L72" s="44">
        <f>L21*(1-Paramètres!$B$2)</f>
        <v>2337.6999999999998</v>
      </c>
      <c r="M72" s="44">
        <f>M21*(1-Paramètres!$B$2)</f>
        <v>2419.1799999999998</v>
      </c>
      <c r="N72" s="44">
        <f>N21*(1-Paramètres!$B$2)</f>
        <v>2502.1149999999998</v>
      </c>
      <c r="O72" s="44">
        <f>O21*(1-Paramètres!$B$2)</f>
        <v>2540.915</v>
      </c>
      <c r="P72" s="44">
        <f>P21*(1-Paramètres!$B$2)</f>
        <v>2578.7449999999999</v>
      </c>
      <c r="Q72" s="44">
        <f>Q21*(1-Paramètres!$B$2)</f>
        <v>2617.5450000000001</v>
      </c>
      <c r="R72" s="44">
        <f>R21*(1-Paramètres!$B$2)</f>
        <v>2654.89</v>
      </c>
      <c r="S72" s="44">
        <f>S21*(1-Paramètres!$B$2)</f>
        <v>3085.085</v>
      </c>
      <c r="T72" s="44">
        <f>T21*(1-Paramètres!$B$2)</f>
        <v>3135.04</v>
      </c>
      <c r="U72" s="44">
        <f>U21*(1-Paramètres!$B$2)</f>
        <v>3182.5699999999997</v>
      </c>
      <c r="V72" s="44">
        <f>V21*(1-Paramètres!$B$2)</f>
        <v>3227.6749999999997</v>
      </c>
      <c r="W72" s="44">
        <f>W21*(1-Paramètres!$B$2)</f>
        <v>3278.1149999999998</v>
      </c>
      <c r="X72" s="44">
        <f>X21*(1-Paramètres!$B$2)</f>
        <v>3324.6749999999997</v>
      </c>
      <c r="Y72" s="44">
        <f>Y21*(1-Paramètres!$B$2)</f>
        <v>3371.2350000000001</v>
      </c>
      <c r="Z72" s="44">
        <f>Z21*(1-Paramètres!$B$2)</f>
        <v>3419.7350000000001</v>
      </c>
      <c r="AA72" s="44">
        <f>AA21*(1-Paramètres!$B$2)</f>
        <v>3466.2950000000001</v>
      </c>
      <c r="AB72" s="44">
        <f>AB21*(1-Paramètres!$B$2)</f>
        <v>3513.8249999999998</v>
      </c>
      <c r="AC72" s="44">
        <f>AC21*(1-Paramètres!$B$2)</f>
        <v>3561.8399999999997</v>
      </c>
      <c r="AD72" s="44">
        <f>AD21*(1-Paramètres!$B$2)</f>
        <v>3609.37</v>
      </c>
      <c r="AE72" s="44">
        <f>AE21*(1-Paramètres!$B$2)</f>
        <v>3655.93</v>
      </c>
      <c r="AF72" s="44">
        <f>AF21*(1-Paramètres!$B$2)</f>
        <v>3702.49</v>
      </c>
    </row>
    <row r="73" spans="1:32" ht="15" customHeight="1" x14ac:dyDescent="0.25">
      <c r="A73" s="43">
        <v>2450</v>
      </c>
      <c r="B73" s="44">
        <f>B22*(1-Paramètres!$B$2)</f>
        <v>2002.08</v>
      </c>
      <c r="C73" s="44">
        <f>C22*(1-Paramètres!$B$2)</f>
        <v>2041.365</v>
      </c>
      <c r="D73" s="44">
        <f>D22*(1-Paramètres!$B$2)</f>
        <v>2078.2249999999999</v>
      </c>
      <c r="E73" s="44">
        <f>E22*(1-Paramètres!$B$2)</f>
        <v>2117.5099999999998</v>
      </c>
      <c r="F73" s="44">
        <f>F22*(1-Paramètres!$B$2)</f>
        <v>2156.31</v>
      </c>
      <c r="G73" s="44">
        <f>G22*(1-Paramètres!$B$2)</f>
        <v>2196.5650000000001</v>
      </c>
      <c r="H73" s="44">
        <f>H22*(1-Paramètres!$B$2)</f>
        <v>2235.3649999999998</v>
      </c>
      <c r="I73" s="44">
        <f>I22*(1-Paramètres!$B$2)</f>
        <v>2274.65</v>
      </c>
      <c r="J73" s="44">
        <f>J22*(1-Paramètres!$B$2)</f>
        <v>2312.48</v>
      </c>
      <c r="K73" s="44">
        <f>K22*(1-Paramètres!$B$2)</f>
        <v>2351.7649999999999</v>
      </c>
      <c r="L73" s="44">
        <f>L22*(1-Paramètres!$B$2)</f>
        <v>2390.08</v>
      </c>
      <c r="M73" s="44">
        <f>M22*(1-Paramètres!$B$2)</f>
        <v>2473.5</v>
      </c>
      <c r="N73" s="44">
        <f>N22*(1-Paramètres!$B$2)</f>
        <v>2557.4049999999997</v>
      </c>
      <c r="O73" s="44">
        <f>O22*(1-Paramètres!$B$2)</f>
        <v>2596.69</v>
      </c>
      <c r="P73" s="44">
        <f>P22*(1-Paramètres!$B$2)</f>
        <v>2634.52</v>
      </c>
      <c r="Q73" s="44">
        <f>Q22*(1-Paramètres!$B$2)</f>
        <v>2849.375</v>
      </c>
      <c r="R73" s="44">
        <f>R22*(1-Paramètres!$B$2)</f>
        <v>3064.23</v>
      </c>
      <c r="S73" s="44">
        <f>S22*(1-Paramètres!$B$2)</f>
        <v>3113.7</v>
      </c>
      <c r="T73" s="44">
        <f>T22*(1-Paramètres!$B$2)</f>
        <v>3161.23</v>
      </c>
      <c r="U73" s="44">
        <f>U22*(1-Paramètres!$B$2)</f>
        <v>3210.2149999999997</v>
      </c>
      <c r="V73" s="44">
        <f>V22*(1-Paramètres!$B$2)</f>
        <v>3257.7449999999999</v>
      </c>
      <c r="W73" s="44">
        <f>W22*(1-Paramètres!$B$2)</f>
        <v>3308.1849999999999</v>
      </c>
      <c r="X73" s="44">
        <f>X22*(1-Paramètres!$B$2)</f>
        <v>3357.17</v>
      </c>
      <c r="Y73" s="44">
        <f>Y22*(1-Paramètres!$B$2)</f>
        <v>3404.7</v>
      </c>
      <c r="Z73" s="44">
        <f>Z22*(1-Paramètres!$B$2)</f>
        <v>3453.2</v>
      </c>
      <c r="AA73" s="44">
        <f>AA22*(1-Paramètres!$B$2)</f>
        <v>3502.1849999999999</v>
      </c>
      <c r="AB73" s="44">
        <f>AB22*(1-Paramètres!$B$2)</f>
        <v>3550.6849999999999</v>
      </c>
      <c r="AC73" s="44">
        <f>AC22*(1-Paramètres!$B$2)</f>
        <v>3599.67</v>
      </c>
      <c r="AD73" s="44">
        <f>AD22*(1-Paramètres!$B$2)</f>
        <v>3649.625</v>
      </c>
      <c r="AE73" s="44">
        <f>AE22*(1-Paramètres!$B$2)</f>
        <v>3698.125</v>
      </c>
      <c r="AF73" s="44">
        <f>AF22*(1-Paramètres!$B$2)</f>
        <v>3747.1099999999997</v>
      </c>
    </row>
    <row r="74" spans="1:32" ht="15" customHeight="1" x14ac:dyDescent="0.25">
      <c r="A74" s="43">
        <v>2550</v>
      </c>
      <c r="B74" s="44">
        <f>B23*(1-Paramètres!$B$2)</f>
        <v>2046.2149999999999</v>
      </c>
      <c r="C74" s="44">
        <f>C23*(1-Paramètres!$B$2)</f>
        <v>2086.4699999999998</v>
      </c>
      <c r="D74" s="44">
        <f>D23*(1-Paramètres!$B$2)</f>
        <v>2126.7249999999999</v>
      </c>
      <c r="E74" s="44">
        <f>E23*(1-Paramètres!$B$2)</f>
        <v>2166.4949999999999</v>
      </c>
      <c r="F74" s="44">
        <f>F23*(1-Paramètres!$B$2)</f>
        <v>2204.81</v>
      </c>
      <c r="G74" s="44">
        <f>G23*(1-Paramètres!$B$2)</f>
        <v>2245.0650000000001</v>
      </c>
      <c r="H74" s="44">
        <f>H23*(1-Paramètres!$B$2)</f>
        <v>2283.8649999999998</v>
      </c>
      <c r="I74" s="44">
        <f>I23*(1-Paramètres!$B$2)</f>
        <v>2324.605</v>
      </c>
      <c r="J74" s="44">
        <f>J23*(1-Paramètres!$B$2)</f>
        <v>2363.4049999999997</v>
      </c>
      <c r="K74" s="44">
        <f>K23*(1-Paramètres!$B$2)</f>
        <v>2404.63</v>
      </c>
      <c r="L74" s="44">
        <f>L23*(1-Paramètres!$B$2)</f>
        <v>2444.8849999999998</v>
      </c>
      <c r="M74" s="44">
        <f>M23*(1-Paramètres!$B$2)</f>
        <v>2527.8199999999997</v>
      </c>
      <c r="N74" s="44">
        <f>N23*(1-Paramètres!$B$2)</f>
        <v>2612.6949999999997</v>
      </c>
      <c r="O74" s="44">
        <f>O23*(1-Paramètres!$B$2)</f>
        <v>2652.4650000000001</v>
      </c>
      <c r="P74" s="44">
        <f>P23*(1-Paramètres!$B$2)</f>
        <v>2691.2649999999999</v>
      </c>
      <c r="Q74" s="44">
        <f>Q23*(1-Paramètres!$B$2)</f>
        <v>2907.5749999999998</v>
      </c>
      <c r="R74" s="44">
        <f>R23*(1-Paramètres!$B$2)</f>
        <v>3121.9449999999997</v>
      </c>
      <c r="S74" s="44">
        <f>S23*(1-Paramètres!$B$2)</f>
        <v>3172.3849999999998</v>
      </c>
      <c r="T74" s="44">
        <f>T23*(1-Paramètres!$B$2)</f>
        <v>3222.3399999999997</v>
      </c>
      <c r="U74" s="44">
        <f>U23*(1-Paramètres!$B$2)</f>
        <v>3271.3249999999998</v>
      </c>
      <c r="V74" s="44">
        <f>V23*(1-Paramètres!$B$2)</f>
        <v>3322.25</v>
      </c>
      <c r="W74" s="44">
        <f>W23*(1-Paramètres!$B$2)</f>
        <v>3372.2049999999999</v>
      </c>
      <c r="X74" s="44">
        <f>X23*(1-Paramètres!$B$2)</f>
        <v>3423.13</v>
      </c>
      <c r="Y74" s="44">
        <f>Y23*(1-Paramètres!$B$2)</f>
        <v>3472.6</v>
      </c>
      <c r="Z74" s="44">
        <f>Z23*(1-Paramètres!$B$2)</f>
        <v>3522.5549999999998</v>
      </c>
      <c r="AA74" s="44">
        <f>AA23*(1-Paramètres!$B$2)</f>
        <v>3572.9949999999999</v>
      </c>
      <c r="AB74" s="44">
        <f>AB23*(1-Paramètres!$B$2)</f>
        <v>3622.4649999999997</v>
      </c>
      <c r="AC74" s="44">
        <f>AC23*(1-Paramètres!$B$2)</f>
        <v>3672.42</v>
      </c>
      <c r="AD74" s="44">
        <f>AD23*(1-Paramètres!$B$2)</f>
        <v>3720.4349999999999</v>
      </c>
      <c r="AE74" s="44">
        <f>AE23*(1-Paramètres!$B$2)</f>
        <v>3760.69</v>
      </c>
      <c r="AF74" s="44">
        <f>AF23*(1-Paramètres!$B$2)</f>
        <v>3815.4949999999999</v>
      </c>
    </row>
    <row r="75" spans="1:32" ht="15" customHeight="1" x14ac:dyDescent="0.25">
      <c r="A75" s="43">
        <v>2650</v>
      </c>
      <c r="B75" s="44">
        <f>B24*(1-Paramètres!$B$2)</f>
        <v>2091.8049999999998</v>
      </c>
      <c r="C75" s="44">
        <f>C24*(1-Paramètres!$B$2)</f>
        <v>2133.0299999999997</v>
      </c>
      <c r="D75" s="44">
        <f>D24*(1-Paramètres!$B$2)</f>
        <v>2172.7999999999997</v>
      </c>
      <c r="E75" s="44">
        <f>E24*(1-Paramètres!$B$2)</f>
        <v>2214.5099999999998</v>
      </c>
      <c r="F75" s="44">
        <f>F24*(1-Paramètres!$B$2)</f>
        <v>2253.31</v>
      </c>
      <c r="G75" s="44">
        <f>G24*(1-Paramètres!$B$2)</f>
        <v>2295.02</v>
      </c>
      <c r="H75" s="44">
        <f>H24*(1-Paramètres!$B$2)</f>
        <v>2335.2750000000001</v>
      </c>
      <c r="I75" s="44">
        <f>I24*(1-Paramètres!$B$2)</f>
        <v>2376.0149999999999</v>
      </c>
      <c r="J75" s="44">
        <f>J24*(1-Paramètres!$B$2)</f>
        <v>2416.7550000000001</v>
      </c>
      <c r="K75" s="44">
        <f>K24*(1-Paramètres!$B$2)</f>
        <v>2457.0099999999998</v>
      </c>
      <c r="L75" s="44">
        <f>L24*(1-Paramètres!$B$2)</f>
        <v>2498.2350000000001</v>
      </c>
      <c r="M75" s="44">
        <f>M24*(1-Paramètres!$B$2)</f>
        <v>2582.14</v>
      </c>
      <c r="N75" s="44">
        <f>N24*(1-Paramètres!$B$2)</f>
        <v>2667.9850000000001</v>
      </c>
      <c r="O75" s="44">
        <f>O24*(1-Paramètres!$B$2)</f>
        <v>2937.16</v>
      </c>
      <c r="P75" s="44">
        <f>P24*(1-Paramètres!$B$2)</f>
        <v>2983.72</v>
      </c>
      <c r="Q75" s="44">
        <f>Q24*(1-Paramètres!$B$2)</f>
        <v>3104.97</v>
      </c>
      <c r="R75" s="44">
        <f>R24*(1-Paramètres!$B$2)</f>
        <v>3169.96</v>
      </c>
      <c r="S75" s="44">
        <f>S24*(1-Paramètres!$B$2)</f>
        <v>3223.7950000000001</v>
      </c>
      <c r="T75" s="44">
        <f>T24*(1-Paramètres!$B$2)</f>
        <v>3275.69</v>
      </c>
      <c r="U75" s="44">
        <f>U24*(1-Paramètres!$B$2)</f>
        <v>3328.5549999999998</v>
      </c>
      <c r="V75" s="44">
        <f>V24*(1-Paramètres!$B$2)</f>
        <v>3380.9349999999999</v>
      </c>
      <c r="W75" s="44">
        <f>W24*(1-Paramètres!$B$2)</f>
        <v>3432.3449999999998</v>
      </c>
      <c r="X75" s="44">
        <f>X24*(1-Paramètres!$B$2)</f>
        <v>3484.7249999999999</v>
      </c>
      <c r="Y75" s="44">
        <f>Y24*(1-Paramètres!$B$2)</f>
        <v>3538.0749999999998</v>
      </c>
      <c r="Z75" s="44">
        <f>Z24*(1-Paramètres!$B$2)</f>
        <v>3589</v>
      </c>
      <c r="AA75" s="44">
        <f>AA24*(1-Paramètres!$B$2)</f>
        <v>3642.35</v>
      </c>
      <c r="AB75" s="44">
        <f>AB24*(1-Paramètres!$B$2)</f>
        <v>3695.2149999999997</v>
      </c>
      <c r="AC75" s="44">
        <f>AC24*(1-Paramètres!$B$2)</f>
        <v>3747.5949999999998</v>
      </c>
      <c r="AD75" s="44">
        <f>AD24*(1-Paramètres!$B$2)</f>
        <v>3800.46</v>
      </c>
      <c r="AE75" s="44">
        <f>AE24*(1-Paramètres!$B$2)</f>
        <v>3852.8399999999997</v>
      </c>
      <c r="AF75" s="44">
        <f>AF24*(1-Paramètres!$B$2)</f>
        <v>3905.7049999999999</v>
      </c>
    </row>
    <row r="76" spans="1:32" ht="15" customHeight="1" x14ac:dyDescent="0.25">
      <c r="A76" s="43">
        <v>2700</v>
      </c>
      <c r="B76" s="44">
        <f>B25*(1-Paramètres!$B$2)</f>
        <v>2136.91</v>
      </c>
      <c r="C76" s="44">
        <f>C25*(1-Paramètres!$B$2)</f>
        <v>2179.59</v>
      </c>
      <c r="D76" s="44">
        <f>D25*(1-Paramètres!$B$2)</f>
        <v>2219.8449999999998</v>
      </c>
      <c r="E76" s="44">
        <f>E25*(1-Paramètres!$B$2)</f>
        <v>2263.0099999999998</v>
      </c>
      <c r="F76" s="44">
        <f>F25*(1-Paramètres!$B$2)</f>
        <v>2301.81</v>
      </c>
      <c r="G76" s="44">
        <f>G25*(1-Paramètres!$B$2)</f>
        <v>2344.0050000000001</v>
      </c>
      <c r="H76" s="44">
        <f>H25*(1-Paramètres!$B$2)</f>
        <v>2385.7150000000001</v>
      </c>
      <c r="I76" s="44">
        <f>I25*(1-Paramètres!$B$2)</f>
        <v>2426.94</v>
      </c>
      <c r="J76" s="44">
        <f>J25*(1-Paramètres!$B$2)</f>
        <v>2469.1349999999998</v>
      </c>
      <c r="K76" s="44">
        <f>K25*(1-Paramètres!$B$2)</f>
        <v>2509.39</v>
      </c>
      <c r="L76" s="44">
        <f>L25*(1-Paramètres!$B$2)</f>
        <v>2551.585</v>
      </c>
      <c r="M76" s="44">
        <f>M25*(1-Paramètres!$B$2)</f>
        <v>2636.46</v>
      </c>
      <c r="N76" s="44">
        <f>N25*(1-Paramètres!$B$2)</f>
        <v>2723.2750000000001</v>
      </c>
      <c r="O76" s="44">
        <f>O25*(1-Paramètres!$B$2)</f>
        <v>3001.665</v>
      </c>
      <c r="P76" s="44">
        <f>P25*(1-Paramètres!$B$2)</f>
        <v>3119.52</v>
      </c>
      <c r="Q76" s="44">
        <f>Q25*(1-Paramètres!$B$2)</f>
        <v>3173.355</v>
      </c>
      <c r="R76" s="44">
        <f>R25*(1-Paramètres!$B$2)</f>
        <v>3191.2999999999997</v>
      </c>
      <c r="S76" s="44">
        <f>S25*(1-Paramètres!$B$2)</f>
        <v>3333.4049999999997</v>
      </c>
      <c r="T76" s="44">
        <f>T25*(1-Paramètres!$B$2)</f>
        <v>3388.21</v>
      </c>
      <c r="U76" s="44">
        <f>U25*(1-Paramètres!$B$2)</f>
        <v>3440.105</v>
      </c>
      <c r="V76" s="44">
        <f>V25*(1-Paramètres!$B$2)</f>
        <v>3491.0299999999997</v>
      </c>
      <c r="W76" s="44">
        <f>W25*(1-Paramètres!$B$2)</f>
        <v>3543.895</v>
      </c>
      <c r="X76" s="44">
        <f>X25*(1-Paramètres!$B$2)</f>
        <v>3597.2449999999999</v>
      </c>
      <c r="Y76" s="44">
        <f>Y25*(1-Paramètres!$B$2)</f>
        <v>3649.14</v>
      </c>
      <c r="Z76" s="44">
        <f>Z25*(1-Paramètres!$B$2)</f>
        <v>3705.8849999999998</v>
      </c>
      <c r="AA76" s="44">
        <f>AA25*(1-Paramètres!$B$2)</f>
        <v>3754.3849999999998</v>
      </c>
      <c r="AB76" s="44">
        <f>AB25*(1-Paramètres!$B$2)</f>
        <v>3805.31</v>
      </c>
      <c r="AC76" s="44">
        <f>AC25*(1-Paramètres!$B$2)</f>
        <v>3856.72</v>
      </c>
      <c r="AD76" s="44">
        <f>AD25*(1-Paramètres!$B$2)</f>
        <v>3914.4349999999999</v>
      </c>
      <c r="AE76" s="44">
        <f>AE25*(1-Paramètres!$B$2)</f>
        <v>3967.2999999999997</v>
      </c>
      <c r="AF76" s="44">
        <f>AF25*(1-Paramètres!$B$2)</f>
        <v>4017.74</v>
      </c>
    </row>
  </sheetData>
  <mergeCells count="4">
    <mergeCell ref="A1:AF1"/>
    <mergeCell ref="A27:AF27"/>
    <mergeCell ref="A3:AF3"/>
    <mergeCell ref="A53:AF5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76"/>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26" width="9" customWidth="1"/>
  </cols>
  <sheetData>
    <row r="1" spans="1:26" ht="24" customHeight="1" x14ac:dyDescent="0.25">
      <c r="A1" s="126" t="s">
        <v>267</v>
      </c>
      <c r="B1" s="93"/>
      <c r="C1" s="93"/>
      <c r="D1" s="93"/>
      <c r="E1" s="93"/>
      <c r="F1" s="93"/>
      <c r="G1" s="93"/>
      <c r="H1" s="93"/>
      <c r="I1" s="93"/>
      <c r="J1" s="93"/>
      <c r="K1" s="93"/>
      <c r="L1" s="93"/>
      <c r="M1" s="93"/>
      <c r="N1" s="93"/>
      <c r="O1" s="93"/>
      <c r="P1" s="93"/>
      <c r="Q1" s="93"/>
      <c r="R1" s="93"/>
      <c r="S1" s="93"/>
      <c r="T1" s="93"/>
      <c r="U1" s="93"/>
      <c r="V1" s="93"/>
      <c r="W1" s="93"/>
      <c r="X1" s="93"/>
      <c r="Y1" s="93"/>
      <c r="Z1" s="93"/>
    </row>
    <row r="3" spans="1:26" ht="15" customHeight="1" x14ac:dyDescent="0.25">
      <c r="A3" s="121" t="s">
        <v>259</v>
      </c>
      <c r="B3" s="93"/>
      <c r="C3" s="93"/>
      <c r="D3" s="93"/>
      <c r="E3" s="93"/>
      <c r="F3" s="93"/>
      <c r="G3" s="93"/>
      <c r="H3" s="93"/>
      <c r="I3" s="93"/>
      <c r="J3" s="93"/>
      <c r="K3" s="93"/>
      <c r="L3" s="93"/>
      <c r="M3" s="93"/>
      <c r="N3" s="93"/>
      <c r="O3" s="93"/>
      <c r="P3" s="93"/>
      <c r="Q3" s="93"/>
      <c r="R3" s="93"/>
      <c r="S3" s="93"/>
      <c r="T3" s="93"/>
      <c r="U3" s="93"/>
      <c r="V3" s="93"/>
      <c r="W3" s="93"/>
      <c r="X3" s="93"/>
      <c r="Y3" s="93"/>
      <c r="Z3" s="93"/>
    </row>
    <row r="4" spans="1:26" ht="15" customHeight="1" x14ac:dyDescent="0.25">
      <c r="A4" s="43" t="s">
        <v>260</v>
      </c>
      <c r="B4" s="43">
        <v>4000</v>
      </c>
      <c r="C4" s="43">
        <v>4100</v>
      </c>
      <c r="D4" s="43">
        <v>4200</v>
      </c>
      <c r="E4" s="43">
        <v>4300</v>
      </c>
      <c r="F4" s="43">
        <v>4400</v>
      </c>
      <c r="G4" s="43">
        <v>4500</v>
      </c>
      <c r="H4" s="43">
        <v>4600</v>
      </c>
      <c r="I4" s="43">
        <v>4700</v>
      </c>
      <c r="J4" s="43">
        <v>4800</v>
      </c>
      <c r="K4" s="43">
        <v>4900</v>
      </c>
      <c r="L4" s="43">
        <v>5000</v>
      </c>
      <c r="M4" s="43">
        <v>5100</v>
      </c>
      <c r="N4" s="43">
        <v>5200</v>
      </c>
      <c r="O4" s="43">
        <v>5300</v>
      </c>
      <c r="P4" s="43">
        <v>5400</v>
      </c>
      <c r="Q4" s="43">
        <v>5500</v>
      </c>
      <c r="R4" s="43">
        <v>5600</v>
      </c>
      <c r="S4" s="43">
        <v>5700</v>
      </c>
      <c r="T4" s="43">
        <v>5800</v>
      </c>
      <c r="U4" s="43">
        <v>5900</v>
      </c>
      <c r="V4" s="43">
        <v>6000</v>
      </c>
      <c r="W4" s="43">
        <v>6100</v>
      </c>
      <c r="X4" s="43">
        <v>6200</v>
      </c>
      <c r="Y4" s="43">
        <v>6300</v>
      </c>
      <c r="Z4" s="43">
        <v>6400</v>
      </c>
    </row>
    <row r="5" spans="1:26" ht="15" customHeight="1" x14ac:dyDescent="0.25">
      <c r="A5" s="43">
        <v>750</v>
      </c>
      <c r="B5" s="44">
        <v>3902</v>
      </c>
      <c r="C5" s="44">
        <v>3942</v>
      </c>
      <c r="D5" s="44">
        <v>3984</v>
      </c>
      <c r="E5" s="44">
        <v>4022</v>
      </c>
      <c r="F5" s="44">
        <v>4064</v>
      </c>
      <c r="G5" s="44">
        <v>4102</v>
      </c>
      <c r="H5" s="44">
        <v>4144</v>
      </c>
      <c r="I5" s="44">
        <v>4183</v>
      </c>
      <c r="J5" s="44">
        <v>4225</v>
      </c>
      <c r="K5" s="44">
        <v>4266</v>
      </c>
      <c r="L5" s="44">
        <v>4306</v>
      </c>
      <c r="M5" s="44">
        <v>4346</v>
      </c>
      <c r="N5" s="44">
        <v>4387</v>
      </c>
      <c r="O5" s="44">
        <v>4428</v>
      </c>
      <c r="P5" s="44">
        <v>4476</v>
      </c>
      <c r="Q5" s="44">
        <v>4526</v>
      </c>
      <c r="R5" s="44">
        <v>4572</v>
      </c>
      <c r="S5" s="44">
        <v>4619</v>
      </c>
      <c r="T5" s="44">
        <v>4667</v>
      </c>
      <c r="U5" s="44">
        <v>4717</v>
      </c>
      <c r="V5" s="44">
        <v>4765</v>
      </c>
      <c r="W5" s="44">
        <v>4814</v>
      </c>
      <c r="X5" s="44">
        <v>4860</v>
      </c>
      <c r="Y5" s="44">
        <v>4910</v>
      </c>
      <c r="Z5" s="44">
        <v>4959</v>
      </c>
    </row>
    <row r="6" spans="1:26" ht="15" customHeight="1" x14ac:dyDescent="0.25">
      <c r="A6" s="43">
        <v>850</v>
      </c>
      <c r="B6" s="44">
        <v>4003</v>
      </c>
      <c r="C6" s="44">
        <v>4045</v>
      </c>
      <c r="D6" s="44">
        <v>4088</v>
      </c>
      <c r="E6" s="44">
        <v>4127</v>
      </c>
      <c r="F6" s="44">
        <v>4169</v>
      </c>
      <c r="G6" s="44">
        <v>4208</v>
      </c>
      <c r="H6" s="44">
        <v>4252</v>
      </c>
      <c r="I6" s="44">
        <v>4301</v>
      </c>
      <c r="J6" s="44">
        <v>4348</v>
      </c>
      <c r="K6" s="44">
        <v>4399</v>
      </c>
      <c r="L6" s="44">
        <v>4448</v>
      </c>
      <c r="M6" s="44">
        <v>4496</v>
      </c>
      <c r="N6" s="44">
        <v>4546</v>
      </c>
      <c r="O6" s="44">
        <v>4598</v>
      </c>
      <c r="P6" s="44">
        <v>4649</v>
      </c>
      <c r="Q6" s="44">
        <v>4697</v>
      </c>
      <c r="R6" s="44">
        <v>4747</v>
      </c>
      <c r="S6" s="44">
        <v>4797</v>
      </c>
      <c r="T6" s="44">
        <v>4846</v>
      </c>
      <c r="U6" s="44">
        <v>4896</v>
      </c>
      <c r="V6" s="44">
        <v>4945</v>
      </c>
      <c r="W6" s="44">
        <v>4994</v>
      </c>
      <c r="X6" s="44">
        <v>5044</v>
      </c>
      <c r="Y6" s="44">
        <v>5094</v>
      </c>
      <c r="Z6" s="44">
        <v>5142</v>
      </c>
    </row>
    <row r="7" spans="1:26" ht="15" customHeight="1" x14ac:dyDescent="0.25">
      <c r="A7" s="43">
        <v>950</v>
      </c>
      <c r="B7" s="44">
        <v>4106</v>
      </c>
      <c r="C7" s="44">
        <v>4153</v>
      </c>
      <c r="D7" s="44">
        <v>4208</v>
      </c>
      <c r="E7" s="44">
        <v>4258</v>
      </c>
      <c r="F7" s="44">
        <v>4308</v>
      </c>
      <c r="G7" s="44">
        <v>4359</v>
      </c>
      <c r="H7" s="44">
        <v>4410</v>
      </c>
      <c r="I7" s="44">
        <v>4461</v>
      </c>
      <c r="J7" s="44">
        <v>4512</v>
      </c>
      <c r="K7" s="44">
        <v>4564</v>
      </c>
      <c r="L7" s="44">
        <v>4615</v>
      </c>
      <c r="M7" s="44">
        <v>4664</v>
      </c>
      <c r="N7" s="44">
        <v>4717</v>
      </c>
      <c r="O7" s="44">
        <v>4767</v>
      </c>
      <c r="P7" s="44">
        <v>4820</v>
      </c>
      <c r="Q7" s="44">
        <v>4869</v>
      </c>
      <c r="R7" s="44">
        <v>4922</v>
      </c>
      <c r="S7" s="44">
        <v>4972</v>
      </c>
      <c r="T7" s="44">
        <v>5023</v>
      </c>
      <c r="U7" s="44">
        <v>5075</v>
      </c>
      <c r="V7" s="44">
        <v>5125</v>
      </c>
      <c r="W7" s="44">
        <v>5177</v>
      </c>
      <c r="X7" s="44">
        <v>5226</v>
      </c>
      <c r="Y7" s="44">
        <v>5280</v>
      </c>
      <c r="Z7" s="44">
        <v>5329</v>
      </c>
    </row>
    <row r="8" spans="1:26" ht="15" customHeight="1" x14ac:dyDescent="0.25">
      <c r="A8" s="43">
        <v>1050</v>
      </c>
      <c r="B8" s="44">
        <v>4258</v>
      </c>
      <c r="C8" s="44">
        <v>4308</v>
      </c>
      <c r="D8" s="44">
        <v>4361</v>
      </c>
      <c r="E8" s="44">
        <v>4412</v>
      </c>
      <c r="F8" s="44">
        <v>4467</v>
      </c>
      <c r="G8" s="44">
        <v>4521</v>
      </c>
      <c r="H8" s="44">
        <v>4571</v>
      </c>
      <c r="I8" s="44">
        <v>4622</v>
      </c>
      <c r="J8" s="44">
        <v>4674</v>
      </c>
      <c r="K8" s="44">
        <v>4727</v>
      </c>
      <c r="L8" s="44">
        <v>4780</v>
      </c>
      <c r="M8" s="44">
        <v>4832</v>
      </c>
      <c r="N8" s="44">
        <v>4884</v>
      </c>
      <c r="O8" s="44">
        <v>4938</v>
      </c>
      <c r="P8" s="44">
        <v>4988</v>
      </c>
      <c r="Q8" s="44">
        <v>5043</v>
      </c>
      <c r="R8" s="44">
        <v>5094</v>
      </c>
      <c r="S8" s="44">
        <v>5147</v>
      </c>
      <c r="T8" s="44">
        <v>5200</v>
      </c>
      <c r="U8" s="44">
        <v>5251</v>
      </c>
      <c r="V8" s="44">
        <v>5306</v>
      </c>
      <c r="W8" s="44">
        <v>5358</v>
      </c>
      <c r="X8" s="44">
        <v>5410</v>
      </c>
      <c r="Y8" s="44">
        <v>5464</v>
      </c>
      <c r="Z8" s="44">
        <v>5515</v>
      </c>
    </row>
    <row r="9" spans="1:26" ht="15" customHeight="1" x14ac:dyDescent="0.25">
      <c r="A9" s="43">
        <v>1150</v>
      </c>
      <c r="B9" s="44">
        <v>4409</v>
      </c>
      <c r="C9" s="44">
        <v>4461</v>
      </c>
      <c r="D9" s="44">
        <v>4516</v>
      </c>
      <c r="E9" s="44">
        <v>4571</v>
      </c>
      <c r="F9" s="44">
        <v>4622</v>
      </c>
      <c r="G9" s="44">
        <v>4678</v>
      </c>
      <c r="H9" s="44">
        <v>4731</v>
      </c>
      <c r="I9" s="44">
        <v>4784</v>
      </c>
      <c r="J9" s="44">
        <v>4839</v>
      </c>
      <c r="K9" s="44">
        <v>4891</v>
      </c>
      <c r="L9" s="44">
        <v>4946</v>
      </c>
      <c r="M9" s="44">
        <v>5002</v>
      </c>
      <c r="N9" s="44">
        <v>5053</v>
      </c>
      <c r="O9" s="44">
        <v>5109</v>
      </c>
      <c r="P9" s="44">
        <v>5160</v>
      </c>
      <c r="Q9" s="44">
        <v>5214</v>
      </c>
      <c r="R9" s="44">
        <v>5267</v>
      </c>
      <c r="S9" s="44">
        <v>5323</v>
      </c>
      <c r="T9" s="44">
        <v>5376</v>
      </c>
      <c r="U9" s="44">
        <v>5430</v>
      </c>
      <c r="V9" s="44">
        <v>5484</v>
      </c>
      <c r="W9" s="44">
        <v>5537</v>
      </c>
      <c r="X9" s="44">
        <v>5593</v>
      </c>
      <c r="Y9" s="44">
        <v>5646</v>
      </c>
      <c r="Z9" s="44">
        <v>5700</v>
      </c>
    </row>
    <row r="10" spans="1:26" ht="15" customHeight="1" x14ac:dyDescent="0.25">
      <c r="A10" s="43">
        <v>1250</v>
      </c>
      <c r="B10" s="44">
        <v>4618</v>
      </c>
      <c r="C10" s="44">
        <v>4673</v>
      </c>
      <c r="D10" s="44">
        <v>4729</v>
      </c>
      <c r="E10" s="44">
        <v>4784</v>
      </c>
      <c r="F10" s="44">
        <v>4842</v>
      </c>
      <c r="G10" s="44">
        <v>4896</v>
      </c>
      <c r="H10" s="44">
        <v>4952</v>
      </c>
      <c r="I10" s="44">
        <v>5007</v>
      </c>
      <c r="J10" s="44">
        <v>5060</v>
      </c>
      <c r="K10" s="44">
        <v>5117</v>
      </c>
      <c r="L10" s="44">
        <v>5173</v>
      </c>
      <c r="M10" s="44">
        <v>5226</v>
      </c>
      <c r="N10" s="44">
        <v>5283</v>
      </c>
      <c r="O10" s="44">
        <v>5338</v>
      </c>
      <c r="P10" s="44">
        <v>5393</v>
      </c>
      <c r="Q10" s="44">
        <v>5448</v>
      </c>
      <c r="R10" s="44">
        <v>5505</v>
      </c>
      <c r="S10" s="44">
        <v>5557</v>
      </c>
      <c r="T10" s="44">
        <v>5613</v>
      </c>
      <c r="U10" s="44">
        <v>5671</v>
      </c>
      <c r="V10" s="44">
        <v>5724</v>
      </c>
      <c r="W10" s="44">
        <v>5780</v>
      </c>
      <c r="X10" s="44">
        <v>5837</v>
      </c>
      <c r="Y10" s="44">
        <v>5889</v>
      </c>
      <c r="Z10" s="44">
        <v>5945</v>
      </c>
    </row>
    <row r="11" spans="1:26" ht="15" customHeight="1" x14ac:dyDescent="0.25">
      <c r="A11" s="43">
        <v>1350</v>
      </c>
      <c r="B11" s="44">
        <v>4771</v>
      </c>
      <c r="C11" s="44">
        <v>4827</v>
      </c>
      <c r="D11" s="44">
        <v>4883</v>
      </c>
      <c r="E11" s="44">
        <v>4940</v>
      </c>
      <c r="F11" s="44">
        <v>4999</v>
      </c>
      <c r="G11" s="44">
        <v>5054</v>
      </c>
      <c r="H11" s="44">
        <v>5111</v>
      </c>
      <c r="I11" s="44">
        <v>5168</v>
      </c>
      <c r="J11" s="44">
        <v>5224</v>
      </c>
      <c r="K11" s="44">
        <v>5282</v>
      </c>
      <c r="L11" s="44">
        <v>5338</v>
      </c>
      <c r="M11" s="44">
        <v>5396</v>
      </c>
      <c r="N11" s="44">
        <v>5451</v>
      </c>
      <c r="O11" s="44">
        <v>5508</v>
      </c>
      <c r="P11" s="44">
        <v>5564</v>
      </c>
      <c r="Q11" s="44">
        <v>5622</v>
      </c>
      <c r="R11" s="44">
        <v>5678</v>
      </c>
      <c r="S11" s="44">
        <v>5734</v>
      </c>
      <c r="T11" s="44">
        <v>5791</v>
      </c>
      <c r="U11" s="44">
        <v>5846</v>
      </c>
      <c r="V11" s="44">
        <v>5904</v>
      </c>
      <c r="W11" s="44">
        <v>5961</v>
      </c>
      <c r="X11" s="44">
        <v>6017</v>
      </c>
      <c r="Y11" s="44">
        <v>6073</v>
      </c>
      <c r="Z11" s="44">
        <v>6130</v>
      </c>
    </row>
    <row r="12" spans="1:26" ht="15" customHeight="1" x14ac:dyDescent="0.25">
      <c r="A12" s="43">
        <v>1450</v>
      </c>
      <c r="B12" s="44">
        <v>4924</v>
      </c>
      <c r="C12" s="44">
        <v>4982</v>
      </c>
      <c r="D12" s="44">
        <v>5038</v>
      </c>
      <c r="E12" s="44">
        <v>5096</v>
      </c>
      <c r="F12" s="44">
        <v>5156</v>
      </c>
      <c r="G12" s="44">
        <v>5213</v>
      </c>
      <c r="H12" s="44">
        <v>5271</v>
      </c>
      <c r="I12" s="44">
        <v>5329</v>
      </c>
      <c r="J12" s="44">
        <v>5388</v>
      </c>
      <c r="K12" s="44">
        <v>5445</v>
      </c>
      <c r="L12" s="44">
        <v>5505</v>
      </c>
      <c r="M12" s="44">
        <v>5562</v>
      </c>
      <c r="N12" s="44">
        <v>5622</v>
      </c>
      <c r="O12" s="44">
        <v>5678</v>
      </c>
      <c r="P12" s="44">
        <v>5735</v>
      </c>
      <c r="Q12" s="44">
        <v>5795</v>
      </c>
      <c r="R12" s="44">
        <v>5850</v>
      </c>
      <c r="S12" s="44">
        <v>5909</v>
      </c>
      <c r="T12" s="44">
        <v>5968</v>
      </c>
      <c r="U12" s="44">
        <v>6026</v>
      </c>
      <c r="V12" s="44">
        <v>6082</v>
      </c>
      <c r="W12" s="44">
        <v>6141</v>
      </c>
      <c r="X12" s="44">
        <v>6200</v>
      </c>
      <c r="Y12" s="44">
        <v>6257</v>
      </c>
      <c r="Z12" s="44">
        <v>6315</v>
      </c>
    </row>
    <row r="13" spans="1:26" ht="15" customHeight="1" x14ac:dyDescent="0.25">
      <c r="A13" s="43">
        <v>1550</v>
      </c>
      <c r="B13" s="44">
        <v>5140</v>
      </c>
      <c r="C13" s="44">
        <v>5199</v>
      </c>
      <c r="D13" s="44">
        <v>5258</v>
      </c>
      <c r="E13" s="44">
        <v>5318</v>
      </c>
      <c r="F13" s="44">
        <v>5377</v>
      </c>
      <c r="G13" s="44">
        <v>5434</v>
      </c>
      <c r="H13" s="44">
        <v>5497</v>
      </c>
      <c r="I13" s="44">
        <v>5556</v>
      </c>
      <c r="J13" s="44">
        <v>5615</v>
      </c>
      <c r="K13" s="44">
        <v>5675</v>
      </c>
      <c r="L13" s="44">
        <v>5734</v>
      </c>
      <c r="M13" s="44">
        <v>5795</v>
      </c>
      <c r="N13" s="44">
        <v>5855</v>
      </c>
      <c r="O13" s="44">
        <v>5911</v>
      </c>
      <c r="P13" s="44">
        <v>5972</v>
      </c>
      <c r="Q13" s="44">
        <v>6031</v>
      </c>
      <c r="R13" s="44">
        <v>6091</v>
      </c>
      <c r="S13" s="44">
        <v>6151</v>
      </c>
      <c r="T13" s="44">
        <v>6210</v>
      </c>
      <c r="U13" s="44">
        <v>6270</v>
      </c>
      <c r="V13" s="44">
        <v>6329</v>
      </c>
      <c r="W13" s="44">
        <v>6387</v>
      </c>
      <c r="X13" s="44">
        <v>6447</v>
      </c>
      <c r="Y13" s="44">
        <v>6507</v>
      </c>
      <c r="Z13" s="44">
        <v>6566</v>
      </c>
    </row>
    <row r="14" spans="1:26" ht="15" customHeight="1" x14ac:dyDescent="0.25">
      <c r="A14" s="43">
        <v>1650</v>
      </c>
      <c r="B14" s="44">
        <v>5293</v>
      </c>
      <c r="C14" s="44">
        <v>5353</v>
      </c>
      <c r="D14" s="44">
        <v>5414</v>
      </c>
      <c r="E14" s="44">
        <v>5474</v>
      </c>
      <c r="F14" s="44">
        <v>5535</v>
      </c>
      <c r="G14" s="44">
        <v>5595</v>
      </c>
      <c r="H14" s="44">
        <v>5657</v>
      </c>
      <c r="I14" s="44">
        <v>5718</v>
      </c>
      <c r="J14" s="44">
        <v>5780</v>
      </c>
      <c r="K14" s="44">
        <v>5841</v>
      </c>
      <c r="L14" s="44">
        <v>5900</v>
      </c>
      <c r="M14" s="44">
        <v>5960</v>
      </c>
      <c r="N14" s="44">
        <v>6023</v>
      </c>
      <c r="O14" s="44">
        <v>6082</v>
      </c>
      <c r="P14" s="44">
        <v>6142</v>
      </c>
      <c r="Q14" s="44">
        <v>6204</v>
      </c>
      <c r="R14" s="44">
        <v>6265</v>
      </c>
      <c r="S14" s="44">
        <v>6327</v>
      </c>
      <c r="T14" s="44">
        <v>6386</v>
      </c>
      <c r="U14" s="44">
        <v>6447</v>
      </c>
      <c r="V14" s="44">
        <v>6508</v>
      </c>
      <c r="W14" s="44">
        <v>6570</v>
      </c>
      <c r="X14" s="44">
        <v>6628</v>
      </c>
      <c r="Y14" s="44">
        <v>6691</v>
      </c>
      <c r="Z14" s="44">
        <v>6752</v>
      </c>
    </row>
    <row r="15" spans="1:26" ht="15" customHeight="1" x14ac:dyDescent="0.25">
      <c r="A15" s="43">
        <v>1750</v>
      </c>
      <c r="B15" s="44">
        <v>5445</v>
      </c>
      <c r="C15" s="44">
        <v>5507</v>
      </c>
      <c r="D15" s="44">
        <v>5568</v>
      </c>
      <c r="E15" s="44">
        <v>5632</v>
      </c>
      <c r="F15" s="44">
        <v>5692</v>
      </c>
      <c r="G15" s="44">
        <v>5757</v>
      </c>
      <c r="H15" s="44">
        <v>5817</v>
      </c>
      <c r="I15" s="44">
        <v>5881</v>
      </c>
      <c r="J15" s="44">
        <v>5943</v>
      </c>
      <c r="K15" s="44">
        <v>6003</v>
      </c>
      <c r="L15" s="44">
        <v>6068</v>
      </c>
      <c r="M15" s="44">
        <v>6127</v>
      </c>
      <c r="N15" s="44">
        <v>6192</v>
      </c>
      <c r="O15" s="44">
        <v>6253</v>
      </c>
      <c r="P15" s="44">
        <v>6315</v>
      </c>
      <c r="Q15" s="44">
        <v>6378</v>
      </c>
      <c r="R15" s="44">
        <v>6439</v>
      </c>
      <c r="S15" s="44">
        <v>6503</v>
      </c>
      <c r="T15" s="44">
        <v>6564</v>
      </c>
      <c r="U15" s="44">
        <v>6626</v>
      </c>
      <c r="V15" s="44">
        <v>6689</v>
      </c>
      <c r="W15" s="44">
        <v>6750</v>
      </c>
      <c r="X15" s="44">
        <v>6814</v>
      </c>
      <c r="Y15" s="44">
        <v>6876</v>
      </c>
      <c r="Z15" s="44">
        <v>6937</v>
      </c>
    </row>
    <row r="16" spans="1:26" ht="15" customHeight="1" x14ac:dyDescent="0.25">
      <c r="A16" s="43">
        <v>1850</v>
      </c>
      <c r="B16" s="44">
        <v>5597</v>
      </c>
      <c r="C16" s="44">
        <v>5660</v>
      </c>
      <c r="D16" s="44">
        <v>5724</v>
      </c>
      <c r="E16" s="44">
        <v>5786</v>
      </c>
      <c r="F16" s="44">
        <v>5850</v>
      </c>
      <c r="G16" s="44">
        <v>5913</v>
      </c>
      <c r="H16" s="44">
        <v>5978</v>
      </c>
      <c r="I16" s="44">
        <v>6041</v>
      </c>
      <c r="J16" s="44">
        <v>6106</v>
      </c>
      <c r="K16" s="44">
        <v>6170</v>
      </c>
      <c r="L16" s="44">
        <v>6233</v>
      </c>
      <c r="M16" s="44">
        <v>6297</v>
      </c>
      <c r="N16" s="44">
        <v>6358</v>
      </c>
      <c r="O16" s="44">
        <v>6424</v>
      </c>
      <c r="P16" s="44">
        <v>6487</v>
      </c>
      <c r="Q16" s="44">
        <v>6550</v>
      </c>
      <c r="R16" s="44">
        <v>6615</v>
      </c>
      <c r="S16" s="44">
        <v>6678</v>
      </c>
      <c r="T16" s="44">
        <v>6741</v>
      </c>
      <c r="U16" s="44">
        <v>6804</v>
      </c>
      <c r="V16" s="44">
        <v>6869</v>
      </c>
      <c r="W16" s="44">
        <v>6931</v>
      </c>
      <c r="X16" s="44">
        <v>6996</v>
      </c>
      <c r="Y16" s="44">
        <v>7057</v>
      </c>
      <c r="Z16" s="44">
        <v>7124</v>
      </c>
    </row>
    <row r="17" spans="1:26" ht="15" customHeight="1" x14ac:dyDescent="0.25">
      <c r="A17" s="43">
        <v>1950</v>
      </c>
      <c r="B17" s="44">
        <v>5751</v>
      </c>
      <c r="C17" s="44">
        <v>5812</v>
      </c>
      <c r="D17" s="44">
        <v>5880</v>
      </c>
      <c r="E17" s="44">
        <v>5944</v>
      </c>
      <c r="F17" s="44">
        <v>6009</v>
      </c>
      <c r="G17" s="44">
        <v>6073</v>
      </c>
      <c r="H17" s="44">
        <v>6139</v>
      </c>
      <c r="I17" s="44">
        <v>6203</v>
      </c>
      <c r="J17" s="44">
        <v>6269</v>
      </c>
      <c r="K17" s="44">
        <v>6334</v>
      </c>
      <c r="L17" s="44">
        <v>6399</v>
      </c>
      <c r="M17" s="44">
        <v>6463</v>
      </c>
      <c r="N17" s="44">
        <v>6530</v>
      </c>
      <c r="O17" s="44">
        <v>6593</v>
      </c>
      <c r="P17" s="44">
        <v>6658</v>
      </c>
      <c r="Q17" s="44">
        <v>6723</v>
      </c>
      <c r="R17" s="44">
        <v>6788</v>
      </c>
      <c r="S17" s="44">
        <v>6855</v>
      </c>
      <c r="T17" s="44">
        <v>6920</v>
      </c>
      <c r="U17" s="44">
        <v>6984</v>
      </c>
      <c r="V17" s="44">
        <v>7048</v>
      </c>
      <c r="W17" s="44">
        <v>7112</v>
      </c>
      <c r="X17" s="44">
        <v>7302</v>
      </c>
      <c r="Y17" s="44">
        <v>7366</v>
      </c>
      <c r="Z17" s="44">
        <v>7432</v>
      </c>
    </row>
    <row r="18" spans="1:26" ht="15" customHeight="1" x14ac:dyDescent="0.25">
      <c r="A18" s="43">
        <v>2050</v>
      </c>
      <c r="B18" s="44">
        <v>5901</v>
      </c>
      <c r="C18" s="44">
        <v>5966</v>
      </c>
      <c r="D18" s="44">
        <v>6032</v>
      </c>
      <c r="E18" s="44">
        <v>6101</v>
      </c>
      <c r="F18" s="44">
        <v>6166</v>
      </c>
      <c r="G18" s="44">
        <v>6233</v>
      </c>
      <c r="H18" s="44">
        <v>6299</v>
      </c>
      <c r="I18" s="44">
        <v>6367</v>
      </c>
      <c r="J18" s="44">
        <v>6430</v>
      </c>
      <c r="K18" s="44">
        <v>6498</v>
      </c>
      <c r="L18" s="44">
        <v>6564</v>
      </c>
      <c r="M18" s="44">
        <v>6760</v>
      </c>
      <c r="N18" s="44">
        <v>6827</v>
      </c>
      <c r="O18" s="44">
        <v>6894</v>
      </c>
      <c r="P18" s="44">
        <v>6962</v>
      </c>
      <c r="Q18" s="44">
        <v>7028</v>
      </c>
      <c r="R18" s="44">
        <v>7093</v>
      </c>
      <c r="S18" s="44">
        <v>7158</v>
      </c>
      <c r="T18" s="44">
        <v>7224</v>
      </c>
      <c r="U18" s="44">
        <v>7294</v>
      </c>
      <c r="V18" s="44">
        <v>7360</v>
      </c>
      <c r="W18" s="44">
        <v>7427</v>
      </c>
      <c r="X18" s="44">
        <v>7491</v>
      </c>
      <c r="Y18" s="44">
        <v>7560</v>
      </c>
      <c r="Z18" s="44">
        <v>7626</v>
      </c>
    </row>
    <row r="19" spans="1:26" ht="15" customHeight="1" x14ac:dyDescent="0.25">
      <c r="A19" s="43">
        <v>2150</v>
      </c>
      <c r="B19" s="44">
        <v>6052</v>
      </c>
      <c r="C19" s="44">
        <v>6119</v>
      </c>
      <c r="D19" s="44">
        <v>6188</v>
      </c>
      <c r="E19" s="44">
        <v>6393</v>
      </c>
      <c r="F19" s="44">
        <v>6461</v>
      </c>
      <c r="G19" s="44">
        <v>6530</v>
      </c>
      <c r="H19" s="44">
        <v>6594</v>
      </c>
      <c r="I19" s="44">
        <v>6665</v>
      </c>
      <c r="J19" s="44">
        <v>6732</v>
      </c>
      <c r="K19" s="44">
        <v>6801</v>
      </c>
      <c r="L19" s="44">
        <v>6869</v>
      </c>
      <c r="M19" s="44">
        <v>6933</v>
      </c>
      <c r="N19" s="44">
        <v>7004</v>
      </c>
      <c r="O19" s="44">
        <v>7070</v>
      </c>
      <c r="P19" s="44">
        <v>7138</v>
      </c>
      <c r="Q19" s="44">
        <v>7207</v>
      </c>
      <c r="R19" s="44">
        <v>7274</v>
      </c>
      <c r="S19" s="44">
        <v>7343</v>
      </c>
      <c r="T19" s="44">
        <v>7409</v>
      </c>
      <c r="U19" s="44">
        <v>7479</v>
      </c>
      <c r="V19" s="44">
        <v>7545</v>
      </c>
      <c r="W19" s="44">
        <v>7613</v>
      </c>
      <c r="X19" s="44">
        <v>7681</v>
      </c>
      <c r="Y19" s="44">
        <v>7750</v>
      </c>
      <c r="Z19" s="44">
        <v>7816</v>
      </c>
    </row>
    <row r="20" spans="1:26" ht="15" customHeight="1" x14ac:dyDescent="0.25">
      <c r="A20" s="43">
        <v>2250</v>
      </c>
      <c r="B20" s="44">
        <v>6347</v>
      </c>
      <c r="C20" s="44">
        <v>6418</v>
      </c>
      <c r="D20" s="44">
        <v>6487</v>
      </c>
      <c r="E20" s="44">
        <v>6555</v>
      </c>
      <c r="F20" s="44">
        <v>6624</v>
      </c>
      <c r="G20" s="44">
        <v>6696</v>
      </c>
      <c r="H20" s="44">
        <v>6765</v>
      </c>
      <c r="I20" s="44">
        <v>6833</v>
      </c>
      <c r="J20" s="44">
        <v>6902</v>
      </c>
      <c r="K20" s="44">
        <v>6972</v>
      </c>
      <c r="L20" s="44">
        <v>7042</v>
      </c>
      <c r="M20" s="44">
        <v>7109</v>
      </c>
      <c r="N20" s="44">
        <v>7179</v>
      </c>
      <c r="O20" s="44">
        <v>7248</v>
      </c>
      <c r="P20" s="44">
        <v>7317</v>
      </c>
      <c r="Q20" s="44">
        <v>7387</v>
      </c>
      <c r="R20" s="44">
        <v>7457</v>
      </c>
      <c r="S20" s="44">
        <v>7525</v>
      </c>
      <c r="T20" s="44">
        <v>7592</v>
      </c>
      <c r="U20" s="44">
        <v>7662</v>
      </c>
      <c r="V20" s="44">
        <v>7732</v>
      </c>
      <c r="W20" s="44">
        <v>7800</v>
      </c>
      <c r="X20" s="44">
        <v>7870</v>
      </c>
      <c r="Y20" s="44">
        <v>7942</v>
      </c>
      <c r="Z20" s="44">
        <v>8007</v>
      </c>
    </row>
    <row r="21" spans="1:26" ht="15" customHeight="1" x14ac:dyDescent="0.25">
      <c r="A21" s="43">
        <v>2350</v>
      </c>
      <c r="B21" s="44">
        <v>6618</v>
      </c>
      <c r="C21" s="44">
        <v>6689</v>
      </c>
      <c r="D21" s="44">
        <v>6759</v>
      </c>
      <c r="E21" s="44">
        <v>6830</v>
      </c>
      <c r="F21" s="44">
        <v>6901</v>
      </c>
      <c r="G21" s="44">
        <v>6972</v>
      </c>
      <c r="H21" s="44">
        <v>7043</v>
      </c>
      <c r="I21" s="44">
        <v>7112</v>
      </c>
      <c r="J21" s="44">
        <v>7183</v>
      </c>
      <c r="K21" s="44">
        <v>7256</v>
      </c>
      <c r="L21" s="44">
        <v>7324</v>
      </c>
      <c r="M21" s="44">
        <v>7396</v>
      </c>
      <c r="N21" s="44">
        <v>7467</v>
      </c>
      <c r="O21" s="44">
        <v>7535</v>
      </c>
      <c r="P21" s="44">
        <v>7606</v>
      </c>
      <c r="Q21" s="44">
        <v>7676</v>
      </c>
      <c r="R21" s="44">
        <v>7748</v>
      </c>
      <c r="S21" s="44">
        <v>7820</v>
      </c>
      <c r="T21" s="44">
        <v>7889</v>
      </c>
      <c r="U21" s="44">
        <v>7960</v>
      </c>
      <c r="V21" s="44">
        <v>8039</v>
      </c>
      <c r="W21" s="44">
        <v>8110</v>
      </c>
      <c r="X21" s="44">
        <v>8180</v>
      </c>
      <c r="Y21" s="44">
        <v>8252</v>
      </c>
      <c r="Z21" s="44">
        <v>8323</v>
      </c>
    </row>
    <row r="22" spans="1:26" ht="15" customHeight="1" x14ac:dyDescent="0.25">
      <c r="A22" s="43">
        <v>2450</v>
      </c>
      <c r="B22" s="44">
        <v>6777</v>
      </c>
      <c r="C22" s="44">
        <v>6848</v>
      </c>
      <c r="D22" s="44">
        <v>6922</v>
      </c>
      <c r="E22" s="44">
        <v>6994</v>
      </c>
      <c r="F22" s="44">
        <v>7064</v>
      </c>
      <c r="G22" s="44">
        <v>7137</v>
      </c>
      <c r="H22" s="44">
        <v>7210</v>
      </c>
      <c r="I22" s="44">
        <v>7283</v>
      </c>
      <c r="J22" s="44">
        <v>7356</v>
      </c>
      <c r="K22" s="44">
        <v>7430</v>
      </c>
      <c r="L22" s="44">
        <v>7501</v>
      </c>
      <c r="M22" s="44">
        <v>7583</v>
      </c>
      <c r="N22" s="44">
        <v>7654</v>
      </c>
      <c r="O22" s="44">
        <v>7727</v>
      </c>
      <c r="P22" s="44">
        <v>7797</v>
      </c>
      <c r="Q22" s="44">
        <v>7869</v>
      </c>
      <c r="R22" s="44">
        <v>7943</v>
      </c>
      <c r="S22" s="44">
        <v>8013</v>
      </c>
      <c r="T22" s="44">
        <v>8084</v>
      </c>
      <c r="U22" s="44">
        <v>8157</v>
      </c>
      <c r="V22" s="44">
        <v>8230</v>
      </c>
      <c r="W22" s="44">
        <v>8301</v>
      </c>
      <c r="X22" s="44">
        <v>8374</v>
      </c>
      <c r="Y22" s="44">
        <v>8445</v>
      </c>
      <c r="Z22" s="44">
        <v>8517</v>
      </c>
    </row>
    <row r="23" spans="1:26" ht="15" customHeight="1" x14ac:dyDescent="0.25">
      <c r="A23" s="43">
        <v>2550</v>
      </c>
      <c r="B23" s="44">
        <v>7100</v>
      </c>
      <c r="C23" s="44">
        <v>7173</v>
      </c>
      <c r="D23" s="44">
        <v>7248</v>
      </c>
      <c r="E23" s="44">
        <v>7320</v>
      </c>
      <c r="F23" s="44">
        <v>7395</v>
      </c>
      <c r="G23" s="44">
        <v>7468</v>
      </c>
      <c r="H23" s="44">
        <v>7539</v>
      </c>
      <c r="I23" s="44">
        <v>7614</v>
      </c>
      <c r="J23" s="44">
        <v>7687</v>
      </c>
      <c r="K23" s="44">
        <v>7760</v>
      </c>
      <c r="L23" s="44">
        <v>7834</v>
      </c>
      <c r="M23" s="44">
        <v>7906</v>
      </c>
      <c r="N23" s="44">
        <v>7979</v>
      </c>
      <c r="O23" s="44">
        <v>8052</v>
      </c>
      <c r="P23" s="44">
        <v>8126</v>
      </c>
      <c r="Q23" s="44">
        <v>8199</v>
      </c>
      <c r="R23" s="44">
        <v>8272</v>
      </c>
      <c r="S23" s="44">
        <v>8347</v>
      </c>
      <c r="T23" s="44">
        <v>8420</v>
      </c>
      <c r="U23" s="44">
        <v>8493</v>
      </c>
      <c r="V23" s="44">
        <v>8566</v>
      </c>
      <c r="W23" s="44">
        <v>8639</v>
      </c>
      <c r="X23" s="44">
        <v>8714</v>
      </c>
      <c r="Y23" s="44">
        <v>8788</v>
      </c>
      <c r="Z23" s="44">
        <v>8861</v>
      </c>
    </row>
    <row r="24" spans="1:26" ht="15" customHeight="1" x14ac:dyDescent="0.25">
      <c r="A24" s="43">
        <v>2650</v>
      </c>
      <c r="B24" s="44">
        <v>7314</v>
      </c>
      <c r="C24" s="44">
        <v>7387</v>
      </c>
      <c r="D24" s="44">
        <v>7463</v>
      </c>
      <c r="E24" s="44">
        <v>7538</v>
      </c>
      <c r="F24" s="44">
        <v>7613</v>
      </c>
      <c r="G24" s="44">
        <v>7688</v>
      </c>
      <c r="H24" s="44">
        <v>7762</v>
      </c>
      <c r="I24" s="44">
        <v>7836</v>
      </c>
      <c r="J24" s="44">
        <v>7910</v>
      </c>
      <c r="K24" s="44">
        <v>7985</v>
      </c>
      <c r="L24" s="44">
        <v>8064</v>
      </c>
      <c r="M24" s="44">
        <v>8136</v>
      </c>
      <c r="N24" s="44">
        <v>8186</v>
      </c>
      <c r="O24" s="44">
        <v>8336</v>
      </c>
      <c r="P24" s="44">
        <v>8412</v>
      </c>
      <c r="Q24" s="44">
        <v>8486</v>
      </c>
      <c r="R24" s="44">
        <v>8562</v>
      </c>
      <c r="S24" s="44">
        <v>8635</v>
      </c>
      <c r="T24" s="44">
        <v>8709</v>
      </c>
      <c r="U24" s="44">
        <v>8784</v>
      </c>
      <c r="V24" s="44">
        <v>8857</v>
      </c>
      <c r="W24" s="44">
        <v>8929</v>
      </c>
      <c r="X24" s="44">
        <v>9004</v>
      </c>
      <c r="Y24" s="44">
        <v>9077</v>
      </c>
      <c r="Z24" s="44">
        <v>9151</v>
      </c>
    </row>
    <row r="25" spans="1:26" ht="15" customHeight="1" x14ac:dyDescent="0.25">
      <c r="A25" s="43">
        <v>2700</v>
      </c>
      <c r="B25" s="44">
        <v>7575</v>
      </c>
      <c r="C25" s="44">
        <v>7629</v>
      </c>
      <c r="D25" s="44">
        <v>7710</v>
      </c>
      <c r="E25" s="44">
        <v>7783</v>
      </c>
      <c r="F25" s="44">
        <v>7861</v>
      </c>
      <c r="G25" s="44">
        <v>7936</v>
      </c>
      <c r="H25" s="44">
        <v>8013</v>
      </c>
      <c r="I25" s="44">
        <v>8090</v>
      </c>
      <c r="J25" s="44">
        <v>8163</v>
      </c>
      <c r="K25" s="44">
        <v>8240</v>
      </c>
      <c r="L25" s="44">
        <v>8316</v>
      </c>
      <c r="M25" s="44">
        <v>8389</v>
      </c>
      <c r="N25" s="44">
        <v>8466</v>
      </c>
      <c r="O25" s="44">
        <v>8594</v>
      </c>
      <c r="P25" s="44">
        <v>8672</v>
      </c>
      <c r="Q25" s="44">
        <v>8747</v>
      </c>
      <c r="R25" s="44">
        <v>8821</v>
      </c>
      <c r="S25" s="44">
        <v>8898</v>
      </c>
      <c r="T25" s="44">
        <v>8970</v>
      </c>
      <c r="U25" s="44">
        <v>9051</v>
      </c>
      <c r="V25" s="44">
        <v>9123</v>
      </c>
      <c r="W25" s="44">
        <v>9197</v>
      </c>
      <c r="X25" s="44">
        <v>9271</v>
      </c>
      <c r="Y25" s="44">
        <v>9344</v>
      </c>
      <c r="Z25" s="44">
        <v>9418</v>
      </c>
    </row>
    <row r="27" spans="1:26" ht="15" customHeight="1" x14ac:dyDescent="0.25">
      <c r="A27" s="121" t="s">
        <v>261</v>
      </c>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spans="1:26" ht="15" customHeight="1" x14ac:dyDescent="0.25">
      <c r="A28" s="43" t="s">
        <v>260</v>
      </c>
      <c r="B28" s="43">
        <v>4000</v>
      </c>
      <c r="C28" s="43">
        <v>4100</v>
      </c>
      <c r="D28" s="43">
        <v>4200</v>
      </c>
      <c r="E28" s="43">
        <v>4300</v>
      </c>
      <c r="F28" s="43">
        <v>4400</v>
      </c>
      <c r="G28" s="43">
        <v>4500</v>
      </c>
      <c r="H28" s="43">
        <v>4600</v>
      </c>
      <c r="I28" s="43">
        <v>4700</v>
      </c>
      <c r="J28" s="43">
        <v>4800</v>
      </c>
      <c r="K28" s="43">
        <v>4900</v>
      </c>
      <c r="L28" s="43">
        <v>5000</v>
      </c>
      <c r="M28" s="43">
        <v>5100</v>
      </c>
      <c r="N28" s="43">
        <v>5200</v>
      </c>
      <c r="O28" s="43">
        <v>5300</v>
      </c>
      <c r="P28" s="43">
        <v>5400</v>
      </c>
      <c r="Q28" s="43">
        <v>5500</v>
      </c>
      <c r="R28" s="43">
        <v>5600</v>
      </c>
      <c r="S28" s="43">
        <v>5700</v>
      </c>
      <c r="T28" s="43">
        <v>5800</v>
      </c>
      <c r="U28" s="43">
        <v>5900</v>
      </c>
      <c r="V28" s="43">
        <v>6000</v>
      </c>
      <c r="W28" s="43">
        <v>6100</v>
      </c>
      <c r="X28" s="43">
        <v>6200</v>
      </c>
      <c r="Y28" s="43">
        <v>6300</v>
      </c>
      <c r="Z28" s="43">
        <v>6400</v>
      </c>
    </row>
    <row r="29" spans="1:26" ht="15" customHeight="1" x14ac:dyDescent="0.25">
      <c r="A29" s="43">
        <v>750</v>
      </c>
      <c r="B29" s="45">
        <v>2.13</v>
      </c>
      <c r="C29" s="45">
        <v>2.19</v>
      </c>
      <c r="D29" s="45">
        <v>2.2400000000000002</v>
      </c>
      <c r="E29" s="45">
        <v>2.2999999999999998</v>
      </c>
      <c r="F29" s="45">
        <v>2.35</v>
      </c>
      <c r="G29" s="45">
        <v>2.41</v>
      </c>
      <c r="H29" s="45">
        <v>2.4700000000000002</v>
      </c>
      <c r="I29" s="45">
        <v>2.52</v>
      </c>
      <c r="J29" s="45">
        <v>2.58</v>
      </c>
      <c r="K29" s="45">
        <v>2.64</v>
      </c>
      <c r="L29" s="45">
        <v>2.69</v>
      </c>
      <c r="M29" s="45">
        <v>2.75</v>
      </c>
      <c r="N29" s="45">
        <v>2.8</v>
      </c>
      <c r="O29" s="45">
        <v>2.86</v>
      </c>
      <c r="P29" s="45">
        <v>2.92</v>
      </c>
      <c r="Q29" s="45">
        <v>2.97</v>
      </c>
      <c r="R29" s="45">
        <v>3.03</v>
      </c>
      <c r="S29" s="45">
        <v>3.09</v>
      </c>
      <c r="T29" s="45">
        <v>3.14</v>
      </c>
      <c r="U29" s="45">
        <v>3.2</v>
      </c>
      <c r="V29" s="45">
        <v>3.25</v>
      </c>
      <c r="W29" s="45">
        <v>3.31</v>
      </c>
      <c r="X29" s="45">
        <v>3.37</v>
      </c>
      <c r="Y29" s="45">
        <v>3.42</v>
      </c>
      <c r="Z29" s="45">
        <v>3.48</v>
      </c>
    </row>
    <row r="30" spans="1:26" ht="15" customHeight="1" x14ac:dyDescent="0.25">
      <c r="A30" s="43">
        <v>850</v>
      </c>
      <c r="B30" s="45">
        <v>2.5099999999999998</v>
      </c>
      <c r="C30" s="45">
        <v>2.58</v>
      </c>
      <c r="D30" s="45">
        <v>2.64</v>
      </c>
      <c r="E30" s="45">
        <v>2.71</v>
      </c>
      <c r="F30" s="45">
        <v>2.77</v>
      </c>
      <c r="G30" s="45">
        <v>2.84</v>
      </c>
      <c r="H30" s="45">
        <v>2.91</v>
      </c>
      <c r="I30" s="45">
        <v>2.97</v>
      </c>
      <c r="J30" s="45">
        <v>3.04</v>
      </c>
      <c r="K30" s="45">
        <v>3.11</v>
      </c>
      <c r="L30" s="45">
        <v>3.17</v>
      </c>
      <c r="M30" s="45">
        <v>3.24</v>
      </c>
      <c r="N30" s="45">
        <v>3.3</v>
      </c>
      <c r="O30" s="45">
        <v>3.37</v>
      </c>
      <c r="P30" s="45">
        <v>3.44</v>
      </c>
      <c r="Q30" s="45">
        <v>3.5</v>
      </c>
      <c r="R30" s="45">
        <v>3.57</v>
      </c>
      <c r="S30" s="45">
        <v>3.63</v>
      </c>
      <c r="T30" s="45">
        <v>3.7</v>
      </c>
      <c r="U30" s="45">
        <v>3.77</v>
      </c>
      <c r="V30" s="45">
        <v>3.83</v>
      </c>
      <c r="W30" s="45">
        <v>3.9</v>
      </c>
      <c r="X30" s="45">
        <v>3.97</v>
      </c>
      <c r="Y30" s="45">
        <v>4.03</v>
      </c>
      <c r="Z30" s="45">
        <v>4.0999999999999996</v>
      </c>
    </row>
    <row r="31" spans="1:26" ht="15" customHeight="1" x14ac:dyDescent="0.25">
      <c r="A31" s="43">
        <v>950</v>
      </c>
      <c r="B31" s="45">
        <v>2.89</v>
      </c>
      <c r="C31" s="45">
        <v>2.96</v>
      </c>
      <c r="D31" s="45">
        <v>3.04</v>
      </c>
      <c r="E31" s="45">
        <v>3.12</v>
      </c>
      <c r="F31" s="45">
        <v>3.19</v>
      </c>
      <c r="G31" s="45">
        <v>3.27</v>
      </c>
      <c r="H31" s="45">
        <v>3.35</v>
      </c>
      <c r="I31" s="45">
        <v>3.42</v>
      </c>
      <c r="J31" s="45">
        <v>3.5</v>
      </c>
      <c r="K31" s="45">
        <v>3.57</v>
      </c>
      <c r="L31" s="45">
        <v>3.65</v>
      </c>
      <c r="M31" s="45">
        <v>3.73</v>
      </c>
      <c r="N31" s="45">
        <v>3.8</v>
      </c>
      <c r="O31" s="45">
        <v>3.88</v>
      </c>
      <c r="P31" s="45">
        <v>3.96</v>
      </c>
      <c r="Q31" s="45">
        <v>4.03</v>
      </c>
      <c r="R31" s="45">
        <v>4.1100000000000003</v>
      </c>
      <c r="S31" s="45">
        <v>4.18</v>
      </c>
      <c r="T31" s="45">
        <v>4.26</v>
      </c>
      <c r="U31" s="45">
        <v>4.34</v>
      </c>
      <c r="V31" s="45">
        <v>4.41</v>
      </c>
      <c r="W31" s="45">
        <v>4.49</v>
      </c>
      <c r="X31" s="45">
        <v>4.5599999999999996</v>
      </c>
      <c r="Y31" s="45">
        <v>4.6399999999999997</v>
      </c>
      <c r="Z31" s="45">
        <v>4.72</v>
      </c>
    </row>
    <row r="32" spans="1:26" ht="15" customHeight="1" x14ac:dyDescent="0.25">
      <c r="A32" s="43">
        <v>1050</v>
      </c>
      <c r="B32" s="45">
        <v>3.27</v>
      </c>
      <c r="C32" s="45">
        <v>3.35</v>
      </c>
      <c r="D32" s="45">
        <v>3.44</v>
      </c>
      <c r="E32" s="45">
        <v>3.52</v>
      </c>
      <c r="F32" s="45">
        <v>3.61</v>
      </c>
      <c r="G32" s="45">
        <v>3.7</v>
      </c>
      <c r="H32" s="45">
        <v>3.78</v>
      </c>
      <c r="I32" s="45">
        <v>3.87</v>
      </c>
      <c r="J32" s="45">
        <v>3.96</v>
      </c>
      <c r="K32" s="45">
        <v>4.04</v>
      </c>
      <c r="L32" s="45">
        <v>4.13</v>
      </c>
      <c r="M32" s="45">
        <v>4.22</v>
      </c>
      <c r="N32" s="45">
        <v>4.3</v>
      </c>
      <c r="O32" s="45">
        <v>4.3899999999999997</v>
      </c>
      <c r="P32" s="45">
        <v>4.47</v>
      </c>
      <c r="Q32" s="45">
        <v>4.5599999999999996</v>
      </c>
      <c r="R32" s="45">
        <v>4.6399999999999997</v>
      </c>
      <c r="S32" s="45">
        <v>4.7300000000000004</v>
      </c>
      <c r="T32" s="45">
        <v>4.82</v>
      </c>
      <c r="U32" s="45">
        <v>4.91</v>
      </c>
      <c r="V32" s="45">
        <v>4.99</v>
      </c>
      <c r="W32" s="45">
        <v>5.08</v>
      </c>
      <c r="X32" s="45">
        <v>5.16</v>
      </c>
      <c r="Y32" s="45">
        <v>5.25</v>
      </c>
      <c r="Z32" s="45">
        <v>5.34</v>
      </c>
    </row>
    <row r="33" spans="1:26" ht="15" customHeight="1" x14ac:dyDescent="0.25">
      <c r="A33" s="43">
        <v>1150</v>
      </c>
      <c r="B33" s="45">
        <v>3.65</v>
      </c>
      <c r="C33" s="45">
        <v>3.74</v>
      </c>
      <c r="D33" s="45">
        <v>3.84</v>
      </c>
      <c r="E33" s="45">
        <v>3.94</v>
      </c>
      <c r="F33" s="45">
        <v>4.03</v>
      </c>
      <c r="G33" s="45">
        <v>4.13</v>
      </c>
      <c r="H33" s="45">
        <v>4.22</v>
      </c>
      <c r="I33" s="45">
        <v>4.32</v>
      </c>
      <c r="J33" s="45">
        <v>4.42</v>
      </c>
      <c r="K33" s="45">
        <v>4.51</v>
      </c>
      <c r="L33" s="45">
        <v>4.6100000000000003</v>
      </c>
      <c r="M33" s="45">
        <v>4.7</v>
      </c>
      <c r="N33" s="45">
        <v>4.8</v>
      </c>
      <c r="O33" s="45">
        <v>4.9000000000000004</v>
      </c>
      <c r="P33" s="45">
        <v>4.99</v>
      </c>
      <c r="Q33" s="45">
        <v>5.09</v>
      </c>
      <c r="R33" s="45">
        <v>5.19</v>
      </c>
      <c r="S33" s="45">
        <v>5.28</v>
      </c>
      <c r="T33" s="45">
        <v>5.38</v>
      </c>
      <c r="U33" s="45">
        <v>5.47</v>
      </c>
      <c r="V33" s="45">
        <v>5.57</v>
      </c>
      <c r="W33" s="45">
        <v>5.67</v>
      </c>
      <c r="X33" s="45">
        <v>5.76</v>
      </c>
      <c r="Y33" s="45">
        <v>5.86</v>
      </c>
      <c r="Z33" s="45">
        <v>5.96</v>
      </c>
    </row>
    <row r="34" spans="1:26" ht="15" customHeight="1" x14ac:dyDescent="0.25">
      <c r="A34" s="43">
        <v>1250</v>
      </c>
      <c r="B34" s="45">
        <v>4.03</v>
      </c>
      <c r="C34" s="45">
        <v>4.13</v>
      </c>
      <c r="D34" s="45">
        <v>4.24</v>
      </c>
      <c r="E34" s="45">
        <v>4.34</v>
      </c>
      <c r="F34" s="45">
        <v>4.45</v>
      </c>
      <c r="G34" s="45">
        <v>4.5599999999999996</v>
      </c>
      <c r="H34" s="45">
        <v>4.66</v>
      </c>
      <c r="I34" s="45">
        <v>4.7699999999999996</v>
      </c>
      <c r="J34" s="45">
        <v>4.88</v>
      </c>
      <c r="K34" s="45">
        <v>4.9800000000000004</v>
      </c>
      <c r="L34" s="45">
        <v>5.09</v>
      </c>
      <c r="M34" s="45">
        <v>5.19</v>
      </c>
      <c r="N34" s="45">
        <v>5.3</v>
      </c>
      <c r="O34" s="45">
        <v>5.41</v>
      </c>
      <c r="P34" s="45">
        <v>5.51</v>
      </c>
      <c r="Q34" s="45">
        <v>5.62</v>
      </c>
      <c r="R34" s="45">
        <v>5.73</v>
      </c>
      <c r="S34" s="45">
        <v>5.83</v>
      </c>
      <c r="T34" s="45">
        <v>5.94</v>
      </c>
      <c r="U34" s="45">
        <v>6.05</v>
      </c>
      <c r="V34" s="45">
        <v>6.15</v>
      </c>
      <c r="W34" s="45">
        <v>6.26</v>
      </c>
      <c r="X34" s="45">
        <v>6.36</v>
      </c>
      <c r="Y34" s="45">
        <v>6.47</v>
      </c>
      <c r="Z34" s="45">
        <v>6.58</v>
      </c>
    </row>
    <row r="35" spans="1:26" ht="15" customHeight="1" x14ac:dyDescent="0.25">
      <c r="A35" s="43">
        <v>1350</v>
      </c>
      <c r="B35" s="45">
        <v>4.41</v>
      </c>
      <c r="C35" s="45">
        <v>4.5199999999999996</v>
      </c>
      <c r="D35" s="45">
        <v>4.6399999999999997</v>
      </c>
      <c r="E35" s="45">
        <v>4.75</v>
      </c>
      <c r="F35" s="45">
        <v>4.87</v>
      </c>
      <c r="G35" s="45">
        <v>4.99</v>
      </c>
      <c r="H35" s="45">
        <v>5.0999999999999996</v>
      </c>
      <c r="I35" s="45">
        <v>5.22</v>
      </c>
      <c r="J35" s="45">
        <v>5.33</v>
      </c>
      <c r="K35" s="45">
        <v>5.45</v>
      </c>
      <c r="L35" s="45">
        <v>5.57</v>
      </c>
      <c r="M35" s="45">
        <v>5.68</v>
      </c>
      <c r="N35" s="45">
        <v>5.8</v>
      </c>
      <c r="O35" s="45">
        <v>5.91</v>
      </c>
      <c r="P35" s="45">
        <v>6.03</v>
      </c>
      <c r="Q35" s="45">
        <v>6.15</v>
      </c>
      <c r="R35" s="45">
        <v>6.26</v>
      </c>
      <c r="S35" s="45">
        <v>6.38</v>
      </c>
      <c r="T35" s="45">
        <v>6.5</v>
      </c>
      <c r="U35" s="45">
        <v>6.61</v>
      </c>
      <c r="V35" s="45">
        <v>6.73</v>
      </c>
      <c r="W35" s="45">
        <v>6.85</v>
      </c>
      <c r="X35" s="45">
        <v>6.96</v>
      </c>
      <c r="Y35" s="45">
        <v>7.08</v>
      </c>
      <c r="Z35" s="45">
        <v>7.19</v>
      </c>
    </row>
    <row r="36" spans="1:26" ht="15" customHeight="1" x14ac:dyDescent="0.25">
      <c r="A36" s="43">
        <v>1450</v>
      </c>
      <c r="B36" s="45">
        <v>4.78</v>
      </c>
      <c r="C36" s="45">
        <v>4.91</v>
      </c>
      <c r="D36" s="45">
        <v>5.04</v>
      </c>
      <c r="E36" s="45">
        <v>5.16</v>
      </c>
      <c r="F36" s="45">
        <v>5.29</v>
      </c>
      <c r="G36" s="45">
        <v>5.42</v>
      </c>
      <c r="H36" s="45">
        <v>5.54</v>
      </c>
      <c r="I36" s="45">
        <v>5.67</v>
      </c>
      <c r="J36" s="45">
        <v>5.79</v>
      </c>
      <c r="K36" s="45">
        <v>5.92</v>
      </c>
      <c r="L36" s="45">
        <v>6.05</v>
      </c>
      <c r="M36" s="45">
        <v>6.17</v>
      </c>
      <c r="N36" s="45">
        <v>6.3</v>
      </c>
      <c r="O36" s="45">
        <v>6.43</v>
      </c>
      <c r="P36" s="45">
        <v>6.55</v>
      </c>
      <c r="Q36" s="45">
        <v>6.68</v>
      </c>
      <c r="R36" s="45">
        <v>6.81</v>
      </c>
      <c r="S36" s="45">
        <v>6.93</v>
      </c>
      <c r="T36" s="45">
        <v>7.06</v>
      </c>
      <c r="U36" s="45">
        <v>7.18</v>
      </c>
      <c r="V36" s="45">
        <v>7.31</v>
      </c>
      <c r="W36" s="45">
        <v>7.43</v>
      </c>
      <c r="X36" s="45">
        <v>7.56</v>
      </c>
      <c r="Y36" s="45">
        <v>7.69</v>
      </c>
      <c r="Z36" s="45">
        <v>7.81</v>
      </c>
    </row>
    <row r="37" spans="1:26" ht="15" customHeight="1" x14ac:dyDescent="0.25">
      <c r="A37" s="43">
        <v>1550</v>
      </c>
      <c r="B37" s="45">
        <v>5.16</v>
      </c>
      <c r="C37" s="45">
        <v>5.3</v>
      </c>
      <c r="D37" s="45">
        <v>5.44</v>
      </c>
      <c r="E37" s="45">
        <v>5.57</v>
      </c>
      <c r="F37" s="45">
        <v>5.71</v>
      </c>
      <c r="G37" s="45">
        <v>5.84</v>
      </c>
      <c r="H37" s="45">
        <v>5.98</v>
      </c>
      <c r="I37" s="45">
        <v>6.12</v>
      </c>
      <c r="J37" s="45">
        <v>6.25</v>
      </c>
      <c r="K37" s="45">
        <v>6.39</v>
      </c>
      <c r="L37" s="45">
        <v>6.53</v>
      </c>
      <c r="M37" s="45">
        <v>6.66</v>
      </c>
      <c r="N37" s="45">
        <v>6.8</v>
      </c>
      <c r="O37" s="45">
        <v>6.94</v>
      </c>
      <c r="P37" s="45">
        <v>7.07</v>
      </c>
      <c r="Q37" s="45">
        <v>7.21</v>
      </c>
      <c r="R37" s="45">
        <v>7.34</v>
      </c>
      <c r="S37" s="45">
        <v>7.48</v>
      </c>
      <c r="T37" s="45">
        <v>7.62</v>
      </c>
      <c r="U37" s="45">
        <v>7.75</v>
      </c>
      <c r="V37" s="45">
        <v>7.89</v>
      </c>
      <c r="W37" s="45">
        <v>8.02</v>
      </c>
      <c r="X37" s="45">
        <v>8.16</v>
      </c>
      <c r="Y37" s="45">
        <v>8.3000000000000007</v>
      </c>
      <c r="Z37" s="45">
        <v>8.43</v>
      </c>
    </row>
    <row r="38" spans="1:26" ht="15" customHeight="1" x14ac:dyDescent="0.25">
      <c r="A38" s="43">
        <v>1650</v>
      </c>
      <c r="B38" s="45">
        <v>5.54</v>
      </c>
      <c r="C38" s="45">
        <v>5.69</v>
      </c>
      <c r="D38" s="45">
        <v>5.84</v>
      </c>
      <c r="E38" s="45">
        <v>5.98</v>
      </c>
      <c r="F38" s="45">
        <v>6.13</v>
      </c>
      <c r="G38" s="45">
        <v>6.27</v>
      </c>
      <c r="H38" s="45">
        <v>6.42</v>
      </c>
      <c r="I38" s="45">
        <v>6.57</v>
      </c>
      <c r="J38" s="45">
        <v>6.71</v>
      </c>
      <c r="K38" s="45">
        <v>6.86</v>
      </c>
      <c r="L38" s="45">
        <v>7</v>
      </c>
      <c r="M38" s="45">
        <v>7.15</v>
      </c>
      <c r="N38" s="45">
        <v>7.3</v>
      </c>
      <c r="O38" s="45">
        <v>7.44</v>
      </c>
      <c r="P38" s="45">
        <v>7.59</v>
      </c>
      <c r="Q38" s="45">
        <v>7.74</v>
      </c>
      <c r="R38" s="45">
        <v>7.88</v>
      </c>
      <c r="S38" s="45">
        <v>8.0299999999999994</v>
      </c>
      <c r="T38" s="45">
        <v>8.17</v>
      </c>
      <c r="U38" s="45">
        <v>8.32</v>
      </c>
      <c r="V38" s="45">
        <v>8.4700000000000006</v>
      </c>
      <c r="W38" s="45">
        <v>8.61</v>
      </c>
      <c r="X38" s="45">
        <v>8.76</v>
      </c>
      <c r="Y38" s="45">
        <v>8.9</v>
      </c>
      <c r="Z38" s="45">
        <v>9.0500000000000007</v>
      </c>
    </row>
    <row r="39" spans="1:26" ht="15" customHeight="1" x14ac:dyDescent="0.25">
      <c r="A39" s="43">
        <v>1750</v>
      </c>
      <c r="B39" s="45">
        <v>5.92</v>
      </c>
      <c r="C39" s="45">
        <v>6.08</v>
      </c>
      <c r="D39" s="45">
        <v>6.23</v>
      </c>
      <c r="E39" s="45">
        <v>6.39</v>
      </c>
      <c r="F39" s="45">
        <v>6.55</v>
      </c>
      <c r="G39" s="45">
        <v>6.7</v>
      </c>
      <c r="H39" s="45">
        <v>6.86</v>
      </c>
      <c r="I39" s="45">
        <v>7.02</v>
      </c>
      <c r="J39" s="45">
        <v>7.17</v>
      </c>
      <c r="K39" s="45">
        <v>7.33</v>
      </c>
      <c r="L39" s="45">
        <v>7.48</v>
      </c>
      <c r="M39" s="45">
        <v>7.64</v>
      </c>
      <c r="N39" s="45">
        <v>7.8</v>
      </c>
      <c r="O39" s="45">
        <v>7.95</v>
      </c>
      <c r="P39" s="45">
        <v>8.11</v>
      </c>
      <c r="Q39" s="45">
        <v>8.26</v>
      </c>
      <c r="R39" s="45">
        <v>8.42</v>
      </c>
      <c r="S39" s="45">
        <v>8.58</v>
      </c>
      <c r="T39" s="45">
        <v>8.73</v>
      </c>
      <c r="U39" s="45">
        <v>8.89</v>
      </c>
      <c r="V39" s="45">
        <v>9.0500000000000007</v>
      </c>
      <c r="W39" s="45">
        <v>9.1999999999999993</v>
      </c>
      <c r="X39" s="45">
        <v>9.36</v>
      </c>
      <c r="Y39" s="45">
        <v>9.51</v>
      </c>
      <c r="Z39" s="45">
        <v>9.67</v>
      </c>
    </row>
    <row r="40" spans="1:26" ht="15" customHeight="1" x14ac:dyDescent="0.25">
      <c r="A40" s="43">
        <v>1850</v>
      </c>
      <c r="B40" s="45">
        <v>6.3</v>
      </c>
      <c r="C40" s="45">
        <v>6.47</v>
      </c>
      <c r="D40" s="45">
        <v>6.63</v>
      </c>
      <c r="E40" s="45">
        <v>6.81</v>
      </c>
      <c r="F40" s="45">
        <v>6.97</v>
      </c>
      <c r="G40" s="45">
        <v>7.13</v>
      </c>
      <c r="H40" s="45">
        <v>7.3</v>
      </c>
      <c r="I40" s="45">
        <v>7.46</v>
      </c>
      <c r="J40" s="45">
        <v>7.63</v>
      </c>
      <c r="K40" s="45">
        <v>7.8</v>
      </c>
      <c r="L40" s="45">
        <v>7.96</v>
      </c>
      <c r="M40" s="45">
        <v>8.1300000000000008</v>
      </c>
      <c r="N40" s="45">
        <v>8.3000000000000007</v>
      </c>
      <c r="O40" s="45">
        <v>8.4600000000000009</v>
      </c>
      <c r="P40" s="45">
        <v>8.6300000000000008</v>
      </c>
      <c r="Q40" s="45">
        <v>8.7899999999999991</v>
      </c>
      <c r="R40" s="45">
        <v>8.9600000000000009</v>
      </c>
      <c r="S40" s="45">
        <v>9.1199999999999992</v>
      </c>
      <c r="T40" s="45">
        <v>9.2899999999999991</v>
      </c>
      <c r="U40" s="45">
        <v>9.4600000000000009</v>
      </c>
      <c r="V40" s="45">
        <v>9.6199999999999992</v>
      </c>
      <c r="W40" s="45">
        <v>9.7899999999999991</v>
      </c>
      <c r="X40" s="45">
        <v>9.9600000000000009</v>
      </c>
      <c r="Y40" s="45">
        <v>10.119999999999999</v>
      </c>
      <c r="Z40" s="45">
        <v>10.29</v>
      </c>
    </row>
    <row r="41" spans="1:26" ht="15" customHeight="1" x14ac:dyDescent="0.25">
      <c r="A41" s="43">
        <v>1950</v>
      </c>
      <c r="B41" s="45">
        <v>6.68</v>
      </c>
      <c r="C41" s="45">
        <v>6.86</v>
      </c>
      <c r="D41" s="45">
        <v>7.03</v>
      </c>
      <c r="E41" s="45">
        <v>7.21</v>
      </c>
      <c r="F41" s="45">
        <v>7.39</v>
      </c>
      <c r="G41" s="45">
        <v>7.56</v>
      </c>
      <c r="H41" s="45">
        <v>7.74</v>
      </c>
      <c r="I41" s="45">
        <v>7.91</v>
      </c>
      <c r="J41" s="45">
        <v>8.09</v>
      </c>
      <c r="K41" s="45">
        <v>8.27</v>
      </c>
      <c r="L41" s="45">
        <v>8.44</v>
      </c>
      <c r="M41" s="45">
        <v>8.6199999999999992</v>
      </c>
      <c r="N41" s="45">
        <v>8.7899999999999991</v>
      </c>
      <c r="O41" s="45">
        <v>8.9700000000000006</v>
      </c>
      <c r="P41" s="45">
        <v>9.15</v>
      </c>
      <c r="Q41" s="45">
        <v>9.32</v>
      </c>
      <c r="R41" s="45">
        <v>9.5</v>
      </c>
      <c r="S41" s="45">
        <v>9.68</v>
      </c>
      <c r="T41" s="45">
        <v>9.85</v>
      </c>
      <c r="U41" s="45">
        <v>10.029999999999999</v>
      </c>
      <c r="V41" s="45">
        <v>10.199999999999999</v>
      </c>
      <c r="W41" s="45">
        <v>10.38</v>
      </c>
      <c r="X41" s="45">
        <v>10.56</v>
      </c>
      <c r="Y41" s="45">
        <v>10.74</v>
      </c>
      <c r="Z41" s="45">
        <v>10.91</v>
      </c>
    </row>
    <row r="42" spans="1:26" ht="15" customHeight="1" x14ac:dyDescent="0.25">
      <c r="A42" s="43">
        <v>2050</v>
      </c>
      <c r="B42" s="45">
        <v>7.06</v>
      </c>
      <c r="C42" s="45">
        <v>7.25</v>
      </c>
      <c r="D42" s="45">
        <v>7.43</v>
      </c>
      <c r="E42" s="45">
        <v>7.62</v>
      </c>
      <c r="F42" s="45">
        <v>7.81</v>
      </c>
      <c r="G42" s="45">
        <v>7.99</v>
      </c>
      <c r="H42" s="45">
        <v>8.18</v>
      </c>
      <c r="I42" s="45">
        <v>8.36</v>
      </c>
      <c r="J42" s="45">
        <v>8.5500000000000007</v>
      </c>
      <c r="K42" s="45">
        <v>8.74</v>
      </c>
      <c r="L42" s="45">
        <v>8.92</v>
      </c>
      <c r="M42" s="45">
        <v>9.11</v>
      </c>
      <c r="N42" s="45">
        <v>9.3000000000000007</v>
      </c>
      <c r="O42" s="45">
        <v>9.48</v>
      </c>
      <c r="P42" s="45">
        <v>9.67</v>
      </c>
      <c r="Q42" s="45">
        <v>9.85</v>
      </c>
      <c r="R42" s="45">
        <v>10.039999999999999</v>
      </c>
      <c r="S42" s="45">
        <v>10.220000000000001</v>
      </c>
      <c r="T42" s="45">
        <v>10.41</v>
      </c>
      <c r="U42" s="45">
        <v>10.6</v>
      </c>
      <c r="V42" s="45">
        <v>10.78</v>
      </c>
      <c r="W42" s="45">
        <v>10.97</v>
      </c>
      <c r="X42" s="45">
        <v>11.16</v>
      </c>
      <c r="Y42" s="45">
        <v>11.34</v>
      </c>
      <c r="Z42" s="45">
        <v>11.53</v>
      </c>
    </row>
    <row r="43" spans="1:26" ht="15" customHeight="1" x14ac:dyDescent="0.25">
      <c r="A43" s="43">
        <v>2150</v>
      </c>
      <c r="B43" s="45">
        <v>7.44</v>
      </c>
      <c r="C43" s="45">
        <v>7.63</v>
      </c>
      <c r="D43" s="45">
        <v>7.83</v>
      </c>
      <c r="E43" s="45">
        <v>8.0299999999999994</v>
      </c>
      <c r="F43" s="45">
        <v>8.2200000000000006</v>
      </c>
      <c r="G43" s="45">
        <v>8.42</v>
      </c>
      <c r="H43" s="45">
        <v>8.6199999999999992</v>
      </c>
      <c r="I43" s="45">
        <v>8.81</v>
      </c>
      <c r="J43" s="45">
        <v>9.01</v>
      </c>
      <c r="K43" s="45">
        <v>9.1999999999999993</v>
      </c>
      <c r="L43" s="45">
        <v>9.4</v>
      </c>
      <c r="M43" s="45">
        <v>9.6</v>
      </c>
      <c r="N43" s="45">
        <v>9.7899999999999991</v>
      </c>
      <c r="O43" s="45">
        <v>9.99</v>
      </c>
      <c r="P43" s="45">
        <v>10.19</v>
      </c>
      <c r="Q43" s="45">
        <v>10.38</v>
      </c>
      <c r="R43" s="45">
        <v>10.58</v>
      </c>
      <c r="S43" s="45">
        <v>10.77</v>
      </c>
      <c r="T43" s="45">
        <v>10.97</v>
      </c>
      <c r="U43" s="45">
        <v>11.17</v>
      </c>
      <c r="V43" s="45">
        <v>11.36</v>
      </c>
      <c r="W43" s="45">
        <v>11.56</v>
      </c>
      <c r="X43" s="45">
        <v>11.75</v>
      </c>
      <c r="Y43" s="45">
        <v>11.95</v>
      </c>
      <c r="Z43" s="45">
        <v>12.15</v>
      </c>
    </row>
    <row r="44" spans="1:26" ht="15" customHeight="1" x14ac:dyDescent="0.25">
      <c r="A44" s="43">
        <v>2250</v>
      </c>
      <c r="B44" s="45">
        <v>7.82</v>
      </c>
      <c r="C44" s="45">
        <v>8.01</v>
      </c>
      <c r="D44" s="45">
        <v>8.23</v>
      </c>
      <c r="E44" s="45">
        <v>8.44</v>
      </c>
      <c r="F44" s="45">
        <v>8.64</v>
      </c>
      <c r="G44" s="45">
        <v>8.85</v>
      </c>
      <c r="H44" s="45">
        <v>9.06</v>
      </c>
      <c r="I44" s="45">
        <v>9.26</v>
      </c>
      <c r="J44" s="45">
        <v>9.4700000000000006</v>
      </c>
      <c r="K44" s="45">
        <v>9.67</v>
      </c>
      <c r="L44" s="45">
        <v>9.8800000000000008</v>
      </c>
      <c r="M44" s="45">
        <v>10.09</v>
      </c>
      <c r="N44" s="45">
        <v>10.29</v>
      </c>
      <c r="O44" s="45">
        <v>10.5</v>
      </c>
      <c r="P44" s="45">
        <v>10.7</v>
      </c>
      <c r="Q44" s="45">
        <v>10.91</v>
      </c>
      <c r="R44" s="45">
        <v>11.12</v>
      </c>
      <c r="S44" s="45">
        <v>11.32</v>
      </c>
      <c r="T44" s="45">
        <v>11.53</v>
      </c>
      <c r="U44" s="45">
        <v>11.74</v>
      </c>
      <c r="V44" s="45">
        <v>11.94</v>
      </c>
      <c r="W44" s="45">
        <v>12.15</v>
      </c>
      <c r="X44" s="45">
        <v>12.35</v>
      </c>
      <c r="Y44" s="45">
        <v>12.56</v>
      </c>
      <c r="Z44" s="45">
        <v>12.77</v>
      </c>
    </row>
    <row r="45" spans="1:26" ht="15" customHeight="1" x14ac:dyDescent="0.25">
      <c r="A45" s="43">
        <v>2350</v>
      </c>
      <c r="B45" s="45">
        <v>8.1999999999999993</v>
      </c>
      <c r="C45" s="45">
        <v>8.41</v>
      </c>
      <c r="D45" s="45">
        <v>8.6300000000000008</v>
      </c>
      <c r="E45" s="45">
        <v>8.85</v>
      </c>
      <c r="F45" s="45">
        <v>9.06</v>
      </c>
      <c r="G45" s="45">
        <v>9.2799999999999994</v>
      </c>
      <c r="H45" s="45">
        <v>9.49</v>
      </c>
      <c r="I45" s="45">
        <v>9.7100000000000009</v>
      </c>
      <c r="J45" s="45">
        <v>9.93</v>
      </c>
      <c r="K45" s="45">
        <v>10.14</v>
      </c>
      <c r="L45" s="45">
        <v>10.36</v>
      </c>
      <c r="M45" s="45">
        <v>10.58</v>
      </c>
      <c r="N45" s="45">
        <v>10.79</v>
      </c>
      <c r="O45" s="45">
        <v>11.01</v>
      </c>
      <c r="P45" s="45">
        <v>11.22</v>
      </c>
      <c r="Q45" s="45">
        <v>11.44</v>
      </c>
      <c r="R45" s="45">
        <v>11.65</v>
      </c>
      <c r="S45" s="45">
        <v>11.86</v>
      </c>
      <c r="T45" s="45">
        <v>12.08</v>
      </c>
      <c r="U45" s="45">
        <v>12.3</v>
      </c>
      <c r="V45" s="45">
        <v>12.51</v>
      </c>
      <c r="W45" s="45">
        <v>12.74</v>
      </c>
      <c r="X45" s="45">
        <v>12.95</v>
      </c>
      <c r="Y45" s="45">
        <v>13.17</v>
      </c>
      <c r="Z45" s="45">
        <v>13.39</v>
      </c>
    </row>
    <row r="46" spans="1:26" ht="15" customHeight="1" x14ac:dyDescent="0.25">
      <c r="A46" s="43">
        <v>2450</v>
      </c>
      <c r="B46" s="45">
        <v>8.58</v>
      </c>
      <c r="C46" s="45">
        <v>8.8000000000000007</v>
      </c>
      <c r="D46" s="45">
        <v>9.0399999999999991</v>
      </c>
      <c r="E46" s="45">
        <v>9.26</v>
      </c>
      <c r="F46" s="45">
        <v>9.49</v>
      </c>
      <c r="G46" s="45">
        <v>9.7100000000000009</v>
      </c>
      <c r="H46" s="45">
        <v>9.93</v>
      </c>
      <c r="I46" s="45">
        <v>10.16</v>
      </c>
      <c r="J46" s="45">
        <v>10.39</v>
      </c>
      <c r="K46" s="45">
        <v>10.61</v>
      </c>
      <c r="L46" s="45">
        <v>10.84</v>
      </c>
      <c r="M46" s="45">
        <v>11.06</v>
      </c>
      <c r="N46" s="45">
        <v>11.29</v>
      </c>
      <c r="O46" s="45">
        <v>11.52</v>
      </c>
      <c r="P46" s="45">
        <v>11.74</v>
      </c>
      <c r="Q46" s="45">
        <v>11.97</v>
      </c>
      <c r="R46" s="45">
        <v>12.2</v>
      </c>
      <c r="S46" s="45">
        <v>12.42</v>
      </c>
      <c r="T46" s="45">
        <v>12.65</v>
      </c>
      <c r="U46" s="45">
        <v>12.87</v>
      </c>
      <c r="V46" s="45">
        <v>13.1</v>
      </c>
      <c r="W46" s="45">
        <v>13.33</v>
      </c>
      <c r="X46" s="45">
        <v>13.55</v>
      </c>
      <c r="Y46" s="45">
        <v>13.78</v>
      </c>
      <c r="Z46" s="45">
        <v>14</v>
      </c>
    </row>
    <row r="47" spans="1:26" ht="15" customHeight="1" x14ac:dyDescent="0.25">
      <c r="A47" s="43">
        <v>2550</v>
      </c>
      <c r="B47" s="45">
        <v>8.9600000000000009</v>
      </c>
      <c r="C47" s="45">
        <v>9.19</v>
      </c>
      <c r="D47" s="45">
        <v>9.43</v>
      </c>
      <c r="E47" s="45">
        <v>9.66</v>
      </c>
      <c r="F47" s="45">
        <v>9.9</v>
      </c>
      <c r="G47" s="45">
        <v>10.14</v>
      </c>
      <c r="H47" s="45">
        <v>10.37</v>
      </c>
      <c r="I47" s="45">
        <v>10.61</v>
      </c>
      <c r="J47" s="45">
        <v>10.84</v>
      </c>
      <c r="K47" s="45">
        <v>11.08</v>
      </c>
      <c r="L47" s="45">
        <v>11.32</v>
      </c>
      <c r="M47" s="45">
        <v>11.55</v>
      </c>
      <c r="N47" s="45">
        <v>11.79</v>
      </c>
      <c r="O47" s="45">
        <v>12.03</v>
      </c>
      <c r="P47" s="45">
        <v>12.26</v>
      </c>
      <c r="Q47" s="45">
        <v>12.5</v>
      </c>
      <c r="R47" s="45">
        <v>12.73</v>
      </c>
      <c r="S47" s="45">
        <v>12.97</v>
      </c>
      <c r="T47" s="45">
        <v>13.21</v>
      </c>
      <c r="U47" s="45">
        <v>13.44</v>
      </c>
      <c r="V47" s="45">
        <v>13.68</v>
      </c>
      <c r="W47" s="45">
        <v>13.92</v>
      </c>
      <c r="X47" s="45">
        <v>14.15</v>
      </c>
      <c r="Y47" s="45">
        <v>14.39</v>
      </c>
      <c r="Z47" s="45">
        <v>14.62</v>
      </c>
    </row>
    <row r="48" spans="1:26" ht="15" customHeight="1" x14ac:dyDescent="0.25">
      <c r="A48" s="43">
        <v>2650</v>
      </c>
      <c r="B48" s="45">
        <v>9.33</v>
      </c>
      <c r="C48" s="45">
        <v>9.58</v>
      </c>
      <c r="D48" s="45">
        <v>9.83</v>
      </c>
      <c r="E48" s="45">
        <v>10.07</v>
      </c>
      <c r="F48" s="45">
        <v>10.32</v>
      </c>
      <c r="G48" s="45">
        <v>10.57</v>
      </c>
      <c r="H48" s="45">
        <v>10.81</v>
      </c>
      <c r="I48" s="45">
        <v>11.06</v>
      </c>
      <c r="J48" s="45">
        <v>11.3</v>
      </c>
      <c r="K48" s="45">
        <v>11.55</v>
      </c>
      <c r="L48" s="45">
        <v>11.8</v>
      </c>
      <c r="M48" s="45">
        <v>12.04</v>
      </c>
      <c r="N48" s="45">
        <v>12.29</v>
      </c>
      <c r="O48" s="45">
        <v>12.53</v>
      </c>
      <c r="P48" s="45">
        <v>12.78</v>
      </c>
      <c r="Q48" s="45">
        <v>13.03</v>
      </c>
      <c r="R48" s="45">
        <v>13.27</v>
      </c>
      <c r="S48" s="45">
        <v>13.52</v>
      </c>
      <c r="T48" s="45">
        <v>13.77</v>
      </c>
      <c r="U48" s="45">
        <v>14.01</v>
      </c>
      <c r="V48" s="45">
        <v>14.26</v>
      </c>
      <c r="W48" s="45">
        <v>14.5</v>
      </c>
      <c r="X48" s="45">
        <v>14.75</v>
      </c>
      <c r="Y48" s="45">
        <v>15</v>
      </c>
      <c r="Z48" s="45">
        <v>15.24</v>
      </c>
    </row>
    <row r="49" spans="1:26" ht="15" customHeight="1" x14ac:dyDescent="0.25">
      <c r="A49" s="43">
        <v>2700</v>
      </c>
      <c r="B49" s="45">
        <v>9.7100000000000009</v>
      </c>
      <c r="C49" s="45">
        <v>9.9700000000000006</v>
      </c>
      <c r="D49" s="45">
        <v>10.23</v>
      </c>
      <c r="E49" s="45">
        <v>10.48</v>
      </c>
      <c r="F49" s="45">
        <v>10.74</v>
      </c>
      <c r="G49" s="45">
        <v>10.99</v>
      </c>
      <c r="H49" s="45">
        <v>11.25</v>
      </c>
      <c r="I49" s="45">
        <v>11.51</v>
      </c>
      <c r="J49" s="45">
        <v>11.76</v>
      </c>
      <c r="K49" s="45">
        <v>12.02</v>
      </c>
      <c r="L49" s="45">
        <v>12.28</v>
      </c>
      <c r="M49" s="45">
        <v>12.53</v>
      </c>
      <c r="N49" s="45">
        <v>12.79</v>
      </c>
      <c r="O49" s="45">
        <v>13.04</v>
      </c>
      <c r="P49" s="45">
        <v>13.3</v>
      </c>
      <c r="Q49" s="45">
        <v>13.56</v>
      </c>
      <c r="R49" s="45">
        <v>13.81</v>
      </c>
      <c r="S49" s="45">
        <v>14.07</v>
      </c>
      <c r="T49" s="45">
        <v>14.33</v>
      </c>
      <c r="U49" s="45">
        <v>14.58</v>
      </c>
      <c r="V49" s="45">
        <v>14.84</v>
      </c>
      <c r="W49" s="45">
        <v>15.09</v>
      </c>
      <c r="X49" s="45">
        <v>15.35</v>
      </c>
      <c r="Y49" s="45">
        <v>15.61</v>
      </c>
      <c r="Z49" s="45">
        <v>15.86</v>
      </c>
    </row>
    <row r="51" spans="1:26" ht="15" customHeight="1" x14ac:dyDescent="0.25">
      <c r="A51" s="46" t="s">
        <v>243</v>
      </c>
      <c r="B51" s="47">
        <v>935</v>
      </c>
      <c r="C51" s="47">
        <v>943</v>
      </c>
      <c r="D51" s="47">
        <v>952</v>
      </c>
      <c r="E51" s="47">
        <v>957</v>
      </c>
      <c r="F51" s="47">
        <v>965</v>
      </c>
      <c r="G51" s="47">
        <v>971</v>
      </c>
      <c r="H51" s="47">
        <v>978</v>
      </c>
      <c r="I51" s="47">
        <v>993</v>
      </c>
      <c r="J51" s="47">
        <v>1000</v>
      </c>
      <c r="K51" s="47">
        <v>1006</v>
      </c>
      <c r="L51" s="47">
        <v>1012</v>
      </c>
      <c r="M51" s="47">
        <v>1021</v>
      </c>
      <c r="N51" s="47">
        <v>1028</v>
      </c>
      <c r="O51" s="47">
        <v>1035</v>
      </c>
      <c r="P51" s="47">
        <v>1040</v>
      </c>
      <c r="Q51" s="47">
        <v>1049</v>
      </c>
      <c r="R51" s="47">
        <v>1055</v>
      </c>
      <c r="S51" s="47">
        <v>1060</v>
      </c>
      <c r="T51" s="47">
        <v>1071</v>
      </c>
      <c r="U51" s="47">
        <v>1080</v>
      </c>
      <c r="V51" s="47">
        <v>1090</v>
      </c>
      <c r="W51" s="47">
        <v>1097</v>
      </c>
      <c r="X51" s="47">
        <v>1104</v>
      </c>
      <c r="Y51" s="47">
        <v>1112</v>
      </c>
      <c r="Z51" s="47">
        <v>1120</v>
      </c>
    </row>
    <row r="53" spans="1:26" ht="15" customHeight="1" x14ac:dyDescent="0.25">
      <c r="A53" s="121" t="s">
        <v>262</v>
      </c>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spans="1:26" ht="15" customHeight="1" x14ac:dyDescent="0.25">
      <c r="A54" s="48" t="s">
        <v>263</v>
      </c>
      <c r="B54" s="49">
        <f>Paramètres!$B$2</f>
        <v>0.51500000000000001</v>
      </c>
    </row>
    <row r="55" spans="1:26" ht="15" customHeight="1" x14ac:dyDescent="0.25">
      <c r="A55" s="43" t="s">
        <v>260</v>
      </c>
      <c r="B55" s="43">
        <v>4000</v>
      </c>
      <c r="C55" s="43">
        <v>4100</v>
      </c>
      <c r="D55" s="43">
        <v>4200</v>
      </c>
      <c r="E55" s="43">
        <v>4300</v>
      </c>
      <c r="F55" s="43">
        <v>4400</v>
      </c>
      <c r="G55" s="43">
        <v>4500</v>
      </c>
      <c r="H55" s="43">
        <v>4600</v>
      </c>
      <c r="I55" s="43">
        <v>4700</v>
      </c>
      <c r="J55" s="43">
        <v>4800</v>
      </c>
      <c r="K55" s="43">
        <v>4900</v>
      </c>
      <c r="L55" s="43">
        <v>5000</v>
      </c>
      <c r="M55" s="43">
        <v>5100</v>
      </c>
      <c r="N55" s="43">
        <v>5200</v>
      </c>
      <c r="O55" s="43">
        <v>5300</v>
      </c>
      <c r="P55" s="43">
        <v>5400</v>
      </c>
      <c r="Q55" s="43">
        <v>5500</v>
      </c>
      <c r="R55" s="43">
        <v>5600</v>
      </c>
      <c r="S55" s="43">
        <v>5700</v>
      </c>
      <c r="T55" s="43">
        <v>5800</v>
      </c>
      <c r="U55" s="43">
        <v>5900</v>
      </c>
      <c r="V55" s="43">
        <v>6000</v>
      </c>
      <c r="W55" s="43">
        <v>6100</v>
      </c>
      <c r="X55" s="43">
        <v>6200</v>
      </c>
      <c r="Y55" s="43">
        <v>6300</v>
      </c>
      <c r="Z55" s="43">
        <v>6400</v>
      </c>
    </row>
    <row r="56" spans="1:26" ht="15" customHeight="1" x14ac:dyDescent="0.25">
      <c r="A56" s="43">
        <v>750</v>
      </c>
      <c r="B56" s="44">
        <f>B5*(1-Paramètres!$B$2)</f>
        <v>1892.47</v>
      </c>
      <c r="C56" s="44">
        <f>C5*(1-Paramètres!$B$2)</f>
        <v>1911.87</v>
      </c>
      <c r="D56" s="44">
        <f>D5*(1-Paramètres!$B$2)</f>
        <v>1932.24</v>
      </c>
      <c r="E56" s="44">
        <f>E5*(1-Paramètres!$B$2)</f>
        <v>1950.6699999999998</v>
      </c>
      <c r="F56" s="44">
        <f>F5*(1-Paramètres!$B$2)</f>
        <v>1971.04</v>
      </c>
      <c r="G56" s="44">
        <f>G5*(1-Paramètres!$B$2)</f>
        <v>1989.47</v>
      </c>
      <c r="H56" s="44">
        <f>H5*(1-Paramètres!$B$2)</f>
        <v>2009.84</v>
      </c>
      <c r="I56" s="44">
        <f>I5*(1-Paramètres!$B$2)</f>
        <v>2028.7549999999999</v>
      </c>
      <c r="J56" s="44">
        <f>J5*(1-Paramètres!$B$2)</f>
        <v>2049.125</v>
      </c>
      <c r="K56" s="44">
        <f>K5*(1-Paramètres!$B$2)</f>
        <v>2069.0099999999998</v>
      </c>
      <c r="L56" s="44">
        <f>L5*(1-Paramètres!$B$2)</f>
        <v>2088.41</v>
      </c>
      <c r="M56" s="44">
        <f>M5*(1-Paramètres!$B$2)</f>
        <v>2107.81</v>
      </c>
      <c r="N56" s="44">
        <f>N5*(1-Paramètres!$B$2)</f>
        <v>2127.6950000000002</v>
      </c>
      <c r="O56" s="44">
        <f>O5*(1-Paramètres!$B$2)</f>
        <v>2147.58</v>
      </c>
      <c r="P56" s="44">
        <f>P5*(1-Paramètres!$B$2)</f>
        <v>2170.86</v>
      </c>
      <c r="Q56" s="44">
        <f>Q5*(1-Paramètres!$B$2)</f>
        <v>2195.11</v>
      </c>
      <c r="R56" s="44">
        <f>R5*(1-Paramètres!$B$2)</f>
        <v>2217.42</v>
      </c>
      <c r="S56" s="44">
        <f>S5*(1-Paramètres!$B$2)</f>
        <v>2240.2150000000001</v>
      </c>
      <c r="T56" s="44">
        <f>T5*(1-Paramètres!$B$2)</f>
        <v>2263.4949999999999</v>
      </c>
      <c r="U56" s="44">
        <f>U5*(1-Paramètres!$B$2)</f>
        <v>2287.7449999999999</v>
      </c>
      <c r="V56" s="44">
        <f>V5*(1-Paramètres!$B$2)</f>
        <v>2311.0250000000001</v>
      </c>
      <c r="W56" s="44">
        <f>W5*(1-Paramètres!$B$2)</f>
        <v>2334.79</v>
      </c>
      <c r="X56" s="44">
        <f>X5*(1-Paramètres!$B$2)</f>
        <v>2357.1</v>
      </c>
      <c r="Y56" s="44">
        <f>Y5*(1-Paramètres!$B$2)</f>
        <v>2381.35</v>
      </c>
      <c r="Z56" s="44">
        <f>Z5*(1-Paramètres!$B$2)</f>
        <v>2405.1149999999998</v>
      </c>
    </row>
    <row r="57" spans="1:26" ht="15" customHeight="1" x14ac:dyDescent="0.25">
      <c r="A57" s="43">
        <v>850</v>
      </c>
      <c r="B57" s="44">
        <f>B6*(1-Paramètres!$B$2)</f>
        <v>1941.4549999999999</v>
      </c>
      <c r="C57" s="44">
        <f>C6*(1-Paramètres!$B$2)</f>
        <v>1961.825</v>
      </c>
      <c r="D57" s="44">
        <f>D6*(1-Paramètres!$B$2)</f>
        <v>1982.6799999999998</v>
      </c>
      <c r="E57" s="44">
        <f>E6*(1-Paramètres!$B$2)</f>
        <v>2001.595</v>
      </c>
      <c r="F57" s="44">
        <f>F6*(1-Paramètres!$B$2)</f>
        <v>2021.9649999999999</v>
      </c>
      <c r="G57" s="44">
        <f>G6*(1-Paramètres!$B$2)</f>
        <v>2040.8799999999999</v>
      </c>
      <c r="H57" s="44">
        <f>H6*(1-Paramètres!$B$2)</f>
        <v>2062.2199999999998</v>
      </c>
      <c r="I57" s="44">
        <f>I6*(1-Paramètres!$B$2)</f>
        <v>2085.9850000000001</v>
      </c>
      <c r="J57" s="44">
        <f>J6*(1-Paramètres!$B$2)</f>
        <v>2108.7799999999997</v>
      </c>
      <c r="K57" s="44">
        <f>K6*(1-Paramètres!$B$2)</f>
        <v>2133.5149999999999</v>
      </c>
      <c r="L57" s="44">
        <f>L6*(1-Paramètres!$B$2)</f>
        <v>2157.2799999999997</v>
      </c>
      <c r="M57" s="44">
        <f>M6*(1-Paramètres!$B$2)</f>
        <v>2180.56</v>
      </c>
      <c r="N57" s="44">
        <f>N6*(1-Paramètres!$B$2)</f>
        <v>2204.81</v>
      </c>
      <c r="O57" s="44">
        <f>O6*(1-Paramètres!$B$2)</f>
        <v>2230.0299999999997</v>
      </c>
      <c r="P57" s="44">
        <f>P6*(1-Paramètres!$B$2)</f>
        <v>2254.7649999999999</v>
      </c>
      <c r="Q57" s="44">
        <f>Q6*(1-Paramètres!$B$2)</f>
        <v>2278.0450000000001</v>
      </c>
      <c r="R57" s="44">
        <f>R6*(1-Paramètres!$B$2)</f>
        <v>2302.2950000000001</v>
      </c>
      <c r="S57" s="44">
        <f>S6*(1-Paramètres!$B$2)</f>
        <v>2326.5450000000001</v>
      </c>
      <c r="T57" s="44">
        <f>T6*(1-Paramètres!$B$2)</f>
        <v>2350.31</v>
      </c>
      <c r="U57" s="44">
        <f>U6*(1-Paramètres!$B$2)</f>
        <v>2374.56</v>
      </c>
      <c r="V57" s="44">
        <f>V6*(1-Paramètres!$B$2)</f>
        <v>2398.3249999999998</v>
      </c>
      <c r="W57" s="44">
        <f>W6*(1-Paramètres!$B$2)</f>
        <v>2422.09</v>
      </c>
      <c r="X57" s="44">
        <f>X6*(1-Paramètres!$B$2)</f>
        <v>2446.34</v>
      </c>
      <c r="Y57" s="44">
        <f>Y6*(1-Paramètres!$B$2)</f>
        <v>2470.59</v>
      </c>
      <c r="Z57" s="44">
        <f>Z6*(1-Paramètres!$B$2)</f>
        <v>2493.87</v>
      </c>
    </row>
    <row r="58" spans="1:26" ht="15" customHeight="1" x14ac:dyDescent="0.25">
      <c r="A58" s="43">
        <v>950</v>
      </c>
      <c r="B58" s="44">
        <f>B7*(1-Paramètres!$B$2)</f>
        <v>1991.4099999999999</v>
      </c>
      <c r="C58" s="44">
        <f>C7*(1-Paramètres!$B$2)</f>
        <v>2014.2049999999999</v>
      </c>
      <c r="D58" s="44">
        <f>D7*(1-Paramètres!$B$2)</f>
        <v>2040.8799999999999</v>
      </c>
      <c r="E58" s="44">
        <f>E7*(1-Paramètres!$B$2)</f>
        <v>2065.13</v>
      </c>
      <c r="F58" s="44">
        <f>F7*(1-Paramètres!$B$2)</f>
        <v>2089.38</v>
      </c>
      <c r="G58" s="44">
        <f>G7*(1-Paramètres!$B$2)</f>
        <v>2114.1149999999998</v>
      </c>
      <c r="H58" s="44">
        <f>H7*(1-Paramètres!$B$2)</f>
        <v>2138.85</v>
      </c>
      <c r="I58" s="44">
        <f>I7*(1-Paramètres!$B$2)</f>
        <v>2163.585</v>
      </c>
      <c r="J58" s="44">
        <f>J7*(1-Paramètres!$B$2)</f>
        <v>2188.3200000000002</v>
      </c>
      <c r="K58" s="44">
        <f>K7*(1-Paramètres!$B$2)</f>
        <v>2213.54</v>
      </c>
      <c r="L58" s="44">
        <f>L7*(1-Paramètres!$B$2)</f>
        <v>2238.2750000000001</v>
      </c>
      <c r="M58" s="44">
        <f>M7*(1-Paramètres!$B$2)</f>
        <v>2262.04</v>
      </c>
      <c r="N58" s="44">
        <f>N7*(1-Paramètres!$B$2)</f>
        <v>2287.7449999999999</v>
      </c>
      <c r="O58" s="44">
        <f>O7*(1-Paramètres!$B$2)</f>
        <v>2311.9949999999999</v>
      </c>
      <c r="P58" s="44">
        <f>P7*(1-Paramètres!$B$2)</f>
        <v>2337.6999999999998</v>
      </c>
      <c r="Q58" s="44">
        <f>Q7*(1-Paramètres!$B$2)</f>
        <v>2361.4650000000001</v>
      </c>
      <c r="R58" s="44">
        <f>R7*(1-Paramètres!$B$2)</f>
        <v>2387.17</v>
      </c>
      <c r="S58" s="44">
        <f>S7*(1-Paramètres!$B$2)</f>
        <v>2411.42</v>
      </c>
      <c r="T58" s="44">
        <f>T7*(1-Paramètres!$B$2)</f>
        <v>2436.1549999999997</v>
      </c>
      <c r="U58" s="44">
        <f>U7*(1-Paramètres!$B$2)</f>
        <v>2461.375</v>
      </c>
      <c r="V58" s="44">
        <f>V7*(1-Paramètres!$B$2)</f>
        <v>2485.625</v>
      </c>
      <c r="W58" s="44">
        <f>W7*(1-Paramètres!$B$2)</f>
        <v>2510.8449999999998</v>
      </c>
      <c r="X58" s="44">
        <f>X7*(1-Paramètres!$B$2)</f>
        <v>2534.61</v>
      </c>
      <c r="Y58" s="44">
        <f>Y7*(1-Paramètres!$B$2)</f>
        <v>2560.7999999999997</v>
      </c>
      <c r="Z58" s="44">
        <f>Z7*(1-Paramètres!$B$2)</f>
        <v>2584.5650000000001</v>
      </c>
    </row>
    <row r="59" spans="1:26" ht="15" customHeight="1" x14ac:dyDescent="0.25">
      <c r="A59" s="43">
        <v>1050</v>
      </c>
      <c r="B59" s="44">
        <f>B8*(1-Paramètres!$B$2)</f>
        <v>2065.13</v>
      </c>
      <c r="C59" s="44">
        <f>C8*(1-Paramètres!$B$2)</f>
        <v>2089.38</v>
      </c>
      <c r="D59" s="44">
        <f>D8*(1-Paramètres!$B$2)</f>
        <v>2115.085</v>
      </c>
      <c r="E59" s="44">
        <f>E8*(1-Paramètres!$B$2)</f>
        <v>2139.8200000000002</v>
      </c>
      <c r="F59" s="44">
        <f>F8*(1-Paramètres!$B$2)</f>
        <v>2166.4949999999999</v>
      </c>
      <c r="G59" s="44">
        <f>G8*(1-Paramètres!$B$2)</f>
        <v>2192.6849999999999</v>
      </c>
      <c r="H59" s="44">
        <f>H8*(1-Paramètres!$B$2)</f>
        <v>2216.9349999999999</v>
      </c>
      <c r="I59" s="44">
        <f>I8*(1-Paramètres!$B$2)</f>
        <v>2241.67</v>
      </c>
      <c r="J59" s="44">
        <f>J8*(1-Paramètres!$B$2)</f>
        <v>2266.89</v>
      </c>
      <c r="K59" s="44">
        <f>K8*(1-Paramètres!$B$2)</f>
        <v>2292.5949999999998</v>
      </c>
      <c r="L59" s="44">
        <f>L8*(1-Paramètres!$B$2)</f>
        <v>2318.2999999999997</v>
      </c>
      <c r="M59" s="44">
        <f>M8*(1-Paramètres!$B$2)</f>
        <v>2343.52</v>
      </c>
      <c r="N59" s="44">
        <f>N8*(1-Paramètres!$B$2)</f>
        <v>2368.7399999999998</v>
      </c>
      <c r="O59" s="44">
        <f>O8*(1-Paramètres!$B$2)</f>
        <v>2394.9299999999998</v>
      </c>
      <c r="P59" s="44">
        <f>P8*(1-Paramètres!$B$2)</f>
        <v>2419.1799999999998</v>
      </c>
      <c r="Q59" s="44">
        <f>Q8*(1-Paramètres!$B$2)</f>
        <v>2445.855</v>
      </c>
      <c r="R59" s="44">
        <f>R8*(1-Paramètres!$B$2)</f>
        <v>2470.59</v>
      </c>
      <c r="S59" s="44">
        <f>S8*(1-Paramètres!$B$2)</f>
        <v>2496.2950000000001</v>
      </c>
      <c r="T59" s="44">
        <f>T8*(1-Paramètres!$B$2)</f>
        <v>2522</v>
      </c>
      <c r="U59" s="44">
        <f>U8*(1-Paramètres!$B$2)</f>
        <v>2546.7350000000001</v>
      </c>
      <c r="V59" s="44">
        <f>V8*(1-Paramètres!$B$2)</f>
        <v>2573.41</v>
      </c>
      <c r="W59" s="44">
        <f>W8*(1-Paramètres!$B$2)</f>
        <v>2598.63</v>
      </c>
      <c r="X59" s="44">
        <f>X8*(1-Paramètres!$B$2)</f>
        <v>2623.85</v>
      </c>
      <c r="Y59" s="44">
        <f>Y8*(1-Paramètres!$B$2)</f>
        <v>2650.04</v>
      </c>
      <c r="Z59" s="44">
        <f>Z8*(1-Paramètres!$B$2)</f>
        <v>2674.7750000000001</v>
      </c>
    </row>
    <row r="60" spans="1:26" ht="15" customHeight="1" x14ac:dyDescent="0.25">
      <c r="A60" s="43">
        <v>1150</v>
      </c>
      <c r="B60" s="44">
        <f>B9*(1-Paramètres!$B$2)</f>
        <v>2138.3649999999998</v>
      </c>
      <c r="C60" s="44">
        <f>C9*(1-Paramètres!$B$2)</f>
        <v>2163.585</v>
      </c>
      <c r="D60" s="44">
        <f>D9*(1-Paramètres!$B$2)</f>
        <v>2190.2599999999998</v>
      </c>
      <c r="E60" s="44">
        <f>E9*(1-Paramètres!$B$2)</f>
        <v>2216.9349999999999</v>
      </c>
      <c r="F60" s="44">
        <f>F9*(1-Paramètres!$B$2)</f>
        <v>2241.67</v>
      </c>
      <c r="G60" s="44">
        <f>G9*(1-Paramètres!$B$2)</f>
        <v>2268.83</v>
      </c>
      <c r="H60" s="44">
        <f>H9*(1-Paramètres!$B$2)</f>
        <v>2294.5349999999999</v>
      </c>
      <c r="I60" s="44">
        <f>I9*(1-Paramètres!$B$2)</f>
        <v>2320.2399999999998</v>
      </c>
      <c r="J60" s="44">
        <f>J9*(1-Paramètres!$B$2)</f>
        <v>2346.915</v>
      </c>
      <c r="K60" s="44">
        <f>K9*(1-Paramètres!$B$2)</f>
        <v>2372.1349999999998</v>
      </c>
      <c r="L60" s="44">
        <f>L9*(1-Paramètres!$B$2)</f>
        <v>2398.81</v>
      </c>
      <c r="M60" s="44">
        <f>M9*(1-Paramètres!$B$2)</f>
        <v>2425.9699999999998</v>
      </c>
      <c r="N60" s="44">
        <f>N9*(1-Paramètres!$B$2)</f>
        <v>2450.7049999999999</v>
      </c>
      <c r="O60" s="44">
        <f>O9*(1-Paramètres!$B$2)</f>
        <v>2477.8649999999998</v>
      </c>
      <c r="P60" s="44">
        <f>P9*(1-Paramètres!$B$2)</f>
        <v>2502.6</v>
      </c>
      <c r="Q60" s="44">
        <f>Q9*(1-Paramètres!$B$2)</f>
        <v>2528.79</v>
      </c>
      <c r="R60" s="44">
        <f>R9*(1-Paramètres!$B$2)</f>
        <v>2554.4949999999999</v>
      </c>
      <c r="S60" s="44">
        <f>S9*(1-Paramètres!$B$2)</f>
        <v>2581.6549999999997</v>
      </c>
      <c r="T60" s="44">
        <f>T9*(1-Paramètres!$B$2)</f>
        <v>2607.36</v>
      </c>
      <c r="U60" s="44">
        <f>U9*(1-Paramètres!$B$2)</f>
        <v>2633.5499999999997</v>
      </c>
      <c r="V60" s="44">
        <f>V9*(1-Paramètres!$B$2)</f>
        <v>2659.74</v>
      </c>
      <c r="W60" s="44">
        <f>W9*(1-Paramètres!$B$2)</f>
        <v>2685.4449999999997</v>
      </c>
      <c r="X60" s="44">
        <f>X9*(1-Paramètres!$B$2)</f>
        <v>2712.605</v>
      </c>
      <c r="Y60" s="44">
        <f>Y9*(1-Paramètres!$B$2)</f>
        <v>2738.31</v>
      </c>
      <c r="Z60" s="44">
        <f>Z9*(1-Paramètres!$B$2)</f>
        <v>2764.5</v>
      </c>
    </row>
    <row r="61" spans="1:26" ht="15" customHeight="1" x14ac:dyDescent="0.25">
      <c r="A61" s="43">
        <v>1250</v>
      </c>
      <c r="B61" s="44">
        <f>B10*(1-Paramètres!$B$2)</f>
        <v>2239.73</v>
      </c>
      <c r="C61" s="44">
        <f>C10*(1-Paramètres!$B$2)</f>
        <v>2266.4049999999997</v>
      </c>
      <c r="D61" s="44">
        <f>D10*(1-Paramètres!$B$2)</f>
        <v>2293.5650000000001</v>
      </c>
      <c r="E61" s="44">
        <f>E10*(1-Paramètres!$B$2)</f>
        <v>2320.2399999999998</v>
      </c>
      <c r="F61" s="44">
        <f>F10*(1-Paramètres!$B$2)</f>
        <v>2348.37</v>
      </c>
      <c r="G61" s="44">
        <f>G10*(1-Paramètres!$B$2)</f>
        <v>2374.56</v>
      </c>
      <c r="H61" s="44">
        <f>H10*(1-Paramètres!$B$2)</f>
        <v>2401.7199999999998</v>
      </c>
      <c r="I61" s="44">
        <f>I10*(1-Paramètres!$B$2)</f>
        <v>2428.395</v>
      </c>
      <c r="J61" s="44">
        <f>J10*(1-Paramètres!$B$2)</f>
        <v>2454.1</v>
      </c>
      <c r="K61" s="44">
        <f>K10*(1-Paramètres!$B$2)</f>
        <v>2481.7449999999999</v>
      </c>
      <c r="L61" s="44">
        <f>L10*(1-Paramètres!$B$2)</f>
        <v>2508.9049999999997</v>
      </c>
      <c r="M61" s="44">
        <f>M10*(1-Paramètres!$B$2)</f>
        <v>2534.61</v>
      </c>
      <c r="N61" s="44">
        <f>N10*(1-Paramètres!$B$2)</f>
        <v>2562.2550000000001</v>
      </c>
      <c r="O61" s="44">
        <f>O10*(1-Paramètres!$B$2)</f>
        <v>2588.9299999999998</v>
      </c>
      <c r="P61" s="44">
        <f>P10*(1-Paramètres!$B$2)</f>
        <v>2615.605</v>
      </c>
      <c r="Q61" s="44">
        <f>Q10*(1-Paramètres!$B$2)</f>
        <v>2642.2799999999997</v>
      </c>
      <c r="R61" s="44">
        <f>R10*(1-Paramètres!$B$2)</f>
        <v>2669.9249999999997</v>
      </c>
      <c r="S61" s="44">
        <f>S10*(1-Paramètres!$B$2)</f>
        <v>2695.145</v>
      </c>
      <c r="T61" s="44">
        <f>T10*(1-Paramètres!$B$2)</f>
        <v>2722.3049999999998</v>
      </c>
      <c r="U61" s="44">
        <f>U10*(1-Paramètres!$B$2)</f>
        <v>2750.4349999999999</v>
      </c>
      <c r="V61" s="44">
        <f>V10*(1-Paramètres!$B$2)</f>
        <v>2776.14</v>
      </c>
      <c r="W61" s="44">
        <f>W10*(1-Paramètres!$B$2)</f>
        <v>2803.2999999999997</v>
      </c>
      <c r="X61" s="44">
        <f>X10*(1-Paramètres!$B$2)</f>
        <v>2830.9449999999997</v>
      </c>
      <c r="Y61" s="44">
        <f>Y10*(1-Paramètres!$B$2)</f>
        <v>2856.165</v>
      </c>
      <c r="Z61" s="44">
        <f>Z10*(1-Paramètres!$B$2)</f>
        <v>2883.3249999999998</v>
      </c>
    </row>
    <row r="62" spans="1:26" ht="15" customHeight="1" x14ac:dyDescent="0.25">
      <c r="A62" s="43">
        <v>1350</v>
      </c>
      <c r="B62" s="44">
        <f>B11*(1-Paramètres!$B$2)</f>
        <v>2313.9349999999999</v>
      </c>
      <c r="C62" s="44">
        <f>C11*(1-Paramètres!$B$2)</f>
        <v>2341.0949999999998</v>
      </c>
      <c r="D62" s="44">
        <f>D11*(1-Paramètres!$B$2)</f>
        <v>2368.2550000000001</v>
      </c>
      <c r="E62" s="44">
        <f>E11*(1-Paramètres!$B$2)</f>
        <v>2395.9</v>
      </c>
      <c r="F62" s="44">
        <f>F11*(1-Paramètres!$B$2)</f>
        <v>2424.5149999999999</v>
      </c>
      <c r="G62" s="44">
        <f>G11*(1-Paramètres!$B$2)</f>
        <v>2451.19</v>
      </c>
      <c r="H62" s="44">
        <f>H11*(1-Paramètres!$B$2)</f>
        <v>2478.835</v>
      </c>
      <c r="I62" s="44">
        <f>I11*(1-Paramètres!$B$2)</f>
        <v>2506.48</v>
      </c>
      <c r="J62" s="44">
        <f>J11*(1-Paramètres!$B$2)</f>
        <v>2533.64</v>
      </c>
      <c r="K62" s="44">
        <f>K11*(1-Paramètres!$B$2)</f>
        <v>2561.77</v>
      </c>
      <c r="L62" s="44">
        <f>L11*(1-Paramètres!$B$2)</f>
        <v>2588.9299999999998</v>
      </c>
      <c r="M62" s="44">
        <f>M11*(1-Paramètres!$B$2)</f>
        <v>2617.06</v>
      </c>
      <c r="N62" s="44">
        <f>N11*(1-Paramètres!$B$2)</f>
        <v>2643.7350000000001</v>
      </c>
      <c r="O62" s="44">
        <f>O11*(1-Paramètres!$B$2)</f>
        <v>2671.38</v>
      </c>
      <c r="P62" s="44">
        <f>P11*(1-Paramètres!$B$2)</f>
        <v>2698.54</v>
      </c>
      <c r="Q62" s="44">
        <f>Q11*(1-Paramètres!$B$2)</f>
        <v>2726.67</v>
      </c>
      <c r="R62" s="44">
        <f>R11*(1-Paramètres!$B$2)</f>
        <v>2753.83</v>
      </c>
      <c r="S62" s="44">
        <f>S11*(1-Paramètres!$B$2)</f>
        <v>2780.99</v>
      </c>
      <c r="T62" s="44">
        <f>T11*(1-Paramètres!$B$2)</f>
        <v>2808.6349999999998</v>
      </c>
      <c r="U62" s="44">
        <f>U11*(1-Paramètres!$B$2)</f>
        <v>2835.31</v>
      </c>
      <c r="V62" s="44">
        <f>V11*(1-Paramètres!$B$2)</f>
        <v>2863.44</v>
      </c>
      <c r="W62" s="44">
        <f>W11*(1-Paramètres!$B$2)</f>
        <v>2891.085</v>
      </c>
      <c r="X62" s="44">
        <f>X11*(1-Paramètres!$B$2)</f>
        <v>2918.2449999999999</v>
      </c>
      <c r="Y62" s="44">
        <f>Y11*(1-Paramètres!$B$2)</f>
        <v>2945.4049999999997</v>
      </c>
      <c r="Z62" s="44">
        <f>Z11*(1-Paramètres!$B$2)</f>
        <v>2973.0499999999997</v>
      </c>
    </row>
    <row r="63" spans="1:26" ht="15" customHeight="1" x14ac:dyDescent="0.25">
      <c r="A63" s="43">
        <v>1450</v>
      </c>
      <c r="B63" s="44">
        <f>B12*(1-Paramètres!$B$2)</f>
        <v>2388.14</v>
      </c>
      <c r="C63" s="44">
        <f>C12*(1-Paramètres!$B$2)</f>
        <v>2416.27</v>
      </c>
      <c r="D63" s="44">
        <f>D12*(1-Paramètres!$B$2)</f>
        <v>2443.4299999999998</v>
      </c>
      <c r="E63" s="44">
        <f>E12*(1-Paramètres!$B$2)</f>
        <v>2471.56</v>
      </c>
      <c r="F63" s="44">
        <f>F12*(1-Paramètres!$B$2)</f>
        <v>2500.66</v>
      </c>
      <c r="G63" s="44">
        <f>G12*(1-Paramètres!$B$2)</f>
        <v>2528.3049999999998</v>
      </c>
      <c r="H63" s="44">
        <f>H12*(1-Paramètres!$B$2)</f>
        <v>2556.4349999999999</v>
      </c>
      <c r="I63" s="44">
        <f>I12*(1-Paramètres!$B$2)</f>
        <v>2584.5650000000001</v>
      </c>
      <c r="J63" s="44">
        <f>J12*(1-Paramètres!$B$2)</f>
        <v>2613.1799999999998</v>
      </c>
      <c r="K63" s="44">
        <f>K12*(1-Paramètres!$B$2)</f>
        <v>2640.8249999999998</v>
      </c>
      <c r="L63" s="44">
        <f>L12*(1-Paramètres!$B$2)</f>
        <v>2669.9249999999997</v>
      </c>
      <c r="M63" s="44">
        <f>M12*(1-Paramètres!$B$2)</f>
        <v>2697.5699999999997</v>
      </c>
      <c r="N63" s="44">
        <f>N12*(1-Paramètres!$B$2)</f>
        <v>2726.67</v>
      </c>
      <c r="O63" s="44">
        <f>O12*(1-Paramètres!$B$2)</f>
        <v>2753.83</v>
      </c>
      <c r="P63" s="44">
        <f>P12*(1-Paramètres!$B$2)</f>
        <v>2781.4749999999999</v>
      </c>
      <c r="Q63" s="44">
        <f>Q12*(1-Paramètres!$B$2)</f>
        <v>2810.5749999999998</v>
      </c>
      <c r="R63" s="44">
        <f>R12*(1-Paramètres!$B$2)</f>
        <v>2837.25</v>
      </c>
      <c r="S63" s="44">
        <f>S12*(1-Paramètres!$B$2)</f>
        <v>2865.8649999999998</v>
      </c>
      <c r="T63" s="44">
        <f>T12*(1-Paramètres!$B$2)</f>
        <v>2894.48</v>
      </c>
      <c r="U63" s="44">
        <f>U12*(1-Paramètres!$B$2)</f>
        <v>2922.61</v>
      </c>
      <c r="V63" s="44">
        <f>V12*(1-Paramètres!$B$2)</f>
        <v>2949.77</v>
      </c>
      <c r="W63" s="44">
        <f>W12*(1-Paramètres!$B$2)</f>
        <v>2978.3849999999998</v>
      </c>
      <c r="X63" s="44">
        <f>X12*(1-Paramètres!$B$2)</f>
        <v>3007</v>
      </c>
      <c r="Y63" s="44">
        <f>Y12*(1-Paramètres!$B$2)</f>
        <v>3034.645</v>
      </c>
      <c r="Z63" s="44">
        <f>Z12*(1-Paramètres!$B$2)</f>
        <v>3062.7750000000001</v>
      </c>
    </row>
    <row r="64" spans="1:26" ht="15" customHeight="1" x14ac:dyDescent="0.25">
      <c r="A64" s="43">
        <v>1550</v>
      </c>
      <c r="B64" s="44">
        <f>B13*(1-Paramètres!$B$2)</f>
        <v>2492.9</v>
      </c>
      <c r="C64" s="44">
        <f>C13*(1-Paramètres!$B$2)</f>
        <v>2521.5149999999999</v>
      </c>
      <c r="D64" s="44">
        <f>D13*(1-Paramètres!$B$2)</f>
        <v>2550.13</v>
      </c>
      <c r="E64" s="44">
        <f>E13*(1-Paramètres!$B$2)</f>
        <v>2579.23</v>
      </c>
      <c r="F64" s="44">
        <f>F13*(1-Paramètres!$B$2)</f>
        <v>2607.8449999999998</v>
      </c>
      <c r="G64" s="44">
        <f>G13*(1-Paramètres!$B$2)</f>
        <v>2635.49</v>
      </c>
      <c r="H64" s="44">
        <f>H13*(1-Paramètres!$B$2)</f>
        <v>2666.0450000000001</v>
      </c>
      <c r="I64" s="44">
        <f>I13*(1-Paramètres!$B$2)</f>
        <v>2694.66</v>
      </c>
      <c r="J64" s="44">
        <f>J13*(1-Paramètres!$B$2)</f>
        <v>2723.2750000000001</v>
      </c>
      <c r="K64" s="44">
        <f>K13*(1-Paramètres!$B$2)</f>
        <v>2752.375</v>
      </c>
      <c r="L64" s="44">
        <f>L13*(1-Paramètres!$B$2)</f>
        <v>2780.99</v>
      </c>
      <c r="M64" s="44">
        <f>M13*(1-Paramètres!$B$2)</f>
        <v>2810.5749999999998</v>
      </c>
      <c r="N64" s="44">
        <f>N13*(1-Paramètres!$B$2)</f>
        <v>2839.6749999999997</v>
      </c>
      <c r="O64" s="44">
        <f>O13*(1-Paramètres!$B$2)</f>
        <v>2866.835</v>
      </c>
      <c r="P64" s="44">
        <f>P13*(1-Paramètres!$B$2)</f>
        <v>2896.42</v>
      </c>
      <c r="Q64" s="44">
        <f>Q13*(1-Paramètres!$B$2)</f>
        <v>2925.0349999999999</v>
      </c>
      <c r="R64" s="44">
        <f>R13*(1-Paramètres!$B$2)</f>
        <v>2954.1349999999998</v>
      </c>
      <c r="S64" s="44">
        <f>S13*(1-Paramètres!$B$2)</f>
        <v>2983.2350000000001</v>
      </c>
      <c r="T64" s="44">
        <f>T13*(1-Paramètres!$B$2)</f>
        <v>3011.85</v>
      </c>
      <c r="U64" s="44">
        <f>U13*(1-Paramètres!$B$2)</f>
        <v>3040.95</v>
      </c>
      <c r="V64" s="44">
        <f>V13*(1-Paramètres!$B$2)</f>
        <v>3069.5650000000001</v>
      </c>
      <c r="W64" s="44">
        <f>W13*(1-Paramètres!$B$2)</f>
        <v>3097.6949999999997</v>
      </c>
      <c r="X64" s="44">
        <f>X13*(1-Paramètres!$B$2)</f>
        <v>3126.7950000000001</v>
      </c>
      <c r="Y64" s="44">
        <f>Y13*(1-Paramètres!$B$2)</f>
        <v>3155.895</v>
      </c>
      <c r="Z64" s="44">
        <f>Z13*(1-Paramètres!$B$2)</f>
        <v>3184.5099999999998</v>
      </c>
    </row>
    <row r="65" spans="1:26" ht="15" customHeight="1" x14ac:dyDescent="0.25">
      <c r="A65" s="43">
        <v>1650</v>
      </c>
      <c r="B65" s="44">
        <f>B14*(1-Paramètres!$B$2)</f>
        <v>2567.105</v>
      </c>
      <c r="C65" s="44">
        <f>C14*(1-Paramètres!$B$2)</f>
        <v>2596.2049999999999</v>
      </c>
      <c r="D65" s="44">
        <f>D14*(1-Paramètres!$B$2)</f>
        <v>2625.79</v>
      </c>
      <c r="E65" s="44">
        <f>E14*(1-Paramètres!$B$2)</f>
        <v>2654.89</v>
      </c>
      <c r="F65" s="44">
        <f>F14*(1-Paramètres!$B$2)</f>
        <v>2684.4749999999999</v>
      </c>
      <c r="G65" s="44">
        <f>G14*(1-Paramètres!$B$2)</f>
        <v>2713.5749999999998</v>
      </c>
      <c r="H65" s="44">
        <f>H14*(1-Paramètres!$B$2)</f>
        <v>2743.645</v>
      </c>
      <c r="I65" s="44">
        <f>I14*(1-Paramètres!$B$2)</f>
        <v>2773.23</v>
      </c>
      <c r="J65" s="44">
        <f>J14*(1-Paramètres!$B$2)</f>
        <v>2803.2999999999997</v>
      </c>
      <c r="K65" s="44">
        <f>K14*(1-Paramètres!$B$2)</f>
        <v>2832.8849999999998</v>
      </c>
      <c r="L65" s="44">
        <f>L14*(1-Paramètres!$B$2)</f>
        <v>2861.5</v>
      </c>
      <c r="M65" s="44">
        <f>M14*(1-Paramètres!$B$2)</f>
        <v>2890.6</v>
      </c>
      <c r="N65" s="44">
        <f>N14*(1-Paramètres!$B$2)</f>
        <v>2921.1549999999997</v>
      </c>
      <c r="O65" s="44">
        <f>O14*(1-Paramètres!$B$2)</f>
        <v>2949.77</v>
      </c>
      <c r="P65" s="44">
        <f>P14*(1-Paramètres!$B$2)</f>
        <v>2978.87</v>
      </c>
      <c r="Q65" s="44">
        <f>Q14*(1-Paramètres!$B$2)</f>
        <v>3008.94</v>
      </c>
      <c r="R65" s="44">
        <f>R14*(1-Paramètres!$B$2)</f>
        <v>3038.5250000000001</v>
      </c>
      <c r="S65" s="44">
        <f>S14*(1-Paramètres!$B$2)</f>
        <v>3068.5949999999998</v>
      </c>
      <c r="T65" s="44">
        <f>T14*(1-Paramètres!$B$2)</f>
        <v>3097.21</v>
      </c>
      <c r="U65" s="44">
        <f>U14*(1-Paramètres!$B$2)</f>
        <v>3126.7950000000001</v>
      </c>
      <c r="V65" s="44">
        <f>V14*(1-Paramètres!$B$2)</f>
        <v>3156.38</v>
      </c>
      <c r="W65" s="44">
        <f>W14*(1-Paramètres!$B$2)</f>
        <v>3186.45</v>
      </c>
      <c r="X65" s="44">
        <f>X14*(1-Paramètres!$B$2)</f>
        <v>3214.58</v>
      </c>
      <c r="Y65" s="44">
        <f>Y14*(1-Paramètres!$B$2)</f>
        <v>3245.1349999999998</v>
      </c>
      <c r="Z65" s="44">
        <f>Z14*(1-Paramètres!$B$2)</f>
        <v>3274.72</v>
      </c>
    </row>
    <row r="66" spans="1:26" ht="15" customHeight="1" x14ac:dyDescent="0.25">
      <c r="A66" s="43">
        <v>1750</v>
      </c>
      <c r="B66" s="44">
        <f>B15*(1-Paramètres!$B$2)</f>
        <v>2640.8249999999998</v>
      </c>
      <c r="C66" s="44">
        <f>C15*(1-Paramètres!$B$2)</f>
        <v>2670.895</v>
      </c>
      <c r="D66" s="44">
        <f>D15*(1-Paramètres!$B$2)</f>
        <v>2700.48</v>
      </c>
      <c r="E66" s="44">
        <f>E15*(1-Paramètres!$B$2)</f>
        <v>2731.52</v>
      </c>
      <c r="F66" s="44">
        <f>F15*(1-Paramètres!$B$2)</f>
        <v>2760.62</v>
      </c>
      <c r="G66" s="44">
        <f>G15*(1-Paramètres!$B$2)</f>
        <v>2792.145</v>
      </c>
      <c r="H66" s="44">
        <f>H15*(1-Paramètres!$B$2)</f>
        <v>2821.2449999999999</v>
      </c>
      <c r="I66" s="44">
        <f>I15*(1-Paramètres!$B$2)</f>
        <v>2852.2849999999999</v>
      </c>
      <c r="J66" s="44">
        <f>J15*(1-Paramètres!$B$2)</f>
        <v>2882.355</v>
      </c>
      <c r="K66" s="44">
        <f>K15*(1-Paramètres!$B$2)</f>
        <v>2911.4549999999999</v>
      </c>
      <c r="L66" s="44">
        <f>L15*(1-Paramètres!$B$2)</f>
        <v>2942.98</v>
      </c>
      <c r="M66" s="44">
        <f>M15*(1-Paramètres!$B$2)</f>
        <v>2971.5949999999998</v>
      </c>
      <c r="N66" s="44">
        <f>N15*(1-Paramètres!$B$2)</f>
        <v>3003.12</v>
      </c>
      <c r="O66" s="44">
        <f>O15*(1-Paramètres!$B$2)</f>
        <v>3032.7049999999999</v>
      </c>
      <c r="P66" s="44">
        <f>P15*(1-Paramètres!$B$2)</f>
        <v>3062.7750000000001</v>
      </c>
      <c r="Q66" s="44">
        <f>Q15*(1-Paramètres!$B$2)</f>
        <v>3093.33</v>
      </c>
      <c r="R66" s="44">
        <f>R15*(1-Paramètres!$B$2)</f>
        <v>3122.915</v>
      </c>
      <c r="S66" s="44">
        <f>S15*(1-Paramètres!$B$2)</f>
        <v>3153.9549999999999</v>
      </c>
      <c r="T66" s="44">
        <f>T15*(1-Paramètres!$B$2)</f>
        <v>3183.54</v>
      </c>
      <c r="U66" s="44">
        <f>U15*(1-Paramètres!$B$2)</f>
        <v>3213.61</v>
      </c>
      <c r="V66" s="44">
        <f>V15*(1-Paramètres!$B$2)</f>
        <v>3244.165</v>
      </c>
      <c r="W66" s="44">
        <f>W15*(1-Paramètres!$B$2)</f>
        <v>3273.75</v>
      </c>
      <c r="X66" s="44">
        <f>X15*(1-Paramètres!$B$2)</f>
        <v>3304.79</v>
      </c>
      <c r="Y66" s="44">
        <f>Y15*(1-Paramètres!$B$2)</f>
        <v>3334.86</v>
      </c>
      <c r="Z66" s="44">
        <f>Z15*(1-Paramètres!$B$2)</f>
        <v>3364.4449999999997</v>
      </c>
    </row>
    <row r="67" spans="1:26" ht="15" customHeight="1" x14ac:dyDescent="0.25">
      <c r="A67" s="43">
        <v>1850</v>
      </c>
      <c r="B67" s="44">
        <f>B16*(1-Paramètres!$B$2)</f>
        <v>2714.5450000000001</v>
      </c>
      <c r="C67" s="44">
        <f>C16*(1-Paramètres!$B$2)</f>
        <v>2745.1</v>
      </c>
      <c r="D67" s="44">
        <f>D16*(1-Paramètres!$B$2)</f>
        <v>2776.14</v>
      </c>
      <c r="E67" s="44">
        <f>E16*(1-Paramètres!$B$2)</f>
        <v>2806.21</v>
      </c>
      <c r="F67" s="44">
        <f>F16*(1-Paramètres!$B$2)</f>
        <v>2837.25</v>
      </c>
      <c r="G67" s="44">
        <f>G16*(1-Paramètres!$B$2)</f>
        <v>2867.8049999999998</v>
      </c>
      <c r="H67" s="44">
        <f>H16*(1-Paramètres!$B$2)</f>
        <v>2899.33</v>
      </c>
      <c r="I67" s="44">
        <f>I16*(1-Paramètres!$B$2)</f>
        <v>2929.8849999999998</v>
      </c>
      <c r="J67" s="44">
        <f>J16*(1-Paramètres!$B$2)</f>
        <v>2961.41</v>
      </c>
      <c r="K67" s="44">
        <f>K16*(1-Paramètres!$B$2)</f>
        <v>2992.45</v>
      </c>
      <c r="L67" s="44">
        <f>L16*(1-Paramètres!$B$2)</f>
        <v>3023.0050000000001</v>
      </c>
      <c r="M67" s="44">
        <f>M16*(1-Paramètres!$B$2)</f>
        <v>3054.0450000000001</v>
      </c>
      <c r="N67" s="44">
        <f>N16*(1-Paramètres!$B$2)</f>
        <v>3083.63</v>
      </c>
      <c r="O67" s="44">
        <f>O16*(1-Paramètres!$B$2)</f>
        <v>3115.64</v>
      </c>
      <c r="P67" s="44">
        <f>P16*(1-Paramètres!$B$2)</f>
        <v>3146.1949999999997</v>
      </c>
      <c r="Q67" s="44">
        <f>Q16*(1-Paramètres!$B$2)</f>
        <v>3176.75</v>
      </c>
      <c r="R67" s="44">
        <f>R16*(1-Paramètres!$B$2)</f>
        <v>3208.2750000000001</v>
      </c>
      <c r="S67" s="44">
        <f>S16*(1-Paramètres!$B$2)</f>
        <v>3238.83</v>
      </c>
      <c r="T67" s="44">
        <f>T16*(1-Paramètres!$B$2)</f>
        <v>3269.3849999999998</v>
      </c>
      <c r="U67" s="44">
        <f>U16*(1-Paramètres!$B$2)</f>
        <v>3299.94</v>
      </c>
      <c r="V67" s="44">
        <f>V16*(1-Paramètres!$B$2)</f>
        <v>3331.4649999999997</v>
      </c>
      <c r="W67" s="44">
        <f>W16*(1-Paramètres!$B$2)</f>
        <v>3361.5349999999999</v>
      </c>
      <c r="X67" s="44">
        <f>X16*(1-Paramètres!$B$2)</f>
        <v>3393.06</v>
      </c>
      <c r="Y67" s="44">
        <f>Y16*(1-Paramètres!$B$2)</f>
        <v>3422.645</v>
      </c>
      <c r="Z67" s="44">
        <f>Z16*(1-Paramètres!$B$2)</f>
        <v>3455.14</v>
      </c>
    </row>
    <row r="68" spans="1:26" ht="15" customHeight="1" x14ac:dyDescent="0.25">
      <c r="A68" s="43">
        <v>1950</v>
      </c>
      <c r="B68" s="44">
        <f>B17*(1-Paramètres!$B$2)</f>
        <v>2789.2350000000001</v>
      </c>
      <c r="C68" s="44">
        <f>C17*(1-Paramètres!$B$2)</f>
        <v>2818.8199999999997</v>
      </c>
      <c r="D68" s="44">
        <f>D17*(1-Paramètres!$B$2)</f>
        <v>2851.7999999999997</v>
      </c>
      <c r="E68" s="44">
        <f>E17*(1-Paramètres!$B$2)</f>
        <v>2882.84</v>
      </c>
      <c r="F68" s="44">
        <f>F17*(1-Paramètres!$B$2)</f>
        <v>2914.3649999999998</v>
      </c>
      <c r="G68" s="44">
        <f>G17*(1-Paramètres!$B$2)</f>
        <v>2945.4049999999997</v>
      </c>
      <c r="H68" s="44">
        <f>H17*(1-Paramètres!$B$2)</f>
        <v>2977.415</v>
      </c>
      <c r="I68" s="44">
        <f>I17*(1-Paramètres!$B$2)</f>
        <v>3008.4549999999999</v>
      </c>
      <c r="J68" s="44">
        <f>J17*(1-Paramètres!$B$2)</f>
        <v>3040.4649999999997</v>
      </c>
      <c r="K68" s="44">
        <f>K17*(1-Paramètres!$B$2)</f>
        <v>3071.99</v>
      </c>
      <c r="L68" s="44">
        <f>L17*(1-Paramètres!$B$2)</f>
        <v>3103.5149999999999</v>
      </c>
      <c r="M68" s="44">
        <f>M17*(1-Paramètres!$B$2)</f>
        <v>3134.5549999999998</v>
      </c>
      <c r="N68" s="44">
        <f>N17*(1-Paramètres!$B$2)</f>
        <v>3167.0499999999997</v>
      </c>
      <c r="O68" s="44">
        <f>O17*(1-Paramètres!$B$2)</f>
        <v>3197.605</v>
      </c>
      <c r="P68" s="44">
        <f>P17*(1-Paramètres!$B$2)</f>
        <v>3229.13</v>
      </c>
      <c r="Q68" s="44">
        <f>Q17*(1-Paramètres!$B$2)</f>
        <v>3260.6549999999997</v>
      </c>
      <c r="R68" s="44">
        <f>R17*(1-Paramètres!$B$2)</f>
        <v>3292.18</v>
      </c>
      <c r="S68" s="44">
        <f>S17*(1-Paramètres!$B$2)</f>
        <v>3324.6749999999997</v>
      </c>
      <c r="T68" s="44">
        <f>T17*(1-Paramètres!$B$2)</f>
        <v>3356.2</v>
      </c>
      <c r="U68" s="44">
        <f>U17*(1-Paramètres!$B$2)</f>
        <v>3387.24</v>
      </c>
      <c r="V68" s="44">
        <f>V17*(1-Paramètres!$B$2)</f>
        <v>3418.2799999999997</v>
      </c>
      <c r="W68" s="44">
        <f>W17*(1-Paramètres!$B$2)</f>
        <v>3449.3199999999997</v>
      </c>
      <c r="X68" s="44">
        <f>X17*(1-Paramètres!$B$2)</f>
        <v>3541.47</v>
      </c>
      <c r="Y68" s="44">
        <f>Y17*(1-Paramètres!$B$2)</f>
        <v>3572.5099999999998</v>
      </c>
      <c r="Z68" s="44">
        <f>Z17*(1-Paramètres!$B$2)</f>
        <v>3604.52</v>
      </c>
    </row>
    <row r="69" spans="1:26" ht="15" customHeight="1" x14ac:dyDescent="0.25">
      <c r="A69" s="43">
        <v>2050</v>
      </c>
      <c r="B69" s="44">
        <f>B18*(1-Paramètres!$B$2)</f>
        <v>2861.9850000000001</v>
      </c>
      <c r="C69" s="44">
        <f>C18*(1-Paramètres!$B$2)</f>
        <v>2893.5099999999998</v>
      </c>
      <c r="D69" s="44">
        <f>D18*(1-Paramètres!$B$2)</f>
        <v>2925.52</v>
      </c>
      <c r="E69" s="44">
        <f>E18*(1-Paramètres!$B$2)</f>
        <v>2958.9850000000001</v>
      </c>
      <c r="F69" s="44">
        <f>F18*(1-Paramètres!$B$2)</f>
        <v>2990.5099999999998</v>
      </c>
      <c r="G69" s="44">
        <f>G18*(1-Paramètres!$B$2)</f>
        <v>3023.0050000000001</v>
      </c>
      <c r="H69" s="44">
        <f>H18*(1-Paramètres!$B$2)</f>
        <v>3055.0149999999999</v>
      </c>
      <c r="I69" s="44">
        <f>I18*(1-Paramètres!$B$2)</f>
        <v>3087.9949999999999</v>
      </c>
      <c r="J69" s="44">
        <f>J18*(1-Paramètres!$B$2)</f>
        <v>3118.5499999999997</v>
      </c>
      <c r="K69" s="44">
        <f>K18*(1-Paramètres!$B$2)</f>
        <v>3151.5299999999997</v>
      </c>
      <c r="L69" s="44">
        <f>L18*(1-Paramètres!$B$2)</f>
        <v>3183.54</v>
      </c>
      <c r="M69" s="44">
        <f>M18*(1-Paramètres!$B$2)</f>
        <v>3278.6</v>
      </c>
      <c r="N69" s="44">
        <f>N18*(1-Paramètres!$B$2)</f>
        <v>3311.0949999999998</v>
      </c>
      <c r="O69" s="44">
        <f>O18*(1-Paramètres!$B$2)</f>
        <v>3343.5899999999997</v>
      </c>
      <c r="P69" s="44">
        <f>P18*(1-Paramètres!$B$2)</f>
        <v>3376.5699999999997</v>
      </c>
      <c r="Q69" s="44">
        <f>Q18*(1-Paramètres!$B$2)</f>
        <v>3408.58</v>
      </c>
      <c r="R69" s="44">
        <f>R18*(1-Paramètres!$B$2)</f>
        <v>3440.105</v>
      </c>
      <c r="S69" s="44">
        <f>S18*(1-Paramètres!$B$2)</f>
        <v>3471.63</v>
      </c>
      <c r="T69" s="44">
        <f>T18*(1-Paramètres!$B$2)</f>
        <v>3503.64</v>
      </c>
      <c r="U69" s="44">
        <f>U18*(1-Paramètres!$B$2)</f>
        <v>3537.5899999999997</v>
      </c>
      <c r="V69" s="44">
        <f>V18*(1-Paramètres!$B$2)</f>
        <v>3569.6</v>
      </c>
      <c r="W69" s="44">
        <f>W18*(1-Paramètres!$B$2)</f>
        <v>3602.0949999999998</v>
      </c>
      <c r="X69" s="44">
        <f>X18*(1-Paramètres!$B$2)</f>
        <v>3633.1349999999998</v>
      </c>
      <c r="Y69" s="44">
        <f>Y18*(1-Paramètres!$B$2)</f>
        <v>3666.6</v>
      </c>
      <c r="Z69" s="44">
        <f>Z18*(1-Paramètres!$B$2)</f>
        <v>3698.6099999999997</v>
      </c>
    </row>
    <row r="70" spans="1:26" ht="15" customHeight="1" x14ac:dyDescent="0.25">
      <c r="A70" s="43">
        <v>2150</v>
      </c>
      <c r="B70" s="44">
        <f>B19*(1-Paramètres!$B$2)</f>
        <v>2935.22</v>
      </c>
      <c r="C70" s="44">
        <f>C19*(1-Paramètres!$B$2)</f>
        <v>2967.7150000000001</v>
      </c>
      <c r="D70" s="44">
        <f>D19*(1-Paramètres!$B$2)</f>
        <v>3001.18</v>
      </c>
      <c r="E70" s="44">
        <f>E19*(1-Paramètres!$B$2)</f>
        <v>3100.605</v>
      </c>
      <c r="F70" s="44">
        <f>F19*(1-Paramètres!$B$2)</f>
        <v>3133.585</v>
      </c>
      <c r="G70" s="44">
        <f>G19*(1-Paramètres!$B$2)</f>
        <v>3167.0499999999997</v>
      </c>
      <c r="H70" s="44">
        <f>H19*(1-Paramètres!$B$2)</f>
        <v>3198.0899999999997</v>
      </c>
      <c r="I70" s="44">
        <f>I19*(1-Paramètres!$B$2)</f>
        <v>3232.5250000000001</v>
      </c>
      <c r="J70" s="44">
        <f>J19*(1-Paramètres!$B$2)</f>
        <v>3265.02</v>
      </c>
      <c r="K70" s="44">
        <f>K19*(1-Paramètres!$B$2)</f>
        <v>3298.4850000000001</v>
      </c>
      <c r="L70" s="44">
        <f>L19*(1-Paramètres!$B$2)</f>
        <v>3331.4649999999997</v>
      </c>
      <c r="M70" s="44">
        <f>M19*(1-Paramètres!$B$2)</f>
        <v>3362.5050000000001</v>
      </c>
      <c r="N70" s="44">
        <f>N19*(1-Paramètres!$B$2)</f>
        <v>3396.94</v>
      </c>
      <c r="O70" s="44">
        <f>O19*(1-Paramètres!$B$2)</f>
        <v>3428.95</v>
      </c>
      <c r="P70" s="44">
        <f>P19*(1-Paramètres!$B$2)</f>
        <v>3461.93</v>
      </c>
      <c r="Q70" s="44">
        <f>Q19*(1-Paramètres!$B$2)</f>
        <v>3495.395</v>
      </c>
      <c r="R70" s="44">
        <f>R19*(1-Paramètres!$B$2)</f>
        <v>3527.89</v>
      </c>
      <c r="S70" s="44">
        <f>S19*(1-Paramètres!$B$2)</f>
        <v>3561.355</v>
      </c>
      <c r="T70" s="44">
        <f>T19*(1-Paramètres!$B$2)</f>
        <v>3593.3649999999998</v>
      </c>
      <c r="U70" s="44">
        <f>U19*(1-Paramètres!$B$2)</f>
        <v>3627.3150000000001</v>
      </c>
      <c r="V70" s="44">
        <f>V19*(1-Paramètres!$B$2)</f>
        <v>3659.3249999999998</v>
      </c>
      <c r="W70" s="44">
        <f>W19*(1-Paramètres!$B$2)</f>
        <v>3692.3049999999998</v>
      </c>
      <c r="X70" s="44">
        <f>X19*(1-Paramètres!$B$2)</f>
        <v>3725.2849999999999</v>
      </c>
      <c r="Y70" s="44">
        <f>Y19*(1-Paramètres!$B$2)</f>
        <v>3758.75</v>
      </c>
      <c r="Z70" s="44">
        <f>Z19*(1-Paramètres!$B$2)</f>
        <v>3790.7599999999998</v>
      </c>
    </row>
    <row r="71" spans="1:26" ht="15" customHeight="1" x14ac:dyDescent="0.25">
      <c r="A71" s="43">
        <v>2250</v>
      </c>
      <c r="B71" s="44">
        <f>B20*(1-Paramètres!$B$2)</f>
        <v>3078.2950000000001</v>
      </c>
      <c r="C71" s="44">
        <f>C20*(1-Paramètres!$B$2)</f>
        <v>3112.73</v>
      </c>
      <c r="D71" s="44">
        <f>D20*(1-Paramètres!$B$2)</f>
        <v>3146.1949999999997</v>
      </c>
      <c r="E71" s="44">
        <f>E20*(1-Paramètres!$B$2)</f>
        <v>3179.1749999999997</v>
      </c>
      <c r="F71" s="44">
        <f>F20*(1-Paramètres!$B$2)</f>
        <v>3212.64</v>
      </c>
      <c r="G71" s="44">
        <f>G20*(1-Paramètres!$B$2)</f>
        <v>3247.56</v>
      </c>
      <c r="H71" s="44">
        <f>H20*(1-Paramètres!$B$2)</f>
        <v>3281.0250000000001</v>
      </c>
      <c r="I71" s="44">
        <f>I20*(1-Paramètres!$B$2)</f>
        <v>3314.0050000000001</v>
      </c>
      <c r="J71" s="44">
        <f>J20*(1-Paramètres!$B$2)</f>
        <v>3347.47</v>
      </c>
      <c r="K71" s="44">
        <f>K20*(1-Paramètres!$B$2)</f>
        <v>3381.42</v>
      </c>
      <c r="L71" s="44">
        <f>L20*(1-Paramètres!$B$2)</f>
        <v>3415.37</v>
      </c>
      <c r="M71" s="44">
        <f>M20*(1-Paramètres!$B$2)</f>
        <v>3447.8649999999998</v>
      </c>
      <c r="N71" s="44">
        <f>N20*(1-Paramètres!$B$2)</f>
        <v>3481.8150000000001</v>
      </c>
      <c r="O71" s="44">
        <f>O20*(1-Paramètres!$B$2)</f>
        <v>3515.2799999999997</v>
      </c>
      <c r="P71" s="44">
        <f>P20*(1-Paramètres!$B$2)</f>
        <v>3548.7449999999999</v>
      </c>
      <c r="Q71" s="44">
        <f>Q20*(1-Paramètres!$B$2)</f>
        <v>3582.6949999999997</v>
      </c>
      <c r="R71" s="44">
        <f>R20*(1-Paramètres!$B$2)</f>
        <v>3616.645</v>
      </c>
      <c r="S71" s="44">
        <f>S20*(1-Paramètres!$B$2)</f>
        <v>3649.625</v>
      </c>
      <c r="T71" s="44">
        <f>T20*(1-Paramètres!$B$2)</f>
        <v>3682.12</v>
      </c>
      <c r="U71" s="44">
        <f>U20*(1-Paramètres!$B$2)</f>
        <v>3716.0699999999997</v>
      </c>
      <c r="V71" s="44">
        <f>V20*(1-Paramètres!$B$2)</f>
        <v>3750.02</v>
      </c>
      <c r="W71" s="44">
        <f>W20*(1-Paramètres!$B$2)</f>
        <v>3783</v>
      </c>
      <c r="X71" s="44">
        <f>X20*(1-Paramètres!$B$2)</f>
        <v>3816.95</v>
      </c>
      <c r="Y71" s="44">
        <f>Y20*(1-Paramètres!$B$2)</f>
        <v>3851.87</v>
      </c>
      <c r="Z71" s="44">
        <f>Z20*(1-Paramètres!$B$2)</f>
        <v>3883.395</v>
      </c>
    </row>
    <row r="72" spans="1:26" ht="15" customHeight="1" x14ac:dyDescent="0.25">
      <c r="A72" s="43">
        <v>2350</v>
      </c>
      <c r="B72" s="44">
        <f>B21*(1-Paramètres!$B$2)</f>
        <v>3209.73</v>
      </c>
      <c r="C72" s="44">
        <f>C21*(1-Paramètres!$B$2)</f>
        <v>3244.165</v>
      </c>
      <c r="D72" s="44">
        <f>D21*(1-Paramètres!$B$2)</f>
        <v>3278.1149999999998</v>
      </c>
      <c r="E72" s="44">
        <f>E21*(1-Paramètres!$B$2)</f>
        <v>3312.5499999999997</v>
      </c>
      <c r="F72" s="44">
        <f>F21*(1-Paramètres!$B$2)</f>
        <v>3346.9850000000001</v>
      </c>
      <c r="G72" s="44">
        <f>G21*(1-Paramètres!$B$2)</f>
        <v>3381.42</v>
      </c>
      <c r="H72" s="44">
        <f>H21*(1-Paramètres!$B$2)</f>
        <v>3415.855</v>
      </c>
      <c r="I72" s="44">
        <f>I21*(1-Paramètres!$B$2)</f>
        <v>3449.3199999999997</v>
      </c>
      <c r="J72" s="44">
        <f>J21*(1-Paramètres!$B$2)</f>
        <v>3483.7550000000001</v>
      </c>
      <c r="K72" s="44">
        <f>K21*(1-Paramètres!$B$2)</f>
        <v>3519.16</v>
      </c>
      <c r="L72" s="44">
        <f>L21*(1-Paramètres!$B$2)</f>
        <v>3552.14</v>
      </c>
      <c r="M72" s="44">
        <f>M21*(1-Paramètres!$B$2)</f>
        <v>3587.06</v>
      </c>
      <c r="N72" s="44">
        <f>N21*(1-Paramètres!$B$2)</f>
        <v>3621.4949999999999</v>
      </c>
      <c r="O72" s="44">
        <f>O21*(1-Paramètres!$B$2)</f>
        <v>3654.4749999999999</v>
      </c>
      <c r="P72" s="44">
        <f>P21*(1-Paramètres!$B$2)</f>
        <v>3688.91</v>
      </c>
      <c r="Q72" s="44">
        <f>Q21*(1-Paramètres!$B$2)</f>
        <v>3722.8599999999997</v>
      </c>
      <c r="R72" s="44">
        <f>R21*(1-Paramètres!$B$2)</f>
        <v>3757.7799999999997</v>
      </c>
      <c r="S72" s="44">
        <f>S21*(1-Paramètres!$B$2)</f>
        <v>3792.7</v>
      </c>
      <c r="T72" s="44">
        <f>T21*(1-Paramètres!$B$2)</f>
        <v>3826.165</v>
      </c>
      <c r="U72" s="44">
        <f>U21*(1-Paramètres!$B$2)</f>
        <v>3860.6</v>
      </c>
      <c r="V72" s="44">
        <f>V21*(1-Paramètres!$B$2)</f>
        <v>3898.915</v>
      </c>
      <c r="W72" s="44">
        <f>W21*(1-Paramètres!$B$2)</f>
        <v>3933.35</v>
      </c>
      <c r="X72" s="44">
        <f>X21*(1-Paramètres!$B$2)</f>
        <v>3967.2999999999997</v>
      </c>
      <c r="Y72" s="44">
        <f>Y21*(1-Paramètres!$B$2)</f>
        <v>4002.22</v>
      </c>
      <c r="Z72" s="44">
        <f>Z21*(1-Paramètres!$B$2)</f>
        <v>4036.6549999999997</v>
      </c>
    </row>
    <row r="73" spans="1:26" ht="15" customHeight="1" x14ac:dyDescent="0.25">
      <c r="A73" s="43">
        <v>2450</v>
      </c>
      <c r="B73" s="44">
        <f>B22*(1-Paramètres!$B$2)</f>
        <v>3286.8449999999998</v>
      </c>
      <c r="C73" s="44">
        <f>C22*(1-Paramètres!$B$2)</f>
        <v>3321.2799999999997</v>
      </c>
      <c r="D73" s="44">
        <f>D22*(1-Paramètres!$B$2)</f>
        <v>3357.17</v>
      </c>
      <c r="E73" s="44">
        <f>E22*(1-Paramètres!$B$2)</f>
        <v>3392.0899999999997</v>
      </c>
      <c r="F73" s="44">
        <f>F22*(1-Paramètres!$B$2)</f>
        <v>3426.04</v>
      </c>
      <c r="G73" s="44">
        <f>G22*(1-Paramètres!$B$2)</f>
        <v>3461.4449999999997</v>
      </c>
      <c r="H73" s="44">
        <f>H22*(1-Paramètres!$B$2)</f>
        <v>3496.85</v>
      </c>
      <c r="I73" s="44">
        <f>I22*(1-Paramètres!$B$2)</f>
        <v>3532.2550000000001</v>
      </c>
      <c r="J73" s="44">
        <f>J22*(1-Paramètres!$B$2)</f>
        <v>3567.66</v>
      </c>
      <c r="K73" s="44">
        <f>K22*(1-Paramètres!$B$2)</f>
        <v>3603.5499999999997</v>
      </c>
      <c r="L73" s="44">
        <f>L22*(1-Paramètres!$B$2)</f>
        <v>3637.9849999999997</v>
      </c>
      <c r="M73" s="44">
        <f>M22*(1-Paramètres!$B$2)</f>
        <v>3677.7550000000001</v>
      </c>
      <c r="N73" s="44">
        <f>N22*(1-Paramètres!$B$2)</f>
        <v>3712.19</v>
      </c>
      <c r="O73" s="44">
        <f>O22*(1-Paramètres!$B$2)</f>
        <v>3747.5949999999998</v>
      </c>
      <c r="P73" s="44">
        <f>P22*(1-Paramètres!$B$2)</f>
        <v>3781.5450000000001</v>
      </c>
      <c r="Q73" s="44">
        <f>Q22*(1-Paramètres!$B$2)</f>
        <v>3816.4649999999997</v>
      </c>
      <c r="R73" s="44">
        <f>R22*(1-Paramètres!$B$2)</f>
        <v>3852.355</v>
      </c>
      <c r="S73" s="44">
        <f>S22*(1-Paramètres!$B$2)</f>
        <v>3886.3049999999998</v>
      </c>
      <c r="T73" s="44">
        <f>T22*(1-Paramètres!$B$2)</f>
        <v>3920.74</v>
      </c>
      <c r="U73" s="44">
        <f>U22*(1-Paramètres!$B$2)</f>
        <v>3956.145</v>
      </c>
      <c r="V73" s="44">
        <f>V22*(1-Paramètres!$B$2)</f>
        <v>3991.5499999999997</v>
      </c>
      <c r="W73" s="44">
        <f>W22*(1-Paramètres!$B$2)</f>
        <v>4025.9849999999997</v>
      </c>
      <c r="X73" s="44">
        <f>X22*(1-Paramètres!$B$2)</f>
        <v>4061.39</v>
      </c>
      <c r="Y73" s="44">
        <f>Y22*(1-Paramètres!$B$2)</f>
        <v>4095.8249999999998</v>
      </c>
      <c r="Z73" s="44">
        <f>Z22*(1-Paramètres!$B$2)</f>
        <v>4130.7449999999999</v>
      </c>
    </row>
    <row r="74" spans="1:26" ht="15" customHeight="1" x14ac:dyDescent="0.25">
      <c r="A74" s="43">
        <v>2550</v>
      </c>
      <c r="B74" s="44">
        <f>B23*(1-Paramètres!$B$2)</f>
        <v>3443.5</v>
      </c>
      <c r="C74" s="44">
        <f>C23*(1-Paramètres!$B$2)</f>
        <v>3478.9049999999997</v>
      </c>
      <c r="D74" s="44">
        <f>D23*(1-Paramètres!$B$2)</f>
        <v>3515.2799999999997</v>
      </c>
      <c r="E74" s="44">
        <f>E23*(1-Paramètres!$B$2)</f>
        <v>3550.2</v>
      </c>
      <c r="F74" s="44">
        <f>F23*(1-Paramètres!$B$2)</f>
        <v>3586.5749999999998</v>
      </c>
      <c r="G74" s="44">
        <f>G23*(1-Paramètres!$B$2)</f>
        <v>3621.98</v>
      </c>
      <c r="H74" s="44">
        <f>H23*(1-Paramètres!$B$2)</f>
        <v>3656.415</v>
      </c>
      <c r="I74" s="44">
        <f>I23*(1-Paramètres!$B$2)</f>
        <v>3692.79</v>
      </c>
      <c r="J74" s="44">
        <f>J23*(1-Paramètres!$B$2)</f>
        <v>3728.1949999999997</v>
      </c>
      <c r="K74" s="44">
        <f>K23*(1-Paramètres!$B$2)</f>
        <v>3763.6</v>
      </c>
      <c r="L74" s="44">
        <f>L23*(1-Paramètres!$B$2)</f>
        <v>3799.49</v>
      </c>
      <c r="M74" s="44">
        <f>M23*(1-Paramètres!$B$2)</f>
        <v>3834.41</v>
      </c>
      <c r="N74" s="44">
        <f>N23*(1-Paramètres!$B$2)</f>
        <v>3869.8150000000001</v>
      </c>
      <c r="O74" s="44">
        <f>O23*(1-Paramètres!$B$2)</f>
        <v>3905.22</v>
      </c>
      <c r="P74" s="44">
        <f>P23*(1-Paramètres!$B$2)</f>
        <v>3941.1099999999997</v>
      </c>
      <c r="Q74" s="44">
        <f>Q23*(1-Paramètres!$B$2)</f>
        <v>3976.5149999999999</v>
      </c>
      <c r="R74" s="44">
        <f>R23*(1-Paramètres!$B$2)</f>
        <v>4011.92</v>
      </c>
      <c r="S74" s="44">
        <f>S23*(1-Paramètres!$B$2)</f>
        <v>4048.2950000000001</v>
      </c>
      <c r="T74" s="44">
        <f>T23*(1-Paramètres!$B$2)</f>
        <v>4083.7</v>
      </c>
      <c r="U74" s="44">
        <f>U23*(1-Paramètres!$B$2)</f>
        <v>4119.1049999999996</v>
      </c>
      <c r="V74" s="44">
        <f>V23*(1-Paramètres!$B$2)</f>
        <v>4154.51</v>
      </c>
      <c r="W74" s="44">
        <f>W23*(1-Paramètres!$B$2)</f>
        <v>4189.915</v>
      </c>
      <c r="X74" s="44">
        <f>X23*(1-Paramètres!$B$2)</f>
        <v>4226.29</v>
      </c>
      <c r="Y74" s="44">
        <f>Y23*(1-Paramètres!$B$2)</f>
        <v>4262.18</v>
      </c>
      <c r="Z74" s="44">
        <f>Z23*(1-Paramètres!$B$2)</f>
        <v>4297.585</v>
      </c>
    </row>
    <row r="75" spans="1:26" ht="15" customHeight="1" x14ac:dyDescent="0.25">
      <c r="A75" s="43">
        <v>2650</v>
      </c>
      <c r="B75" s="44">
        <f>B24*(1-Paramètres!$B$2)</f>
        <v>3547.29</v>
      </c>
      <c r="C75" s="44">
        <f>C24*(1-Paramètres!$B$2)</f>
        <v>3582.6949999999997</v>
      </c>
      <c r="D75" s="44">
        <f>D24*(1-Paramètres!$B$2)</f>
        <v>3619.5549999999998</v>
      </c>
      <c r="E75" s="44">
        <f>E24*(1-Paramètres!$B$2)</f>
        <v>3655.93</v>
      </c>
      <c r="F75" s="44">
        <f>F24*(1-Paramètres!$B$2)</f>
        <v>3692.3049999999998</v>
      </c>
      <c r="G75" s="44">
        <f>G24*(1-Paramètres!$B$2)</f>
        <v>3728.68</v>
      </c>
      <c r="H75" s="44">
        <f>H24*(1-Paramètres!$B$2)</f>
        <v>3764.5699999999997</v>
      </c>
      <c r="I75" s="44">
        <f>I24*(1-Paramètres!$B$2)</f>
        <v>3800.46</v>
      </c>
      <c r="J75" s="44">
        <f>J24*(1-Paramètres!$B$2)</f>
        <v>3836.35</v>
      </c>
      <c r="K75" s="44">
        <f>K24*(1-Paramètres!$B$2)</f>
        <v>3872.7249999999999</v>
      </c>
      <c r="L75" s="44">
        <f>L24*(1-Paramètres!$B$2)</f>
        <v>3911.04</v>
      </c>
      <c r="M75" s="44">
        <f>M24*(1-Paramètres!$B$2)</f>
        <v>3945.96</v>
      </c>
      <c r="N75" s="44">
        <f>N24*(1-Paramètres!$B$2)</f>
        <v>3970.21</v>
      </c>
      <c r="O75" s="44">
        <f>O24*(1-Paramètres!$B$2)</f>
        <v>4042.96</v>
      </c>
      <c r="P75" s="44">
        <f>P24*(1-Paramètres!$B$2)</f>
        <v>4079.8199999999997</v>
      </c>
      <c r="Q75" s="44">
        <f>Q24*(1-Paramètres!$B$2)</f>
        <v>4115.71</v>
      </c>
      <c r="R75" s="44">
        <f>R24*(1-Paramètres!$B$2)</f>
        <v>4152.57</v>
      </c>
      <c r="S75" s="44">
        <f>S24*(1-Paramètres!$B$2)</f>
        <v>4187.9749999999995</v>
      </c>
      <c r="T75" s="44">
        <f>T24*(1-Paramètres!$B$2)</f>
        <v>4223.8649999999998</v>
      </c>
      <c r="U75" s="44">
        <f>U24*(1-Paramètres!$B$2)</f>
        <v>4260.24</v>
      </c>
      <c r="V75" s="44">
        <f>V24*(1-Paramètres!$B$2)</f>
        <v>4295.6449999999995</v>
      </c>
      <c r="W75" s="44">
        <f>W24*(1-Paramètres!$B$2)</f>
        <v>4330.5649999999996</v>
      </c>
      <c r="X75" s="44">
        <f>X24*(1-Paramètres!$B$2)</f>
        <v>4366.9399999999996</v>
      </c>
      <c r="Y75" s="44">
        <f>Y24*(1-Paramètres!$B$2)</f>
        <v>4402.3450000000003</v>
      </c>
      <c r="Z75" s="44">
        <f>Z24*(1-Paramètres!$B$2)</f>
        <v>4438.2349999999997</v>
      </c>
    </row>
    <row r="76" spans="1:26" ht="15" customHeight="1" x14ac:dyDescent="0.25">
      <c r="A76" s="43">
        <v>2700</v>
      </c>
      <c r="B76" s="44">
        <f>B25*(1-Paramètres!$B$2)</f>
        <v>3673.875</v>
      </c>
      <c r="C76" s="44">
        <f>C25*(1-Paramètres!$B$2)</f>
        <v>3700.0650000000001</v>
      </c>
      <c r="D76" s="44">
        <f>D25*(1-Paramètres!$B$2)</f>
        <v>3739.35</v>
      </c>
      <c r="E76" s="44">
        <f>E25*(1-Paramètres!$B$2)</f>
        <v>3774.7550000000001</v>
      </c>
      <c r="F76" s="44">
        <f>F25*(1-Paramètres!$B$2)</f>
        <v>3812.585</v>
      </c>
      <c r="G76" s="44">
        <f>G25*(1-Paramètres!$B$2)</f>
        <v>3848.96</v>
      </c>
      <c r="H76" s="44">
        <f>H25*(1-Paramètres!$B$2)</f>
        <v>3886.3049999999998</v>
      </c>
      <c r="I76" s="44">
        <f>I25*(1-Paramètres!$B$2)</f>
        <v>3923.65</v>
      </c>
      <c r="J76" s="44">
        <f>J25*(1-Paramètres!$B$2)</f>
        <v>3959.0549999999998</v>
      </c>
      <c r="K76" s="44">
        <f>K25*(1-Paramètres!$B$2)</f>
        <v>3996.4</v>
      </c>
      <c r="L76" s="44">
        <f>L25*(1-Paramètres!$B$2)</f>
        <v>4033.2599999999998</v>
      </c>
      <c r="M76" s="44">
        <f>M25*(1-Paramètres!$B$2)</f>
        <v>4068.665</v>
      </c>
      <c r="N76" s="44">
        <f>N25*(1-Paramètres!$B$2)</f>
        <v>4106.01</v>
      </c>
      <c r="O76" s="44">
        <f>O25*(1-Paramètres!$B$2)</f>
        <v>4168.09</v>
      </c>
      <c r="P76" s="44">
        <f>P25*(1-Paramètres!$B$2)</f>
        <v>4205.92</v>
      </c>
      <c r="Q76" s="44">
        <f>Q25*(1-Paramètres!$B$2)</f>
        <v>4242.2950000000001</v>
      </c>
      <c r="R76" s="44">
        <f>R25*(1-Paramètres!$B$2)</f>
        <v>4278.1849999999995</v>
      </c>
      <c r="S76" s="44">
        <f>S25*(1-Paramètres!$B$2)</f>
        <v>4315.53</v>
      </c>
      <c r="T76" s="44">
        <f>T25*(1-Paramètres!$B$2)</f>
        <v>4350.45</v>
      </c>
      <c r="U76" s="44">
        <f>U25*(1-Paramètres!$B$2)</f>
        <v>4389.7349999999997</v>
      </c>
      <c r="V76" s="44">
        <f>V25*(1-Paramètres!$B$2)</f>
        <v>4424.6549999999997</v>
      </c>
      <c r="W76" s="44">
        <f>W25*(1-Paramètres!$B$2)</f>
        <v>4460.5450000000001</v>
      </c>
      <c r="X76" s="44">
        <f>X25*(1-Paramètres!$B$2)</f>
        <v>4496.4349999999995</v>
      </c>
      <c r="Y76" s="44">
        <f>Y25*(1-Paramètres!$B$2)</f>
        <v>4531.84</v>
      </c>
      <c r="Z76" s="44">
        <f>Z25*(1-Paramètres!$B$2)</f>
        <v>4567.7299999999996</v>
      </c>
    </row>
  </sheetData>
  <mergeCells count="4">
    <mergeCell ref="A1:Z1"/>
    <mergeCell ref="A27:Z27"/>
    <mergeCell ref="A3:Z3"/>
    <mergeCell ref="A53:Z5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64"/>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17" width="9" customWidth="1"/>
  </cols>
  <sheetData>
    <row r="1" spans="1:17" ht="24" customHeight="1" x14ac:dyDescent="0.25">
      <c r="A1" s="126" t="s">
        <v>268</v>
      </c>
      <c r="B1" s="93"/>
      <c r="C1" s="93"/>
      <c r="D1" s="93"/>
      <c r="E1" s="93"/>
      <c r="F1" s="93"/>
      <c r="G1" s="93"/>
      <c r="H1" s="93"/>
      <c r="I1" s="93"/>
      <c r="J1" s="93"/>
      <c r="K1" s="93"/>
      <c r="L1" s="93"/>
      <c r="M1" s="93"/>
      <c r="N1" s="93"/>
      <c r="O1" s="93"/>
      <c r="P1" s="93"/>
      <c r="Q1" s="93"/>
    </row>
    <row r="3" spans="1:17" ht="15" customHeight="1" x14ac:dyDescent="0.25">
      <c r="A3" s="121" t="s">
        <v>259</v>
      </c>
      <c r="B3" s="93"/>
      <c r="C3" s="93"/>
      <c r="D3" s="93"/>
      <c r="E3" s="93"/>
      <c r="F3" s="93"/>
      <c r="G3" s="93"/>
      <c r="H3" s="93"/>
      <c r="I3" s="93"/>
      <c r="J3" s="93"/>
      <c r="K3" s="93"/>
      <c r="L3" s="93"/>
      <c r="M3" s="93"/>
      <c r="N3" s="93"/>
      <c r="O3" s="93"/>
      <c r="P3" s="93"/>
      <c r="Q3" s="93"/>
    </row>
    <row r="4" spans="1:17" ht="15" customHeight="1" x14ac:dyDescent="0.25">
      <c r="A4" s="43" t="s">
        <v>260</v>
      </c>
      <c r="B4" s="43">
        <v>500</v>
      </c>
      <c r="C4" s="43">
        <v>600</v>
      </c>
      <c r="D4" s="43">
        <v>700</v>
      </c>
      <c r="E4" s="43">
        <v>800</v>
      </c>
      <c r="F4" s="43">
        <v>900</v>
      </c>
      <c r="G4" s="43">
        <v>1000</v>
      </c>
      <c r="H4" s="43">
        <v>1100</v>
      </c>
      <c r="I4" s="43">
        <v>1200</v>
      </c>
      <c r="J4" s="43">
        <v>1300</v>
      </c>
      <c r="K4" s="43">
        <v>1400</v>
      </c>
      <c r="L4" s="43">
        <v>1500</v>
      </c>
      <c r="M4" s="43">
        <v>1600</v>
      </c>
      <c r="N4" s="43">
        <v>1700</v>
      </c>
      <c r="O4" s="43">
        <v>1800</v>
      </c>
      <c r="P4" s="43">
        <v>1900</v>
      </c>
      <c r="Q4" s="43">
        <v>2000</v>
      </c>
    </row>
    <row r="5" spans="1:17" ht="15" customHeight="1" x14ac:dyDescent="0.25">
      <c r="A5" s="43">
        <v>750</v>
      </c>
      <c r="B5" s="44">
        <v>1305</v>
      </c>
      <c r="C5" s="44">
        <v>1345</v>
      </c>
      <c r="D5" s="44">
        <v>1384</v>
      </c>
      <c r="E5" s="44">
        <v>1424</v>
      </c>
      <c r="F5" s="44">
        <v>1465</v>
      </c>
      <c r="G5" s="44">
        <v>1501</v>
      </c>
      <c r="H5" s="44">
        <v>1541</v>
      </c>
      <c r="I5" s="44">
        <v>1581</v>
      </c>
      <c r="J5" s="44">
        <v>1619</v>
      </c>
      <c r="K5" s="44">
        <v>1658</v>
      </c>
      <c r="L5" s="44">
        <v>1699</v>
      </c>
      <c r="M5" s="44">
        <v>1738</v>
      </c>
      <c r="N5" s="44">
        <v>1768</v>
      </c>
      <c r="O5" s="44">
        <v>1778</v>
      </c>
      <c r="P5" s="44">
        <v>1806</v>
      </c>
      <c r="Q5" s="44">
        <v>1842</v>
      </c>
    </row>
    <row r="6" spans="1:17" ht="15" customHeight="1" x14ac:dyDescent="0.25">
      <c r="A6" s="43">
        <v>850</v>
      </c>
      <c r="B6" s="44">
        <v>1368</v>
      </c>
      <c r="C6" s="44">
        <v>1408</v>
      </c>
      <c r="D6" s="44">
        <v>1448</v>
      </c>
      <c r="E6" s="44">
        <v>1491</v>
      </c>
      <c r="F6" s="44">
        <v>1531</v>
      </c>
      <c r="G6" s="44">
        <v>1572</v>
      </c>
      <c r="H6" s="44">
        <v>1612</v>
      </c>
      <c r="I6" s="44">
        <v>1655</v>
      </c>
      <c r="J6" s="44">
        <v>1697</v>
      </c>
      <c r="K6" s="44">
        <v>1736</v>
      </c>
      <c r="L6" s="44">
        <v>1778</v>
      </c>
      <c r="M6" s="44">
        <v>1818</v>
      </c>
      <c r="N6" s="44">
        <v>1852</v>
      </c>
      <c r="O6" s="44">
        <v>1859</v>
      </c>
      <c r="P6" s="44">
        <v>1892</v>
      </c>
      <c r="Q6" s="44">
        <v>1931</v>
      </c>
    </row>
    <row r="7" spans="1:17" ht="15" customHeight="1" x14ac:dyDescent="0.25">
      <c r="A7" s="43">
        <v>950</v>
      </c>
      <c r="B7" s="44">
        <v>1430</v>
      </c>
      <c r="C7" s="44">
        <v>1474</v>
      </c>
      <c r="D7" s="44">
        <v>1516</v>
      </c>
      <c r="E7" s="44">
        <v>1558</v>
      </c>
      <c r="F7" s="44">
        <v>1600</v>
      </c>
      <c r="G7" s="44">
        <v>1644</v>
      </c>
      <c r="H7" s="44">
        <v>1685</v>
      </c>
      <c r="I7" s="44">
        <v>1727</v>
      </c>
      <c r="J7" s="44">
        <v>1768</v>
      </c>
      <c r="K7" s="44">
        <v>1813</v>
      </c>
      <c r="L7" s="44">
        <v>1857</v>
      </c>
      <c r="M7" s="44">
        <v>1897</v>
      </c>
      <c r="N7" s="44">
        <v>1932</v>
      </c>
      <c r="O7" s="44">
        <v>1940</v>
      </c>
      <c r="P7" s="44">
        <v>1973</v>
      </c>
      <c r="Q7" s="44">
        <v>2014</v>
      </c>
    </row>
    <row r="8" spans="1:17" ht="15" customHeight="1" x14ac:dyDescent="0.25">
      <c r="A8" s="43">
        <v>1050</v>
      </c>
      <c r="B8" s="44">
        <v>1493</v>
      </c>
      <c r="C8" s="44">
        <v>1538</v>
      </c>
      <c r="D8" s="44">
        <v>1582</v>
      </c>
      <c r="E8" s="44">
        <v>1625</v>
      </c>
      <c r="F8" s="44">
        <v>1669</v>
      </c>
      <c r="G8" s="44">
        <v>1712</v>
      </c>
      <c r="H8" s="44">
        <v>1757</v>
      </c>
      <c r="I8" s="44">
        <v>1801</v>
      </c>
      <c r="J8" s="44">
        <v>1844</v>
      </c>
      <c r="K8" s="44">
        <v>1888</v>
      </c>
      <c r="L8" s="44">
        <v>1932</v>
      </c>
      <c r="M8" s="44">
        <v>1978</v>
      </c>
      <c r="N8" s="44">
        <v>2016</v>
      </c>
      <c r="O8" s="44">
        <v>2023</v>
      </c>
      <c r="P8" s="44">
        <v>2059</v>
      </c>
      <c r="Q8" s="44">
        <v>2102</v>
      </c>
    </row>
    <row r="9" spans="1:17" ht="15" customHeight="1" x14ac:dyDescent="0.25">
      <c r="A9" s="43">
        <v>1150</v>
      </c>
      <c r="B9" s="44">
        <v>1555</v>
      </c>
      <c r="C9" s="44">
        <v>1601</v>
      </c>
      <c r="D9" s="44">
        <v>1648</v>
      </c>
      <c r="E9" s="44">
        <v>1696</v>
      </c>
      <c r="F9" s="44">
        <v>1739</v>
      </c>
      <c r="G9" s="44">
        <v>1783</v>
      </c>
      <c r="H9" s="44">
        <v>1829</v>
      </c>
      <c r="I9" s="44">
        <v>1875</v>
      </c>
      <c r="J9" s="44">
        <v>1921</v>
      </c>
      <c r="K9" s="44">
        <v>1967</v>
      </c>
      <c r="L9" s="44">
        <v>2012</v>
      </c>
      <c r="M9" s="44">
        <v>2057</v>
      </c>
      <c r="N9" s="44">
        <v>2094</v>
      </c>
      <c r="O9" s="44">
        <v>2101</v>
      </c>
      <c r="P9" s="44">
        <v>2138</v>
      </c>
      <c r="Q9" s="44">
        <v>2181</v>
      </c>
    </row>
    <row r="10" spans="1:17" ht="15" customHeight="1" x14ac:dyDescent="0.25">
      <c r="A10" s="43">
        <v>1250</v>
      </c>
      <c r="B10" s="44">
        <v>1619</v>
      </c>
      <c r="C10" s="44">
        <v>1666</v>
      </c>
      <c r="D10" s="44">
        <v>1712</v>
      </c>
      <c r="E10" s="44">
        <v>1759</v>
      </c>
      <c r="F10" s="44">
        <v>1807</v>
      </c>
      <c r="G10" s="44">
        <v>1857</v>
      </c>
      <c r="H10" s="44">
        <v>1903</v>
      </c>
      <c r="I10" s="44">
        <v>1949</v>
      </c>
      <c r="J10" s="44">
        <v>1996</v>
      </c>
      <c r="K10" s="44">
        <v>2045</v>
      </c>
      <c r="L10" s="44">
        <v>2091</v>
      </c>
      <c r="M10" s="44">
        <v>2138</v>
      </c>
      <c r="N10" s="44">
        <v>2178</v>
      </c>
      <c r="O10" s="44">
        <v>2184</v>
      </c>
      <c r="P10" s="44">
        <v>2224</v>
      </c>
      <c r="Q10" s="44">
        <v>2270</v>
      </c>
    </row>
    <row r="11" spans="1:17" ht="15" customHeight="1" x14ac:dyDescent="0.25">
      <c r="A11" s="43">
        <v>1350</v>
      </c>
      <c r="B11" s="44">
        <v>1680</v>
      </c>
      <c r="C11" s="44">
        <v>1728</v>
      </c>
      <c r="D11" s="44">
        <v>1780</v>
      </c>
      <c r="E11" s="44">
        <v>1828</v>
      </c>
      <c r="F11" s="44">
        <v>1877</v>
      </c>
      <c r="G11" s="44">
        <v>1924</v>
      </c>
      <c r="H11" s="44">
        <v>1973</v>
      </c>
      <c r="I11" s="44">
        <v>2024</v>
      </c>
      <c r="J11" s="44">
        <v>2073</v>
      </c>
      <c r="K11" s="44">
        <v>2119</v>
      </c>
      <c r="L11" s="44">
        <v>2170</v>
      </c>
      <c r="M11" s="44">
        <v>2217</v>
      </c>
      <c r="N11" s="44">
        <v>2260</v>
      </c>
      <c r="O11" s="44">
        <v>2266</v>
      </c>
      <c r="P11" s="44">
        <v>2308</v>
      </c>
      <c r="Q11" s="44">
        <v>2357</v>
      </c>
    </row>
    <row r="12" spans="1:17" ht="15" customHeight="1" x14ac:dyDescent="0.25">
      <c r="A12" s="43">
        <v>1450</v>
      </c>
      <c r="B12" s="44">
        <v>1746</v>
      </c>
      <c r="C12" s="44">
        <v>1794</v>
      </c>
      <c r="D12" s="44">
        <v>1844</v>
      </c>
      <c r="E12" s="44">
        <v>1894</v>
      </c>
      <c r="F12" s="44">
        <v>1944</v>
      </c>
      <c r="G12" s="44">
        <v>1996</v>
      </c>
      <c r="H12" s="44">
        <v>2047</v>
      </c>
      <c r="I12" s="44">
        <v>2096</v>
      </c>
      <c r="J12" s="44">
        <v>2148</v>
      </c>
      <c r="K12" s="44">
        <v>2197</v>
      </c>
      <c r="L12" s="44">
        <v>2249</v>
      </c>
      <c r="M12" s="44">
        <v>2299</v>
      </c>
      <c r="N12" s="44">
        <v>2339</v>
      </c>
      <c r="O12" s="44">
        <v>2349</v>
      </c>
      <c r="P12" s="44">
        <v>2387</v>
      </c>
      <c r="Q12" s="44">
        <v>2437</v>
      </c>
    </row>
    <row r="13" spans="1:17" ht="15" customHeight="1" x14ac:dyDescent="0.25">
      <c r="A13" s="43">
        <v>1550</v>
      </c>
      <c r="B13" s="44">
        <v>1806</v>
      </c>
      <c r="C13" s="44">
        <v>1861</v>
      </c>
      <c r="D13" s="44">
        <v>1911</v>
      </c>
      <c r="E13" s="44">
        <v>1964</v>
      </c>
      <c r="F13" s="44">
        <v>2016</v>
      </c>
      <c r="G13" s="44">
        <v>2067</v>
      </c>
      <c r="H13" s="44">
        <v>2117</v>
      </c>
      <c r="I13" s="44">
        <v>2171</v>
      </c>
      <c r="J13" s="44">
        <v>2222</v>
      </c>
      <c r="K13" s="44">
        <v>2273</v>
      </c>
      <c r="L13" s="44">
        <v>2327</v>
      </c>
      <c r="M13" s="44">
        <v>2378</v>
      </c>
      <c r="N13" s="44">
        <v>2421</v>
      </c>
      <c r="O13" s="44">
        <v>2429</v>
      </c>
      <c r="P13" s="44">
        <v>2469</v>
      </c>
      <c r="Q13" s="44">
        <v>2520</v>
      </c>
    </row>
    <row r="14" spans="1:17" ht="15" customHeight="1" x14ac:dyDescent="0.25">
      <c r="A14" s="43">
        <v>1650</v>
      </c>
      <c r="B14" s="44">
        <v>1870</v>
      </c>
      <c r="C14" s="44">
        <v>1922</v>
      </c>
      <c r="D14" s="44">
        <v>1976</v>
      </c>
      <c r="E14" s="44">
        <v>2031</v>
      </c>
      <c r="F14" s="44">
        <v>2087</v>
      </c>
      <c r="G14" s="44">
        <v>2137</v>
      </c>
      <c r="H14" s="44">
        <v>2192</v>
      </c>
      <c r="I14" s="44">
        <v>2246</v>
      </c>
      <c r="J14" s="44">
        <v>2298</v>
      </c>
      <c r="K14" s="44">
        <v>2351</v>
      </c>
      <c r="L14" s="44">
        <v>2407</v>
      </c>
      <c r="M14" s="44">
        <v>2460</v>
      </c>
      <c r="N14" s="44">
        <v>2512</v>
      </c>
      <c r="O14" s="44">
        <v>2503</v>
      </c>
      <c r="P14" s="44">
        <v>2554</v>
      </c>
      <c r="Q14" s="44">
        <v>2606</v>
      </c>
    </row>
    <row r="15" spans="1:17" ht="15" customHeight="1" x14ac:dyDescent="0.25">
      <c r="A15" s="43">
        <v>1750</v>
      </c>
      <c r="B15" s="44">
        <v>1931</v>
      </c>
      <c r="C15" s="44">
        <v>1987</v>
      </c>
      <c r="D15" s="44">
        <v>2043</v>
      </c>
      <c r="E15" s="44">
        <v>2097</v>
      </c>
      <c r="F15" s="44">
        <v>2153</v>
      </c>
      <c r="G15" s="44">
        <v>2207</v>
      </c>
      <c r="H15" s="44">
        <v>2262</v>
      </c>
      <c r="I15" s="44">
        <v>2318</v>
      </c>
      <c r="J15" s="44">
        <v>2374</v>
      </c>
      <c r="K15" s="44">
        <v>2428</v>
      </c>
      <c r="L15" s="44">
        <v>2483</v>
      </c>
      <c r="M15" s="44">
        <v>2538</v>
      </c>
      <c r="N15" s="44">
        <v>2821</v>
      </c>
      <c r="O15" s="44">
        <v>3030</v>
      </c>
      <c r="P15" s="44">
        <v>3307</v>
      </c>
      <c r="Q15" s="44">
        <v>3585</v>
      </c>
    </row>
    <row r="16" spans="1:17" ht="15" customHeight="1" x14ac:dyDescent="0.25">
      <c r="A16" s="43">
        <v>1850</v>
      </c>
      <c r="B16" s="44">
        <v>1995</v>
      </c>
      <c r="C16" s="44">
        <v>2051</v>
      </c>
      <c r="D16" s="44">
        <v>2109</v>
      </c>
      <c r="E16" s="44">
        <v>2165</v>
      </c>
      <c r="F16" s="44">
        <v>2220</v>
      </c>
      <c r="G16" s="44">
        <v>2277</v>
      </c>
      <c r="H16" s="44">
        <v>2334</v>
      </c>
      <c r="I16" s="44">
        <v>2389</v>
      </c>
      <c r="J16" s="44">
        <v>2449</v>
      </c>
      <c r="K16" s="44">
        <v>2505</v>
      </c>
      <c r="L16" s="44">
        <v>2561</v>
      </c>
      <c r="M16" s="44">
        <v>2863</v>
      </c>
      <c r="N16" s="44">
        <v>2916</v>
      </c>
      <c r="O16" s="44">
        <v>2899</v>
      </c>
      <c r="P16" s="44">
        <v>2951</v>
      </c>
      <c r="Q16" s="44">
        <v>3004</v>
      </c>
    </row>
    <row r="17" spans="1:17" ht="15" customHeight="1" x14ac:dyDescent="0.25">
      <c r="A17" s="43">
        <v>1950</v>
      </c>
      <c r="B17" s="44">
        <v>2056</v>
      </c>
      <c r="C17" s="44">
        <v>2115</v>
      </c>
      <c r="D17" s="44">
        <v>2173</v>
      </c>
      <c r="E17" s="44">
        <v>2230</v>
      </c>
      <c r="F17" s="44">
        <v>2292</v>
      </c>
      <c r="G17" s="44">
        <v>2350</v>
      </c>
      <c r="H17" s="44">
        <v>2409</v>
      </c>
      <c r="I17" s="44">
        <v>2465</v>
      </c>
      <c r="J17" s="44">
        <v>2525</v>
      </c>
      <c r="K17" s="44">
        <v>2584</v>
      </c>
      <c r="L17" s="44">
        <v>2860</v>
      </c>
      <c r="M17" s="44">
        <v>2936</v>
      </c>
      <c r="N17" s="44">
        <v>3012</v>
      </c>
      <c r="O17" s="44">
        <v>3009</v>
      </c>
      <c r="P17" s="44">
        <v>3080</v>
      </c>
      <c r="Q17" s="44">
        <v>3153</v>
      </c>
    </row>
    <row r="18" spans="1:17" ht="15" customHeight="1" x14ac:dyDescent="0.25">
      <c r="A18" s="43">
        <v>2050</v>
      </c>
      <c r="B18" s="44">
        <v>2119</v>
      </c>
      <c r="C18" s="44">
        <v>2180</v>
      </c>
      <c r="D18" s="44">
        <v>2242</v>
      </c>
      <c r="E18" s="44">
        <v>2299</v>
      </c>
      <c r="F18" s="44">
        <v>2361</v>
      </c>
      <c r="G18" s="44">
        <v>2421</v>
      </c>
      <c r="H18" s="44">
        <v>2481</v>
      </c>
      <c r="I18" s="44">
        <v>2539</v>
      </c>
      <c r="J18" s="44">
        <v>2597</v>
      </c>
      <c r="K18" s="44">
        <v>2659</v>
      </c>
      <c r="L18" s="44">
        <v>2955</v>
      </c>
      <c r="M18" s="44">
        <v>3031</v>
      </c>
      <c r="N18" s="44">
        <v>3108</v>
      </c>
      <c r="O18" s="44">
        <v>3103</v>
      </c>
      <c r="P18" s="44">
        <v>3175</v>
      </c>
      <c r="Q18" s="44">
        <v>3596</v>
      </c>
    </row>
    <row r="19" spans="1:17" ht="15" customHeight="1" x14ac:dyDescent="0.25">
      <c r="A19" s="43">
        <v>2150</v>
      </c>
      <c r="B19" s="44">
        <v>2182</v>
      </c>
      <c r="C19" s="44">
        <v>2246</v>
      </c>
      <c r="D19" s="44">
        <v>2306</v>
      </c>
      <c r="E19" s="44">
        <v>2368</v>
      </c>
      <c r="F19" s="44">
        <v>2428</v>
      </c>
      <c r="G19" s="44">
        <v>2491</v>
      </c>
      <c r="H19" s="44">
        <v>2550</v>
      </c>
      <c r="I19" s="44">
        <v>2614</v>
      </c>
      <c r="J19" s="44">
        <v>2674</v>
      </c>
      <c r="K19" s="44">
        <v>2969</v>
      </c>
      <c r="L19" s="44">
        <v>3046</v>
      </c>
      <c r="M19" s="44">
        <v>3122</v>
      </c>
      <c r="N19" s="44">
        <v>3201</v>
      </c>
      <c r="O19" s="44">
        <v>3200</v>
      </c>
      <c r="P19" s="44">
        <v>3623</v>
      </c>
      <c r="Q19" s="44">
        <v>3717</v>
      </c>
    </row>
    <row r="20" spans="1:17" ht="15" customHeight="1" x14ac:dyDescent="0.25">
      <c r="A20" s="43">
        <v>2250</v>
      </c>
      <c r="B20" s="44">
        <v>2247</v>
      </c>
      <c r="C20" s="44">
        <v>2308</v>
      </c>
      <c r="D20" s="44">
        <v>2373</v>
      </c>
      <c r="E20" s="44">
        <v>2433</v>
      </c>
      <c r="F20" s="44">
        <v>2498</v>
      </c>
      <c r="G20" s="44">
        <v>2560</v>
      </c>
      <c r="H20" s="44">
        <v>2626</v>
      </c>
      <c r="I20" s="44">
        <v>2687</v>
      </c>
      <c r="J20" s="44">
        <v>3009</v>
      </c>
      <c r="K20" s="44">
        <v>3055</v>
      </c>
      <c r="L20" s="44">
        <v>3134</v>
      </c>
      <c r="M20" s="44">
        <v>3214</v>
      </c>
      <c r="N20" s="44">
        <v>3295</v>
      </c>
      <c r="O20" s="44">
        <v>3637</v>
      </c>
      <c r="P20" s="44">
        <v>3738</v>
      </c>
      <c r="Q20" s="44">
        <v>3836</v>
      </c>
    </row>
    <row r="21" spans="1:17" ht="15" customHeight="1" x14ac:dyDescent="0.25">
      <c r="A21" s="43">
        <v>2350</v>
      </c>
      <c r="B21" s="44">
        <v>2337</v>
      </c>
      <c r="C21" s="44">
        <v>2402</v>
      </c>
      <c r="D21" s="44">
        <v>2464</v>
      </c>
      <c r="E21" s="44">
        <v>2529</v>
      </c>
      <c r="F21" s="44">
        <v>2593</v>
      </c>
      <c r="G21" s="44">
        <v>2659</v>
      </c>
      <c r="H21" s="44">
        <v>2723</v>
      </c>
      <c r="I21" s="44">
        <v>2787</v>
      </c>
      <c r="J21" s="44">
        <v>3087</v>
      </c>
      <c r="K21" s="44">
        <v>3169</v>
      </c>
      <c r="L21" s="44">
        <v>3253</v>
      </c>
      <c r="M21" s="44">
        <v>3336</v>
      </c>
      <c r="N21" s="44">
        <v>3418</v>
      </c>
      <c r="O21" s="44">
        <v>3774</v>
      </c>
      <c r="P21" s="44">
        <v>3872</v>
      </c>
      <c r="Q21" s="44">
        <v>3972</v>
      </c>
    </row>
    <row r="23" spans="1:17" ht="15" customHeight="1" x14ac:dyDescent="0.25">
      <c r="A23" s="121" t="s">
        <v>261</v>
      </c>
      <c r="B23" s="93"/>
      <c r="C23" s="93"/>
      <c r="D23" s="93"/>
      <c r="E23" s="93"/>
      <c r="F23" s="93"/>
      <c r="G23" s="93"/>
      <c r="H23" s="93"/>
      <c r="I23" s="93"/>
      <c r="J23" s="93"/>
      <c r="K23" s="93"/>
      <c r="L23" s="93"/>
      <c r="M23" s="93"/>
      <c r="N23" s="93"/>
      <c r="O23" s="93"/>
      <c r="P23" s="93"/>
      <c r="Q23" s="93"/>
    </row>
    <row r="24" spans="1:17" ht="15" customHeight="1" x14ac:dyDescent="0.25">
      <c r="A24" s="43" t="s">
        <v>260</v>
      </c>
      <c r="B24" s="43">
        <v>500</v>
      </c>
      <c r="C24" s="43">
        <v>600</v>
      </c>
      <c r="D24" s="43">
        <v>700</v>
      </c>
      <c r="E24" s="43">
        <v>800</v>
      </c>
      <c r="F24" s="43">
        <v>900</v>
      </c>
      <c r="G24" s="43">
        <v>1000</v>
      </c>
      <c r="H24" s="43">
        <v>1100</v>
      </c>
      <c r="I24" s="43">
        <v>1200</v>
      </c>
      <c r="J24" s="43">
        <v>1300</v>
      </c>
      <c r="K24" s="43">
        <v>1400</v>
      </c>
      <c r="L24" s="43">
        <v>1500</v>
      </c>
      <c r="M24" s="43">
        <v>1600</v>
      </c>
      <c r="N24" s="43">
        <v>1700</v>
      </c>
      <c r="O24" s="43">
        <v>1800</v>
      </c>
      <c r="P24" s="43">
        <v>1900</v>
      </c>
      <c r="Q24" s="43">
        <v>2000</v>
      </c>
    </row>
    <row r="25" spans="1:17" ht="15" customHeight="1" x14ac:dyDescent="0.25">
      <c r="A25" s="43">
        <v>750</v>
      </c>
      <c r="B25" s="45">
        <v>0.5</v>
      </c>
      <c r="C25" s="45">
        <v>0.5</v>
      </c>
      <c r="D25" s="45">
        <v>0.5</v>
      </c>
      <c r="E25" s="45">
        <v>0.5</v>
      </c>
      <c r="F25" s="45">
        <v>0.5</v>
      </c>
      <c r="G25" s="45">
        <v>0.5</v>
      </c>
      <c r="H25" s="45">
        <v>0.5</v>
      </c>
      <c r="I25" s="45">
        <v>0.5</v>
      </c>
      <c r="J25" s="45">
        <v>0.5</v>
      </c>
      <c r="K25" s="45">
        <v>0.5</v>
      </c>
      <c r="L25" s="45">
        <v>0.5</v>
      </c>
      <c r="M25" s="45">
        <v>0.5</v>
      </c>
      <c r="N25" s="45">
        <v>0.5</v>
      </c>
      <c r="O25" s="45">
        <v>0.5</v>
      </c>
      <c r="P25" s="45">
        <v>0.5</v>
      </c>
      <c r="Q25" s="45">
        <v>0.5</v>
      </c>
    </row>
    <row r="26" spans="1:17" ht="15" customHeight="1" x14ac:dyDescent="0.25">
      <c r="A26" s="43">
        <v>850</v>
      </c>
      <c r="B26" s="45">
        <v>0.5</v>
      </c>
      <c r="C26" s="45">
        <v>0.5</v>
      </c>
      <c r="D26" s="45">
        <v>0.5</v>
      </c>
      <c r="E26" s="45">
        <v>0.5</v>
      </c>
      <c r="F26" s="45">
        <v>0.5</v>
      </c>
      <c r="G26" s="45">
        <v>0.5</v>
      </c>
      <c r="H26" s="45">
        <v>0.5</v>
      </c>
      <c r="I26" s="45">
        <v>0.5</v>
      </c>
      <c r="J26" s="45">
        <v>0.5</v>
      </c>
      <c r="K26" s="45">
        <v>0.5</v>
      </c>
      <c r="L26" s="45">
        <v>0.5</v>
      </c>
      <c r="M26" s="45">
        <v>0.5</v>
      </c>
      <c r="N26" s="45">
        <v>0.5</v>
      </c>
      <c r="O26" s="45">
        <v>0.53</v>
      </c>
      <c r="P26" s="45">
        <v>0.56000000000000005</v>
      </c>
      <c r="Q26" s="45">
        <v>0.59</v>
      </c>
    </row>
    <row r="27" spans="1:17" ht="15" customHeight="1" x14ac:dyDescent="0.25">
      <c r="A27" s="43">
        <v>950</v>
      </c>
      <c r="B27" s="45">
        <v>0.5</v>
      </c>
      <c r="C27" s="45">
        <v>0.5</v>
      </c>
      <c r="D27" s="45">
        <v>0.5</v>
      </c>
      <c r="E27" s="45">
        <v>0.5</v>
      </c>
      <c r="F27" s="45">
        <v>0.5</v>
      </c>
      <c r="G27" s="45">
        <v>0.5</v>
      </c>
      <c r="H27" s="45">
        <v>0.5</v>
      </c>
      <c r="I27" s="45">
        <v>0.5</v>
      </c>
      <c r="J27" s="45">
        <v>0.5</v>
      </c>
      <c r="K27" s="45">
        <v>0.5</v>
      </c>
      <c r="L27" s="45">
        <v>0.5</v>
      </c>
      <c r="M27" s="45">
        <v>0.5</v>
      </c>
      <c r="N27" s="45">
        <v>0.56999999999999995</v>
      </c>
      <c r="O27" s="45">
        <v>0.61</v>
      </c>
      <c r="P27" s="45">
        <v>0.64</v>
      </c>
      <c r="Q27" s="45">
        <v>0.68</v>
      </c>
    </row>
    <row r="28" spans="1:17" ht="15" customHeight="1" x14ac:dyDescent="0.25">
      <c r="A28" s="43">
        <v>1050</v>
      </c>
      <c r="B28" s="45">
        <v>0.5</v>
      </c>
      <c r="C28" s="45">
        <v>0.5</v>
      </c>
      <c r="D28" s="45">
        <v>0.5</v>
      </c>
      <c r="E28" s="45">
        <v>0.5</v>
      </c>
      <c r="F28" s="45">
        <v>0.5</v>
      </c>
      <c r="G28" s="45">
        <v>0.5</v>
      </c>
      <c r="H28" s="45">
        <v>0.5</v>
      </c>
      <c r="I28" s="45">
        <v>0.5</v>
      </c>
      <c r="J28" s="45">
        <v>0.5</v>
      </c>
      <c r="K28" s="45">
        <v>0.5</v>
      </c>
      <c r="L28" s="45">
        <v>0.51</v>
      </c>
      <c r="M28" s="45">
        <v>0.56000000000000005</v>
      </c>
      <c r="N28" s="45">
        <v>0.6</v>
      </c>
      <c r="O28" s="45">
        <v>0.64</v>
      </c>
      <c r="P28" s="45">
        <v>0.69</v>
      </c>
      <c r="Q28" s="45">
        <v>0.73</v>
      </c>
    </row>
    <row r="29" spans="1:17" ht="15" customHeight="1" x14ac:dyDescent="0.25">
      <c r="A29" s="43">
        <v>1150</v>
      </c>
      <c r="B29" s="45">
        <v>0.5</v>
      </c>
      <c r="C29" s="45">
        <v>0.5</v>
      </c>
      <c r="D29" s="45">
        <v>0.5</v>
      </c>
      <c r="E29" s="45">
        <v>0.5</v>
      </c>
      <c r="F29" s="45">
        <v>0.5</v>
      </c>
      <c r="G29" s="45">
        <v>0.5</v>
      </c>
      <c r="H29" s="45">
        <v>0.5</v>
      </c>
      <c r="I29" s="45">
        <v>0.5</v>
      </c>
      <c r="J29" s="45">
        <v>0.5</v>
      </c>
      <c r="K29" s="45">
        <v>0.51</v>
      </c>
      <c r="L29" s="45">
        <v>0.56999999999999995</v>
      </c>
      <c r="M29" s="45">
        <v>0.62</v>
      </c>
      <c r="N29" s="45">
        <v>0.67</v>
      </c>
      <c r="O29" s="45">
        <v>0.72</v>
      </c>
      <c r="P29" s="45">
        <v>0.77</v>
      </c>
      <c r="Q29" s="45">
        <v>0.81</v>
      </c>
    </row>
    <row r="30" spans="1:17" ht="15" customHeight="1" x14ac:dyDescent="0.25">
      <c r="A30" s="43">
        <v>1250</v>
      </c>
      <c r="B30" s="45">
        <v>0.5</v>
      </c>
      <c r="C30" s="45">
        <v>0.5</v>
      </c>
      <c r="D30" s="45">
        <v>0.5</v>
      </c>
      <c r="E30" s="45">
        <v>0.5</v>
      </c>
      <c r="F30" s="45">
        <v>0.5</v>
      </c>
      <c r="G30" s="45">
        <v>0.5</v>
      </c>
      <c r="H30" s="45">
        <v>0.5</v>
      </c>
      <c r="I30" s="45">
        <v>0.53</v>
      </c>
      <c r="J30" s="45">
        <v>0.57999999999999996</v>
      </c>
      <c r="K30" s="45">
        <v>0.63</v>
      </c>
      <c r="L30" s="45">
        <v>0.69</v>
      </c>
      <c r="M30" s="45">
        <v>0.74</v>
      </c>
      <c r="N30" s="45">
        <v>0.79</v>
      </c>
      <c r="O30" s="45">
        <v>0.85</v>
      </c>
      <c r="P30" s="45">
        <v>0.9</v>
      </c>
      <c r="Q30" s="45">
        <v>0.95</v>
      </c>
    </row>
    <row r="31" spans="1:17" ht="15" customHeight="1" x14ac:dyDescent="0.25">
      <c r="A31" s="43">
        <v>1350</v>
      </c>
      <c r="B31" s="45">
        <v>0.5</v>
      </c>
      <c r="C31" s="45">
        <v>0.5</v>
      </c>
      <c r="D31" s="45">
        <v>0.5</v>
      </c>
      <c r="E31" s="45">
        <v>0.5</v>
      </c>
      <c r="F31" s="45">
        <v>0.5</v>
      </c>
      <c r="G31" s="45">
        <v>0.5</v>
      </c>
      <c r="H31" s="45">
        <v>0.52</v>
      </c>
      <c r="I31" s="45">
        <v>0.57999999999999996</v>
      </c>
      <c r="J31" s="45">
        <v>0.63</v>
      </c>
      <c r="K31" s="45">
        <v>0.69</v>
      </c>
      <c r="L31" s="45">
        <v>0.75</v>
      </c>
      <c r="M31" s="45">
        <v>0.81</v>
      </c>
      <c r="N31" s="45">
        <v>0.87</v>
      </c>
      <c r="O31" s="45">
        <v>0.92</v>
      </c>
      <c r="P31" s="45">
        <v>0.98</v>
      </c>
      <c r="Q31" s="45">
        <v>1.04</v>
      </c>
    </row>
    <row r="32" spans="1:17" ht="15" customHeight="1" x14ac:dyDescent="0.25">
      <c r="A32" s="43">
        <v>1450</v>
      </c>
      <c r="B32" s="45">
        <v>0.5</v>
      </c>
      <c r="C32" s="45">
        <v>0.5</v>
      </c>
      <c r="D32" s="45">
        <v>0.5</v>
      </c>
      <c r="E32" s="45">
        <v>0.5</v>
      </c>
      <c r="F32" s="45">
        <v>0.51</v>
      </c>
      <c r="G32" s="45">
        <v>0.56999999999999995</v>
      </c>
      <c r="H32" s="45">
        <v>0.63</v>
      </c>
      <c r="I32" s="45">
        <v>0.69</v>
      </c>
      <c r="J32" s="45">
        <v>0.75</v>
      </c>
      <c r="K32" s="45">
        <v>0.81</v>
      </c>
      <c r="L32" s="45">
        <v>0.87</v>
      </c>
      <c r="M32" s="45">
        <v>0.94</v>
      </c>
      <c r="N32" s="45">
        <v>1</v>
      </c>
      <c r="O32" s="45">
        <v>1.07</v>
      </c>
      <c r="P32" s="45">
        <v>1.1299999999999999</v>
      </c>
      <c r="Q32" s="45">
        <v>1.19</v>
      </c>
    </row>
    <row r="33" spans="1:17" ht="15" customHeight="1" x14ac:dyDescent="0.25">
      <c r="A33" s="43">
        <v>1550</v>
      </c>
      <c r="B33" s="45">
        <v>0.5</v>
      </c>
      <c r="C33" s="45">
        <v>0.5</v>
      </c>
      <c r="D33" s="45">
        <v>0.5</v>
      </c>
      <c r="E33" s="45">
        <v>0.54</v>
      </c>
      <c r="F33" s="45">
        <v>0.61</v>
      </c>
      <c r="G33" s="45">
        <v>0.68</v>
      </c>
      <c r="H33" s="45">
        <v>0.74</v>
      </c>
      <c r="I33" s="45">
        <v>0.81</v>
      </c>
      <c r="J33" s="45">
        <v>0.88</v>
      </c>
      <c r="K33" s="45">
        <v>0.95</v>
      </c>
      <c r="L33" s="45">
        <v>1.02</v>
      </c>
      <c r="M33" s="45">
        <v>1.08</v>
      </c>
      <c r="N33" s="45">
        <v>1.1499999999999999</v>
      </c>
      <c r="O33" s="45">
        <v>1.22</v>
      </c>
      <c r="P33" s="45">
        <v>1.29</v>
      </c>
      <c r="Q33" s="45">
        <v>1.36</v>
      </c>
    </row>
    <row r="34" spans="1:17" ht="15" customHeight="1" x14ac:dyDescent="0.25">
      <c r="A34" s="43">
        <v>1650</v>
      </c>
      <c r="B34" s="45">
        <v>0.5</v>
      </c>
      <c r="C34" s="45">
        <v>0.5</v>
      </c>
      <c r="D34" s="45">
        <v>0.51</v>
      </c>
      <c r="E34" s="45">
        <v>0.57999999999999996</v>
      </c>
      <c r="F34" s="45">
        <v>0.65</v>
      </c>
      <c r="G34" s="45">
        <v>0.72</v>
      </c>
      <c r="H34" s="45">
        <v>0.8</v>
      </c>
      <c r="I34" s="45">
        <v>0.87</v>
      </c>
      <c r="J34" s="45">
        <v>0.95</v>
      </c>
      <c r="K34" s="45">
        <v>1.02</v>
      </c>
      <c r="L34" s="45">
        <v>1.0900000000000001</v>
      </c>
      <c r="M34" s="45">
        <v>1.1599999999999999</v>
      </c>
      <c r="N34" s="45">
        <v>1.24</v>
      </c>
      <c r="O34" s="45">
        <v>1.31</v>
      </c>
      <c r="P34" s="45">
        <v>1.38</v>
      </c>
      <c r="Q34" s="45">
        <v>1.45</v>
      </c>
    </row>
    <row r="35" spans="1:17" ht="15" customHeight="1" x14ac:dyDescent="0.25">
      <c r="A35" s="43">
        <v>1750</v>
      </c>
      <c r="B35" s="45">
        <v>0.5</v>
      </c>
      <c r="C35" s="45">
        <v>0.5</v>
      </c>
      <c r="D35" s="45">
        <v>0.54</v>
      </c>
      <c r="E35" s="45">
        <v>0.62</v>
      </c>
      <c r="F35" s="45">
        <v>0.7</v>
      </c>
      <c r="G35" s="45">
        <v>0.77</v>
      </c>
      <c r="H35" s="45">
        <v>0.85</v>
      </c>
      <c r="I35" s="45">
        <v>0.93</v>
      </c>
      <c r="J35" s="45">
        <v>1.01</v>
      </c>
      <c r="K35" s="45">
        <v>1.0900000000000001</v>
      </c>
      <c r="L35" s="45">
        <v>1.1599999999999999</v>
      </c>
      <c r="M35" s="45">
        <v>1.24</v>
      </c>
      <c r="N35" s="45">
        <v>1.32</v>
      </c>
      <c r="O35" s="45">
        <v>1.4</v>
      </c>
      <c r="P35" s="45">
        <v>1.48</v>
      </c>
      <c r="Q35" s="45">
        <v>1.56</v>
      </c>
    </row>
    <row r="36" spans="1:17" ht="15" customHeight="1" x14ac:dyDescent="0.25">
      <c r="A36" s="43">
        <v>1850</v>
      </c>
      <c r="B36" s="45">
        <v>0.5</v>
      </c>
      <c r="C36" s="45">
        <v>0.5</v>
      </c>
      <c r="D36" s="45">
        <v>0.56999999999999995</v>
      </c>
      <c r="E36" s="45">
        <v>0.65</v>
      </c>
      <c r="F36" s="45">
        <v>0.74</v>
      </c>
      <c r="G36" s="45">
        <v>0.82</v>
      </c>
      <c r="H36" s="45">
        <v>0.91</v>
      </c>
      <c r="I36" s="45">
        <v>0.99</v>
      </c>
      <c r="J36" s="45">
        <v>1.07</v>
      </c>
      <c r="K36" s="45">
        <v>1.1599999999999999</v>
      </c>
      <c r="L36" s="45">
        <v>1.24</v>
      </c>
      <c r="M36" s="45">
        <v>1.32</v>
      </c>
      <c r="N36" s="45">
        <v>1.41</v>
      </c>
      <c r="O36" s="45">
        <v>1.49</v>
      </c>
      <c r="P36" s="45">
        <v>1.58</v>
      </c>
      <c r="Q36" s="45">
        <v>1.66</v>
      </c>
    </row>
    <row r="37" spans="1:17" ht="15" customHeight="1" x14ac:dyDescent="0.25">
      <c r="A37" s="43">
        <v>1950</v>
      </c>
      <c r="B37" s="45">
        <v>0.5</v>
      </c>
      <c r="C37" s="45">
        <v>0.55000000000000004</v>
      </c>
      <c r="D37" s="45">
        <v>0.61</v>
      </c>
      <c r="E37" s="45">
        <v>0.7</v>
      </c>
      <c r="F37" s="45">
        <v>0.79</v>
      </c>
      <c r="G37" s="45">
        <v>0.88</v>
      </c>
      <c r="H37" s="45">
        <v>0.96</v>
      </c>
      <c r="I37" s="45">
        <v>1.05</v>
      </c>
      <c r="J37" s="45">
        <v>1.1399999999999999</v>
      </c>
      <c r="K37" s="45">
        <v>1.22</v>
      </c>
      <c r="L37" s="45">
        <v>1.31</v>
      </c>
      <c r="M37" s="45">
        <v>1.41</v>
      </c>
      <c r="N37" s="45">
        <v>1.49</v>
      </c>
      <c r="O37" s="45">
        <v>1.58</v>
      </c>
      <c r="P37" s="45">
        <v>1.67</v>
      </c>
      <c r="Q37" s="45">
        <v>1.76</v>
      </c>
    </row>
    <row r="38" spans="1:17" ht="15" customHeight="1" x14ac:dyDescent="0.25">
      <c r="A38" s="43">
        <v>2050</v>
      </c>
      <c r="B38" s="45">
        <v>0.5</v>
      </c>
      <c r="C38" s="45">
        <v>0.57999999999999996</v>
      </c>
      <c r="D38" s="45">
        <v>0.64</v>
      </c>
      <c r="E38" s="45">
        <v>0.74</v>
      </c>
      <c r="F38" s="45">
        <v>0.83</v>
      </c>
      <c r="G38" s="45">
        <v>0.93</v>
      </c>
      <c r="H38" s="45">
        <v>1.02</v>
      </c>
      <c r="I38" s="45">
        <v>1.1100000000000001</v>
      </c>
      <c r="J38" s="45">
        <v>1.2</v>
      </c>
      <c r="K38" s="45">
        <v>1.3</v>
      </c>
      <c r="L38" s="45">
        <v>1.39</v>
      </c>
      <c r="M38" s="45">
        <v>1.48</v>
      </c>
      <c r="N38" s="45">
        <v>1.57</v>
      </c>
      <c r="O38" s="45">
        <v>1.67</v>
      </c>
      <c r="P38" s="45">
        <v>1.76</v>
      </c>
      <c r="Q38" s="45">
        <v>1.85</v>
      </c>
    </row>
    <row r="39" spans="1:17" ht="15" customHeight="1" x14ac:dyDescent="0.25">
      <c r="A39" s="43">
        <v>2150</v>
      </c>
      <c r="B39" s="45">
        <v>0.55000000000000004</v>
      </c>
      <c r="C39" s="45">
        <v>0.63</v>
      </c>
      <c r="D39" s="45">
        <v>0.68</v>
      </c>
      <c r="E39" s="45">
        <v>0.78</v>
      </c>
      <c r="F39" s="45">
        <v>0.88</v>
      </c>
      <c r="G39" s="45">
        <v>0.98</v>
      </c>
      <c r="H39" s="45">
        <v>1.07</v>
      </c>
      <c r="I39" s="45">
        <v>1.17</v>
      </c>
      <c r="J39" s="45">
        <v>1.27</v>
      </c>
      <c r="K39" s="45">
        <v>1.37</v>
      </c>
      <c r="L39" s="45">
        <v>1.46</v>
      </c>
      <c r="M39" s="45">
        <v>1.56</v>
      </c>
      <c r="N39" s="45">
        <v>1.66</v>
      </c>
      <c r="O39" s="45">
        <v>1.76</v>
      </c>
      <c r="P39" s="45">
        <v>1.86</v>
      </c>
      <c r="Q39" s="45">
        <v>1.95</v>
      </c>
    </row>
    <row r="40" spans="1:17" ht="15" customHeight="1" x14ac:dyDescent="0.25">
      <c r="A40" s="43">
        <v>2250</v>
      </c>
      <c r="B40" s="45">
        <v>0.5</v>
      </c>
      <c r="C40" s="45">
        <v>0.51</v>
      </c>
      <c r="D40" s="45">
        <v>0.61</v>
      </c>
      <c r="E40" s="45">
        <v>0.71</v>
      </c>
      <c r="F40" s="45">
        <v>0.82</v>
      </c>
      <c r="G40" s="45">
        <v>0.92</v>
      </c>
      <c r="H40" s="45">
        <v>1.02</v>
      </c>
      <c r="I40" s="45">
        <v>1.1299999999999999</v>
      </c>
      <c r="J40" s="45">
        <v>1.23</v>
      </c>
      <c r="K40" s="45">
        <v>1.33</v>
      </c>
      <c r="L40" s="45">
        <v>1.43</v>
      </c>
      <c r="M40" s="45">
        <v>1.54</v>
      </c>
      <c r="N40" s="45">
        <v>1.64</v>
      </c>
      <c r="O40" s="45">
        <v>1.74</v>
      </c>
      <c r="P40" s="45">
        <v>1.85</v>
      </c>
      <c r="Q40" s="45">
        <v>1.95</v>
      </c>
    </row>
    <row r="41" spans="1:17" ht="15" customHeight="1" x14ac:dyDescent="0.25">
      <c r="A41" s="43">
        <v>2350</v>
      </c>
      <c r="B41" s="45">
        <v>0.5</v>
      </c>
      <c r="C41" s="45">
        <v>0.53</v>
      </c>
      <c r="D41" s="45">
        <v>0.64</v>
      </c>
      <c r="E41" s="45">
        <v>0.74</v>
      </c>
      <c r="F41" s="45">
        <v>0.85</v>
      </c>
      <c r="G41" s="45">
        <v>0.96</v>
      </c>
      <c r="H41" s="45">
        <v>1.07</v>
      </c>
      <c r="I41" s="45">
        <v>1.18</v>
      </c>
      <c r="J41" s="45">
        <v>1.29</v>
      </c>
      <c r="K41" s="45">
        <v>1.4</v>
      </c>
      <c r="L41" s="45">
        <v>1.5</v>
      </c>
      <c r="M41" s="45">
        <v>1.61</v>
      </c>
      <c r="N41" s="45">
        <v>1.72</v>
      </c>
      <c r="O41" s="45">
        <v>1.83</v>
      </c>
      <c r="P41" s="45">
        <v>1.94</v>
      </c>
      <c r="Q41" s="45">
        <v>2.04</v>
      </c>
    </row>
    <row r="43" spans="1:17" ht="15" customHeight="1" x14ac:dyDescent="0.25">
      <c r="A43" s="46" t="s">
        <v>243</v>
      </c>
      <c r="B43" s="47">
        <v>145</v>
      </c>
      <c r="C43" s="47">
        <v>152</v>
      </c>
      <c r="D43" s="47">
        <v>158</v>
      </c>
      <c r="E43" s="47">
        <v>165</v>
      </c>
      <c r="F43" s="47">
        <v>172</v>
      </c>
      <c r="G43" s="47">
        <v>181</v>
      </c>
      <c r="H43" s="47">
        <v>188</v>
      </c>
      <c r="I43" s="47">
        <v>194</v>
      </c>
      <c r="J43" s="47">
        <v>206</v>
      </c>
      <c r="K43" s="47">
        <v>214</v>
      </c>
      <c r="L43" s="47">
        <v>221</v>
      </c>
      <c r="M43" s="47">
        <v>229</v>
      </c>
      <c r="N43" s="47">
        <v>237</v>
      </c>
      <c r="O43" s="47">
        <v>237</v>
      </c>
      <c r="P43" s="47">
        <v>244</v>
      </c>
      <c r="Q43" s="47">
        <v>249</v>
      </c>
    </row>
    <row r="45" spans="1:17" ht="15" customHeight="1" x14ac:dyDescent="0.25">
      <c r="A45" s="121" t="s">
        <v>262</v>
      </c>
      <c r="B45" s="93"/>
      <c r="C45" s="93"/>
      <c r="D45" s="93"/>
      <c r="E45" s="93"/>
      <c r="F45" s="93"/>
      <c r="G45" s="93"/>
      <c r="H45" s="93"/>
      <c r="I45" s="93"/>
      <c r="J45" s="93"/>
      <c r="K45" s="93"/>
      <c r="L45" s="93"/>
      <c r="M45" s="93"/>
      <c r="N45" s="93"/>
      <c r="O45" s="93"/>
      <c r="P45" s="93"/>
      <c r="Q45" s="93"/>
    </row>
    <row r="46" spans="1:17" ht="15" customHeight="1" x14ac:dyDescent="0.25">
      <c r="A46" s="48" t="s">
        <v>263</v>
      </c>
      <c r="B46" s="49">
        <f>Paramètres!$B$2</f>
        <v>0.51500000000000001</v>
      </c>
    </row>
    <row r="47" spans="1:17" ht="15" customHeight="1" x14ac:dyDescent="0.25">
      <c r="A47" s="43" t="s">
        <v>260</v>
      </c>
      <c r="B47" s="43">
        <v>500</v>
      </c>
      <c r="C47" s="43">
        <v>600</v>
      </c>
      <c r="D47" s="43">
        <v>700</v>
      </c>
      <c r="E47" s="43">
        <v>800</v>
      </c>
      <c r="F47" s="43">
        <v>900</v>
      </c>
      <c r="G47" s="43">
        <v>1000</v>
      </c>
      <c r="H47" s="43">
        <v>1100</v>
      </c>
      <c r="I47" s="43">
        <v>1200</v>
      </c>
      <c r="J47" s="43">
        <v>1300</v>
      </c>
      <c r="K47" s="43">
        <v>1400</v>
      </c>
      <c r="L47" s="43">
        <v>1500</v>
      </c>
      <c r="M47" s="43">
        <v>1600</v>
      </c>
      <c r="N47" s="43">
        <v>1700</v>
      </c>
      <c r="O47" s="43">
        <v>1800</v>
      </c>
      <c r="P47" s="43">
        <v>1900</v>
      </c>
      <c r="Q47" s="43">
        <v>2000</v>
      </c>
    </row>
    <row r="48" spans="1:17" ht="15" customHeight="1" x14ac:dyDescent="0.25">
      <c r="A48" s="43">
        <v>750</v>
      </c>
      <c r="B48" s="44">
        <f>B5*(1-Paramètres!$B$2)</f>
        <v>632.92499999999995</v>
      </c>
      <c r="C48" s="44">
        <f>C5*(1-Paramètres!$B$2)</f>
        <v>652.32499999999993</v>
      </c>
      <c r="D48" s="44">
        <f>D5*(1-Paramètres!$B$2)</f>
        <v>671.24</v>
      </c>
      <c r="E48" s="44">
        <f>E5*(1-Paramètres!$B$2)</f>
        <v>690.64</v>
      </c>
      <c r="F48" s="44">
        <f>F5*(1-Paramètres!$B$2)</f>
        <v>710.52499999999998</v>
      </c>
      <c r="G48" s="44">
        <f>G5*(1-Paramètres!$B$2)</f>
        <v>727.98500000000001</v>
      </c>
      <c r="H48" s="44">
        <f>H5*(1-Paramètres!$B$2)</f>
        <v>747.38499999999999</v>
      </c>
      <c r="I48" s="44">
        <f>I5*(1-Paramètres!$B$2)</f>
        <v>766.78499999999997</v>
      </c>
      <c r="J48" s="44">
        <f>J5*(1-Paramètres!$B$2)</f>
        <v>785.21500000000003</v>
      </c>
      <c r="K48" s="44">
        <f>K5*(1-Paramètres!$B$2)</f>
        <v>804.13</v>
      </c>
      <c r="L48" s="44">
        <f>L5*(1-Paramètres!$B$2)</f>
        <v>824.01499999999999</v>
      </c>
      <c r="M48" s="44">
        <f>M5*(1-Paramètres!$B$2)</f>
        <v>842.93</v>
      </c>
      <c r="N48" s="44">
        <f>N5*(1-Paramètres!$B$2)</f>
        <v>857.48</v>
      </c>
      <c r="O48" s="44">
        <f>O5*(1-Paramètres!$B$2)</f>
        <v>862.32999999999993</v>
      </c>
      <c r="P48" s="44">
        <f>P5*(1-Paramètres!$B$2)</f>
        <v>875.91</v>
      </c>
      <c r="Q48" s="44">
        <f>Q5*(1-Paramètres!$B$2)</f>
        <v>893.37</v>
      </c>
    </row>
    <row r="49" spans="1:17" ht="15" customHeight="1" x14ac:dyDescent="0.25">
      <c r="A49" s="43">
        <v>850</v>
      </c>
      <c r="B49" s="44">
        <f>B6*(1-Paramètres!$B$2)</f>
        <v>663.48</v>
      </c>
      <c r="C49" s="44">
        <f>C6*(1-Paramètres!$B$2)</f>
        <v>682.88</v>
      </c>
      <c r="D49" s="44">
        <f>D6*(1-Paramètres!$B$2)</f>
        <v>702.28</v>
      </c>
      <c r="E49" s="44">
        <f>E6*(1-Paramètres!$B$2)</f>
        <v>723.13499999999999</v>
      </c>
      <c r="F49" s="44">
        <f>F6*(1-Paramètres!$B$2)</f>
        <v>742.53499999999997</v>
      </c>
      <c r="G49" s="44">
        <f>G6*(1-Paramètres!$B$2)</f>
        <v>762.42</v>
      </c>
      <c r="H49" s="44">
        <f>H6*(1-Paramètres!$B$2)</f>
        <v>781.81999999999994</v>
      </c>
      <c r="I49" s="44">
        <f>I6*(1-Paramètres!$B$2)</f>
        <v>802.67499999999995</v>
      </c>
      <c r="J49" s="44">
        <f>J6*(1-Paramètres!$B$2)</f>
        <v>823.04499999999996</v>
      </c>
      <c r="K49" s="44">
        <f>K6*(1-Paramètres!$B$2)</f>
        <v>841.95999999999992</v>
      </c>
      <c r="L49" s="44">
        <f>L6*(1-Paramètres!$B$2)</f>
        <v>862.32999999999993</v>
      </c>
      <c r="M49" s="44">
        <f>M6*(1-Paramètres!$B$2)</f>
        <v>881.73</v>
      </c>
      <c r="N49" s="44">
        <f>N6*(1-Paramètres!$B$2)</f>
        <v>898.22</v>
      </c>
      <c r="O49" s="44">
        <f>O6*(1-Paramètres!$B$2)</f>
        <v>901.61500000000001</v>
      </c>
      <c r="P49" s="44">
        <f>P6*(1-Paramètres!$B$2)</f>
        <v>917.62</v>
      </c>
      <c r="Q49" s="44">
        <f>Q6*(1-Paramètres!$B$2)</f>
        <v>936.53499999999997</v>
      </c>
    </row>
    <row r="50" spans="1:17" ht="15" customHeight="1" x14ac:dyDescent="0.25">
      <c r="A50" s="43">
        <v>950</v>
      </c>
      <c r="B50" s="44">
        <f>B7*(1-Paramètres!$B$2)</f>
        <v>693.55</v>
      </c>
      <c r="C50" s="44">
        <f>C7*(1-Paramètres!$B$2)</f>
        <v>714.89</v>
      </c>
      <c r="D50" s="44">
        <f>D7*(1-Paramètres!$B$2)</f>
        <v>735.26</v>
      </c>
      <c r="E50" s="44">
        <f>E7*(1-Paramètres!$B$2)</f>
        <v>755.63</v>
      </c>
      <c r="F50" s="44">
        <f>F7*(1-Paramètres!$B$2)</f>
        <v>776</v>
      </c>
      <c r="G50" s="44">
        <f>G7*(1-Paramètres!$B$2)</f>
        <v>797.34</v>
      </c>
      <c r="H50" s="44">
        <f>H7*(1-Paramètres!$B$2)</f>
        <v>817.22500000000002</v>
      </c>
      <c r="I50" s="44">
        <f>I7*(1-Paramètres!$B$2)</f>
        <v>837.59500000000003</v>
      </c>
      <c r="J50" s="44">
        <f>J7*(1-Paramètres!$B$2)</f>
        <v>857.48</v>
      </c>
      <c r="K50" s="44">
        <f>K7*(1-Paramètres!$B$2)</f>
        <v>879.30499999999995</v>
      </c>
      <c r="L50" s="44">
        <f>L7*(1-Paramètres!$B$2)</f>
        <v>900.64499999999998</v>
      </c>
      <c r="M50" s="44">
        <f>M7*(1-Paramètres!$B$2)</f>
        <v>920.04499999999996</v>
      </c>
      <c r="N50" s="44">
        <f>N7*(1-Paramètres!$B$2)</f>
        <v>937.02</v>
      </c>
      <c r="O50" s="44">
        <f>O7*(1-Paramètres!$B$2)</f>
        <v>940.9</v>
      </c>
      <c r="P50" s="44">
        <f>P7*(1-Paramètres!$B$2)</f>
        <v>956.90499999999997</v>
      </c>
      <c r="Q50" s="44">
        <f>Q7*(1-Paramètres!$B$2)</f>
        <v>976.79</v>
      </c>
    </row>
    <row r="51" spans="1:17" ht="15" customHeight="1" x14ac:dyDescent="0.25">
      <c r="A51" s="43">
        <v>1050</v>
      </c>
      <c r="B51" s="44">
        <f>B8*(1-Paramètres!$B$2)</f>
        <v>724.10500000000002</v>
      </c>
      <c r="C51" s="44">
        <f>C8*(1-Paramètres!$B$2)</f>
        <v>745.93</v>
      </c>
      <c r="D51" s="44">
        <f>D8*(1-Paramètres!$B$2)</f>
        <v>767.27</v>
      </c>
      <c r="E51" s="44">
        <f>E8*(1-Paramètres!$B$2)</f>
        <v>788.125</v>
      </c>
      <c r="F51" s="44">
        <f>F8*(1-Paramètres!$B$2)</f>
        <v>809.46500000000003</v>
      </c>
      <c r="G51" s="44">
        <f>G8*(1-Paramètres!$B$2)</f>
        <v>830.31999999999994</v>
      </c>
      <c r="H51" s="44">
        <f>H8*(1-Paramètres!$B$2)</f>
        <v>852.14499999999998</v>
      </c>
      <c r="I51" s="44">
        <f>I8*(1-Paramètres!$B$2)</f>
        <v>873.48500000000001</v>
      </c>
      <c r="J51" s="44">
        <f>J8*(1-Paramètres!$B$2)</f>
        <v>894.34</v>
      </c>
      <c r="K51" s="44">
        <f>K8*(1-Paramètres!$B$2)</f>
        <v>915.68</v>
      </c>
      <c r="L51" s="44">
        <f>L8*(1-Paramètres!$B$2)</f>
        <v>937.02</v>
      </c>
      <c r="M51" s="44">
        <f>M8*(1-Paramètres!$B$2)</f>
        <v>959.32999999999993</v>
      </c>
      <c r="N51" s="44">
        <f>N8*(1-Paramètres!$B$2)</f>
        <v>977.76</v>
      </c>
      <c r="O51" s="44">
        <f>O8*(1-Paramètres!$B$2)</f>
        <v>981.15499999999997</v>
      </c>
      <c r="P51" s="44">
        <f>P8*(1-Paramètres!$B$2)</f>
        <v>998.61500000000001</v>
      </c>
      <c r="Q51" s="44">
        <f>Q8*(1-Paramètres!$B$2)</f>
        <v>1019.47</v>
      </c>
    </row>
    <row r="52" spans="1:17" ht="15" customHeight="1" x14ac:dyDescent="0.25">
      <c r="A52" s="43">
        <v>1150</v>
      </c>
      <c r="B52" s="44">
        <f>B9*(1-Paramètres!$B$2)</f>
        <v>754.17499999999995</v>
      </c>
      <c r="C52" s="44">
        <f>C9*(1-Paramètres!$B$2)</f>
        <v>776.48500000000001</v>
      </c>
      <c r="D52" s="44">
        <f>D9*(1-Paramètres!$B$2)</f>
        <v>799.28</v>
      </c>
      <c r="E52" s="44">
        <f>E9*(1-Paramètres!$B$2)</f>
        <v>822.56</v>
      </c>
      <c r="F52" s="44">
        <f>F9*(1-Paramètres!$B$2)</f>
        <v>843.41499999999996</v>
      </c>
      <c r="G52" s="44">
        <f>G9*(1-Paramètres!$B$2)</f>
        <v>864.755</v>
      </c>
      <c r="H52" s="44">
        <f>H9*(1-Paramètres!$B$2)</f>
        <v>887.06499999999994</v>
      </c>
      <c r="I52" s="44">
        <f>I9*(1-Paramètres!$B$2)</f>
        <v>909.375</v>
      </c>
      <c r="J52" s="44">
        <f>J9*(1-Paramètres!$B$2)</f>
        <v>931.68499999999995</v>
      </c>
      <c r="K52" s="44">
        <f>K9*(1-Paramètres!$B$2)</f>
        <v>953.995</v>
      </c>
      <c r="L52" s="44">
        <f>L9*(1-Paramètres!$B$2)</f>
        <v>975.81999999999994</v>
      </c>
      <c r="M52" s="44">
        <f>M9*(1-Paramètres!$B$2)</f>
        <v>997.64499999999998</v>
      </c>
      <c r="N52" s="44">
        <f>N9*(1-Paramètres!$B$2)</f>
        <v>1015.5899999999999</v>
      </c>
      <c r="O52" s="44">
        <f>O9*(1-Paramètres!$B$2)</f>
        <v>1018.985</v>
      </c>
      <c r="P52" s="44">
        <f>P9*(1-Paramètres!$B$2)</f>
        <v>1036.93</v>
      </c>
      <c r="Q52" s="44">
        <f>Q9*(1-Paramètres!$B$2)</f>
        <v>1057.7850000000001</v>
      </c>
    </row>
    <row r="53" spans="1:17" ht="15" customHeight="1" x14ac:dyDescent="0.25">
      <c r="A53" s="43">
        <v>1250</v>
      </c>
      <c r="B53" s="44">
        <f>B10*(1-Paramètres!$B$2)</f>
        <v>785.21500000000003</v>
      </c>
      <c r="C53" s="44">
        <f>C10*(1-Paramètres!$B$2)</f>
        <v>808.01</v>
      </c>
      <c r="D53" s="44">
        <f>D10*(1-Paramètres!$B$2)</f>
        <v>830.31999999999994</v>
      </c>
      <c r="E53" s="44">
        <f>E10*(1-Paramètres!$B$2)</f>
        <v>853.11500000000001</v>
      </c>
      <c r="F53" s="44">
        <f>F10*(1-Paramètres!$B$2)</f>
        <v>876.39499999999998</v>
      </c>
      <c r="G53" s="44">
        <f>G10*(1-Paramètres!$B$2)</f>
        <v>900.64499999999998</v>
      </c>
      <c r="H53" s="44">
        <f>H10*(1-Paramètres!$B$2)</f>
        <v>922.95499999999993</v>
      </c>
      <c r="I53" s="44">
        <f>I10*(1-Paramètres!$B$2)</f>
        <v>945.26499999999999</v>
      </c>
      <c r="J53" s="44">
        <f>J10*(1-Paramètres!$B$2)</f>
        <v>968.06</v>
      </c>
      <c r="K53" s="44">
        <f>K10*(1-Paramètres!$B$2)</f>
        <v>991.82499999999993</v>
      </c>
      <c r="L53" s="44">
        <f>L10*(1-Paramètres!$B$2)</f>
        <v>1014.135</v>
      </c>
      <c r="M53" s="44">
        <f>M10*(1-Paramètres!$B$2)</f>
        <v>1036.93</v>
      </c>
      <c r="N53" s="44">
        <f>N10*(1-Paramètres!$B$2)</f>
        <v>1056.33</v>
      </c>
      <c r="O53" s="44">
        <f>O10*(1-Paramètres!$B$2)</f>
        <v>1059.24</v>
      </c>
      <c r="P53" s="44">
        <f>P10*(1-Paramètres!$B$2)</f>
        <v>1078.6399999999999</v>
      </c>
      <c r="Q53" s="44">
        <f>Q10*(1-Paramètres!$B$2)</f>
        <v>1100.95</v>
      </c>
    </row>
    <row r="54" spans="1:17" ht="15" customHeight="1" x14ac:dyDescent="0.25">
      <c r="A54" s="43">
        <v>1350</v>
      </c>
      <c r="B54" s="44">
        <f>B11*(1-Paramètres!$B$2)</f>
        <v>814.8</v>
      </c>
      <c r="C54" s="44">
        <f>C11*(1-Paramètres!$B$2)</f>
        <v>838.07999999999993</v>
      </c>
      <c r="D54" s="44">
        <f>D11*(1-Paramètres!$B$2)</f>
        <v>863.3</v>
      </c>
      <c r="E54" s="44">
        <f>E11*(1-Paramètres!$B$2)</f>
        <v>886.57999999999993</v>
      </c>
      <c r="F54" s="44">
        <f>F11*(1-Paramètres!$B$2)</f>
        <v>910.34500000000003</v>
      </c>
      <c r="G54" s="44">
        <f>G11*(1-Paramètres!$B$2)</f>
        <v>933.14</v>
      </c>
      <c r="H54" s="44">
        <f>H11*(1-Paramètres!$B$2)</f>
        <v>956.90499999999997</v>
      </c>
      <c r="I54" s="44">
        <f>I11*(1-Paramètres!$B$2)</f>
        <v>981.64</v>
      </c>
      <c r="J54" s="44">
        <f>J11*(1-Paramètres!$B$2)</f>
        <v>1005.405</v>
      </c>
      <c r="K54" s="44">
        <f>K11*(1-Paramètres!$B$2)</f>
        <v>1027.7149999999999</v>
      </c>
      <c r="L54" s="44">
        <f>L11*(1-Paramètres!$B$2)</f>
        <v>1052.45</v>
      </c>
      <c r="M54" s="44">
        <f>M11*(1-Paramètres!$B$2)</f>
        <v>1075.2449999999999</v>
      </c>
      <c r="N54" s="44">
        <f>N11*(1-Paramètres!$B$2)</f>
        <v>1096.0999999999999</v>
      </c>
      <c r="O54" s="44">
        <f>O11*(1-Paramètres!$B$2)</f>
        <v>1099.01</v>
      </c>
      <c r="P54" s="44">
        <f>P11*(1-Paramètres!$B$2)</f>
        <v>1119.3799999999999</v>
      </c>
      <c r="Q54" s="44">
        <f>Q11*(1-Paramètres!$B$2)</f>
        <v>1143.145</v>
      </c>
    </row>
    <row r="55" spans="1:17" ht="15" customHeight="1" x14ac:dyDescent="0.25">
      <c r="A55" s="43">
        <v>1450</v>
      </c>
      <c r="B55" s="44">
        <f>B12*(1-Paramètres!$B$2)</f>
        <v>846.81</v>
      </c>
      <c r="C55" s="44">
        <f>C12*(1-Paramètres!$B$2)</f>
        <v>870.09</v>
      </c>
      <c r="D55" s="44">
        <f>D12*(1-Paramètres!$B$2)</f>
        <v>894.34</v>
      </c>
      <c r="E55" s="44">
        <f>E12*(1-Paramètres!$B$2)</f>
        <v>918.58999999999992</v>
      </c>
      <c r="F55" s="44">
        <f>F12*(1-Paramètres!$B$2)</f>
        <v>942.83999999999992</v>
      </c>
      <c r="G55" s="44">
        <f>G12*(1-Paramètres!$B$2)</f>
        <v>968.06</v>
      </c>
      <c r="H55" s="44">
        <f>H12*(1-Paramètres!$B$2)</f>
        <v>992.79499999999996</v>
      </c>
      <c r="I55" s="44">
        <f>I12*(1-Paramètres!$B$2)</f>
        <v>1016.56</v>
      </c>
      <c r="J55" s="44">
        <f>J12*(1-Paramètres!$B$2)</f>
        <v>1041.78</v>
      </c>
      <c r="K55" s="44">
        <f>K12*(1-Paramètres!$B$2)</f>
        <v>1065.5450000000001</v>
      </c>
      <c r="L55" s="44">
        <f>L12*(1-Paramètres!$B$2)</f>
        <v>1090.7649999999999</v>
      </c>
      <c r="M55" s="44">
        <f>M12*(1-Paramètres!$B$2)</f>
        <v>1115.0149999999999</v>
      </c>
      <c r="N55" s="44">
        <f>N12*(1-Paramètres!$B$2)</f>
        <v>1134.415</v>
      </c>
      <c r="O55" s="44">
        <f>O12*(1-Paramètres!$B$2)</f>
        <v>1139.2649999999999</v>
      </c>
      <c r="P55" s="44">
        <f>P12*(1-Paramètres!$B$2)</f>
        <v>1157.6949999999999</v>
      </c>
      <c r="Q55" s="44">
        <f>Q12*(1-Paramètres!$B$2)</f>
        <v>1181.9449999999999</v>
      </c>
    </row>
    <row r="56" spans="1:17" ht="15" customHeight="1" x14ac:dyDescent="0.25">
      <c r="A56" s="43">
        <v>1550</v>
      </c>
      <c r="B56" s="44">
        <f>B13*(1-Paramètres!$B$2)</f>
        <v>875.91</v>
      </c>
      <c r="C56" s="44">
        <f>C13*(1-Paramètres!$B$2)</f>
        <v>902.58499999999992</v>
      </c>
      <c r="D56" s="44">
        <f>D13*(1-Paramètres!$B$2)</f>
        <v>926.83499999999992</v>
      </c>
      <c r="E56" s="44">
        <f>E13*(1-Paramètres!$B$2)</f>
        <v>952.54</v>
      </c>
      <c r="F56" s="44">
        <f>F13*(1-Paramètres!$B$2)</f>
        <v>977.76</v>
      </c>
      <c r="G56" s="44">
        <f>G13*(1-Paramètres!$B$2)</f>
        <v>1002.495</v>
      </c>
      <c r="H56" s="44">
        <f>H13*(1-Paramètres!$B$2)</f>
        <v>1026.7449999999999</v>
      </c>
      <c r="I56" s="44">
        <f>I13*(1-Paramètres!$B$2)</f>
        <v>1052.9349999999999</v>
      </c>
      <c r="J56" s="44">
        <f>J13*(1-Paramètres!$B$2)</f>
        <v>1077.67</v>
      </c>
      <c r="K56" s="44">
        <f>K13*(1-Paramètres!$B$2)</f>
        <v>1102.405</v>
      </c>
      <c r="L56" s="44">
        <f>L13*(1-Paramètres!$B$2)</f>
        <v>1128.595</v>
      </c>
      <c r="M56" s="44">
        <f>M13*(1-Paramètres!$B$2)</f>
        <v>1153.33</v>
      </c>
      <c r="N56" s="44">
        <f>N13*(1-Paramètres!$B$2)</f>
        <v>1174.1849999999999</v>
      </c>
      <c r="O56" s="44">
        <f>O13*(1-Paramètres!$B$2)</f>
        <v>1178.0650000000001</v>
      </c>
      <c r="P56" s="44">
        <f>P13*(1-Paramètres!$B$2)</f>
        <v>1197.4649999999999</v>
      </c>
      <c r="Q56" s="44">
        <f>Q13*(1-Paramètres!$B$2)</f>
        <v>1222.2</v>
      </c>
    </row>
    <row r="57" spans="1:17" ht="15" customHeight="1" x14ac:dyDescent="0.25">
      <c r="A57" s="43">
        <v>1650</v>
      </c>
      <c r="B57" s="44">
        <f>B14*(1-Paramètres!$B$2)</f>
        <v>906.94999999999993</v>
      </c>
      <c r="C57" s="44">
        <f>C14*(1-Paramètres!$B$2)</f>
        <v>932.17</v>
      </c>
      <c r="D57" s="44">
        <f>D14*(1-Paramètres!$B$2)</f>
        <v>958.36</v>
      </c>
      <c r="E57" s="44">
        <f>E14*(1-Paramètres!$B$2)</f>
        <v>985.03499999999997</v>
      </c>
      <c r="F57" s="44">
        <f>F14*(1-Paramètres!$B$2)</f>
        <v>1012.1949999999999</v>
      </c>
      <c r="G57" s="44">
        <f>G14*(1-Paramètres!$B$2)</f>
        <v>1036.4449999999999</v>
      </c>
      <c r="H57" s="44">
        <f>H14*(1-Paramètres!$B$2)</f>
        <v>1063.1199999999999</v>
      </c>
      <c r="I57" s="44">
        <f>I14*(1-Paramètres!$B$2)</f>
        <v>1089.31</v>
      </c>
      <c r="J57" s="44">
        <f>J14*(1-Paramètres!$B$2)</f>
        <v>1114.53</v>
      </c>
      <c r="K57" s="44">
        <f>K14*(1-Paramètres!$B$2)</f>
        <v>1140.2349999999999</v>
      </c>
      <c r="L57" s="44">
        <f>L14*(1-Paramètres!$B$2)</f>
        <v>1167.395</v>
      </c>
      <c r="M57" s="44">
        <f>M14*(1-Paramètres!$B$2)</f>
        <v>1193.0999999999999</v>
      </c>
      <c r="N57" s="44">
        <f>N14*(1-Paramètres!$B$2)</f>
        <v>1218.32</v>
      </c>
      <c r="O57" s="44">
        <f>O14*(1-Paramètres!$B$2)</f>
        <v>1213.9549999999999</v>
      </c>
      <c r="P57" s="44">
        <f>P14*(1-Paramètres!$B$2)</f>
        <v>1238.69</v>
      </c>
      <c r="Q57" s="44">
        <f>Q14*(1-Paramètres!$B$2)</f>
        <v>1263.9099999999999</v>
      </c>
    </row>
    <row r="58" spans="1:17" ht="15" customHeight="1" x14ac:dyDescent="0.25">
      <c r="A58" s="43">
        <v>1750</v>
      </c>
      <c r="B58" s="44">
        <f>B15*(1-Paramètres!$B$2)</f>
        <v>936.53499999999997</v>
      </c>
      <c r="C58" s="44">
        <f>C15*(1-Paramètres!$B$2)</f>
        <v>963.69499999999994</v>
      </c>
      <c r="D58" s="44">
        <f>D15*(1-Paramètres!$B$2)</f>
        <v>990.85500000000002</v>
      </c>
      <c r="E58" s="44">
        <f>E15*(1-Paramètres!$B$2)</f>
        <v>1017.045</v>
      </c>
      <c r="F58" s="44">
        <f>F15*(1-Paramètres!$B$2)</f>
        <v>1044.2049999999999</v>
      </c>
      <c r="G58" s="44">
        <f>G15*(1-Paramètres!$B$2)</f>
        <v>1070.395</v>
      </c>
      <c r="H58" s="44">
        <f>H15*(1-Paramètres!$B$2)</f>
        <v>1097.07</v>
      </c>
      <c r="I58" s="44">
        <f>I15*(1-Paramètres!$B$2)</f>
        <v>1124.23</v>
      </c>
      <c r="J58" s="44">
        <f>J15*(1-Paramètres!$B$2)</f>
        <v>1151.3899999999999</v>
      </c>
      <c r="K58" s="44">
        <f>K15*(1-Paramètres!$B$2)</f>
        <v>1177.58</v>
      </c>
      <c r="L58" s="44">
        <f>L15*(1-Paramètres!$B$2)</f>
        <v>1204.2549999999999</v>
      </c>
      <c r="M58" s="44">
        <f>M15*(1-Paramètres!$B$2)</f>
        <v>1230.93</v>
      </c>
      <c r="N58" s="44">
        <f>N15*(1-Paramètres!$B$2)</f>
        <v>1368.1849999999999</v>
      </c>
      <c r="O58" s="44">
        <f>O15*(1-Paramètres!$B$2)</f>
        <v>1469.55</v>
      </c>
      <c r="P58" s="44">
        <f>P15*(1-Paramètres!$B$2)</f>
        <v>1603.895</v>
      </c>
      <c r="Q58" s="44">
        <f>Q15*(1-Paramètres!$B$2)</f>
        <v>1738.7249999999999</v>
      </c>
    </row>
    <row r="59" spans="1:17" ht="15" customHeight="1" x14ac:dyDescent="0.25">
      <c r="A59" s="43">
        <v>1850</v>
      </c>
      <c r="B59" s="44">
        <f>B16*(1-Paramètres!$B$2)</f>
        <v>967.57499999999993</v>
      </c>
      <c r="C59" s="44">
        <f>C16*(1-Paramètres!$B$2)</f>
        <v>994.73500000000001</v>
      </c>
      <c r="D59" s="44">
        <f>D16*(1-Paramètres!$B$2)</f>
        <v>1022.865</v>
      </c>
      <c r="E59" s="44">
        <f>E16*(1-Paramètres!$B$2)</f>
        <v>1050.0249999999999</v>
      </c>
      <c r="F59" s="44">
        <f>F16*(1-Paramètres!$B$2)</f>
        <v>1076.7</v>
      </c>
      <c r="G59" s="44">
        <f>G16*(1-Paramètres!$B$2)</f>
        <v>1104.345</v>
      </c>
      <c r="H59" s="44">
        <f>H16*(1-Paramètres!$B$2)</f>
        <v>1131.99</v>
      </c>
      <c r="I59" s="44">
        <f>I16*(1-Paramètres!$B$2)</f>
        <v>1158.665</v>
      </c>
      <c r="J59" s="44">
        <f>J16*(1-Paramètres!$B$2)</f>
        <v>1187.7649999999999</v>
      </c>
      <c r="K59" s="44">
        <f>K16*(1-Paramètres!$B$2)</f>
        <v>1214.925</v>
      </c>
      <c r="L59" s="44">
        <f>L16*(1-Paramètres!$B$2)</f>
        <v>1242.085</v>
      </c>
      <c r="M59" s="44">
        <f>M16*(1-Paramètres!$B$2)</f>
        <v>1388.5550000000001</v>
      </c>
      <c r="N59" s="44">
        <f>N16*(1-Paramètres!$B$2)</f>
        <v>1414.26</v>
      </c>
      <c r="O59" s="44">
        <f>O16*(1-Paramètres!$B$2)</f>
        <v>1406.0149999999999</v>
      </c>
      <c r="P59" s="44">
        <f>P16*(1-Paramètres!$B$2)</f>
        <v>1431.2349999999999</v>
      </c>
      <c r="Q59" s="44">
        <f>Q16*(1-Paramètres!$B$2)</f>
        <v>1456.94</v>
      </c>
    </row>
    <row r="60" spans="1:17" ht="15" customHeight="1" x14ac:dyDescent="0.25">
      <c r="A60" s="43">
        <v>1950</v>
      </c>
      <c r="B60" s="44">
        <f>B17*(1-Paramètres!$B$2)</f>
        <v>997.16</v>
      </c>
      <c r="C60" s="44">
        <f>C17*(1-Paramètres!$B$2)</f>
        <v>1025.7749999999999</v>
      </c>
      <c r="D60" s="44">
        <f>D17*(1-Paramètres!$B$2)</f>
        <v>1053.905</v>
      </c>
      <c r="E60" s="44">
        <f>E17*(1-Paramètres!$B$2)</f>
        <v>1081.55</v>
      </c>
      <c r="F60" s="44">
        <f>F17*(1-Paramètres!$B$2)</f>
        <v>1111.6199999999999</v>
      </c>
      <c r="G60" s="44">
        <f>G17*(1-Paramètres!$B$2)</f>
        <v>1139.75</v>
      </c>
      <c r="H60" s="44">
        <f>H17*(1-Paramètres!$B$2)</f>
        <v>1168.365</v>
      </c>
      <c r="I60" s="44">
        <f>I17*(1-Paramètres!$B$2)</f>
        <v>1195.5249999999999</v>
      </c>
      <c r="J60" s="44">
        <f>J17*(1-Paramètres!$B$2)</f>
        <v>1224.625</v>
      </c>
      <c r="K60" s="44">
        <f>K17*(1-Paramètres!$B$2)</f>
        <v>1253.24</v>
      </c>
      <c r="L60" s="44">
        <f>L17*(1-Paramètres!$B$2)</f>
        <v>1387.1</v>
      </c>
      <c r="M60" s="44">
        <f>M17*(1-Paramètres!$B$2)</f>
        <v>1423.96</v>
      </c>
      <c r="N60" s="44">
        <f>N17*(1-Paramètres!$B$2)</f>
        <v>1460.82</v>
      </c>
      <c r="O60" s="44">
        <f>O17*(1-Paramètres!$B$2)</f>
        <v>1459.365</v>
      </c>
      <c r="P60" s="44">
        <f>P17*(1-Paramètres!$B$2)</f>
        <v>1493.8</v>
      </c>
      <c r="Q60" s="44">
        <f>Q17*(1-Paramètres!$B$2)</f>
        <v>1529.2049999999999</v>
      </c>
    </row>
    <row r="61" spans="1:17" ht="15" customHeight="1" x14ac:dyDescent="0.25">
      <c r="A61" s="43">
        <v>2050</v>
      </c>
      <c r="B61" s="44">
        <f>B18*(1-Paramètres!$B$2)</f>
        <v>1027.7149999999999</v>
      </c>
      <c r="C61" s="44">
        <f>C18*(1-Paramètres!$B$2)</f>
        <v>1057.3</v>
      </c>
      <c r="D61" s="44">
        <f>D18*(1-Paramètres!$B$2)</f>
        <v>1087.3699999999999</v>
      </c>
      <c r="E61" s="44">
        <f>E18*(1-Paramètres!$B$2)</f>
        <v>1115.0149999999999</v>
      </c>
      <c r="F61" s="44">
        <f>F18*(1-Paramètres!$B$2)</f>
        <v>1145.085</v>
      </c>
      <c r="G61" s="44">
        <f>G18*(1-Paramètres!$B$2)</f>
        <v>1174.1849999999999</v>
      </c>
      <c r="H61" s="44">
        <f>H18*(1-Paramètres!$B$2)</f>
        <v>1203.2849999999999</v>
      </c>
      <c r="I61" s="44">
        <f>I18*(1-Paramètres!$B$2)</f>
        <v>1231.415</v>
      </c>
      <c r="J61" s="44">
        <f>J18*(1-Paramètres!$B$2)</f>
        <v>1259.5450000000001</v>
      </c>
      <c r="K61" s="44">
        <f>K18*(1-Paramètres!$B$2)</f>
        <v>1289.615</v>
      </c>
      <c r="L61" s="44">
        <f>L18*(1-Paramètres!$B$2)</f>
        <v>1433.175</v>
      </c>
      <c r="M61" s="44">
        <f>M18*(1-Paramètres!$B$2)</f>
        <v>1470.0349999999999</v>
      </c>
      <c r="N61" s="44">
        <f>N18*(1-Paramètres!$B$2)</f>
        <v>1507.3799999999999</v>
      </c>
      <c r="O61" s="44">
        <f>O18*(1-Paramètres!$B$2)</f>
        <v>1504.9549999999999</v>
      </c>
      <c r="P61" s="44">
        <f>P18*(1-Paramètres!$B$2)</f>
        <v>1539.875</v>
      </c>
      <c r="Q61" s="44">
        <f>Q18*(1-Paramètres!$B$2)</f>
        <v>1744.06</v>
      </c>
    </row>
    <row r="62" spans="1:17" ht="15" customHeight="1" x14ac:dyDescent="0.25">
      <c r="A62" s="43">
        <v>2150</v>
      </c>
      <c r="B62" s="44">
        <f>B19*(1-Paramètres!$B$2)</f>
        <v>1058.27</v>
      </c>
      <c r="C62" s="44">
        <f>C19*(1-Paramètres!$B$2)</f>
        <v>1089.31</v>
      </c>
      <c r="D62" s="44">
        <f>D19*(1-Paramètres!$B$2)</f>
        <v>1118.4100000000001</v>
      </c>
      <c r="E62" s="44">
        <f>E19*(1-Paramètres!$B$2)</f>
        <v>1148.48</v>
      </c>
      <c r="F62" s="44">
        <f>F19*(1-Paramètres!$B$2)</f>
        <v>1177.58</v>
      </c>
      <c r="G62" s="44">
        <f>G19*(1-Paramètres!$B$2)</f>
        <v>1208.135</v>
      </c>
      <c r="H62" s="44">
        <f>H19*(1-Paramètres!$B$2)</f>
        <v>1236.75</v>
      </c>
      <c r="I62" s="44">
        <f>I19*(1-Paramètres!$B$2)</f>
        <v>1267.79</v>
      </c>
      <c r="J62" s="44">
        <f>J19*(1-Paramètres!$B$2)</f>
        <v>1296.8899999999999</v>
      </c>
      <c r="K62" s="44">
        <f>K19*(1-Paramètres!$B$2)</f>
        <v>1439.9649999999999</v>
      </c>
      <c r="L62" s="44">
        <f>L19*(1-Paramètres!$B$2)</f>
        <v>1477.31</v>
      </c>
      <c r="M62" s="44">
        <f>M19*(1-Paramètres!$B$2)</f>
        <v>1514.1699999999998</v>
      </c>
      <c r="N62" s="44">
        <f>N19*(1-Paramètres!$B$2)</f>
        <v>1552.4849999999999</v>
      </c>
      <c r="O62" s="44">
        <f>O19*(1-Paramètres!$B$2)</f>
        <v>1552</v>
      </c>
      <c r="P62" s="44">
        <f>P19*(1-Paramètres!$B$2)</f>
        <v>1757.155</v>
      </c>
      <c r="Q62" s="44">
        <f>Q19*(1-Paramètres!$B$2)</f>
        <v>1802.7449999999999</v>
      </c>
    </row>
    <row r="63" spans="1:17" ht="15" customHeight="1" x14ac:dyDescent="0.25">
      <c r="A63" s="43">
        <v>2250</v>
      </c>
      <c r="B63" s="44">
        <f>B20*(1-Paramètres!$B$2)</f>
        <v>1089.7950000000001</v>
      </c>
      <c r="C63" s="44">
        <f>C20*(1-Paramètres!$B$2)</f>
        <v>1119.3799999999999</v>
      </c>
      <c r="D63" s="44">
        <f>D20*(1-Paramètres!$B$2)</f>
        <v>1150.905</v>
      </c>
      <c r="E63" s="44">
        <f>E20*(1-Paramètres!$B$2)</f>
        <v>1180.0049999999999</v>
      </c>
      <c r="F63" s="44">
        <f>F20*(1-Paramètres!$B$2)</f>
        <v>1211.53</v>
      </c>
      <c r="G63" s="44">
        <f>G20*(1-Paramètres!$B$2)</f>
        <v>1241.5999999999999</v>
      </c>
      <c r="H63" s="44">
        <f>H20*(1-Paramètres!$B$2)</f>
        <v>1273.6099999999999</v>
      </c>
      <c r="I63" s="44">
        <f>I20*(1-Paramètres!$B$2)</f>
        <v>1303.1949999999999</v>
      </c>
      <c r="J63" s="44">
        <f>J20*(1-Paramètres!$B$2)</f>
        <v>1459.365</v>
      </c>
      <c r="K63" s="44">
        <f>K20*(1-Paramètres!$B$2)</f>
        <v>1481.675</v>
      </c>
      <c r="L63" s="44">
        <f>L20*(1-Paramètres!$B$2)</f>
        <v>1519.99</v>
      </c>
      <c r="M63" s="44">
        <f>M20*(1-Paramètres!$B$2)</f>
        <v>1558.79</v>
      </c>
      <c r="N63" s="44">
        <f>N20*(1-Paramètres!$B$2)</f>
        <v>1598.075</v>
      </c>
      <c r="O63" s="44">
        <f>O20*(1-Paramètres!$B$2)</f>
        <v>1763.9449999999999</v>
      </c>
      <c r="P63" s="44">
        <f>P20*(1-Paramètres!$B$2)</f>
        <v>1812.93</v>
      </c>
      <c r="Q63" s="44">
        <f>Q20*(1-Paramètres!$B$2)</f>
        <v>1860.46</v>
      </c>
    </row>
    <row r="64" spans="1:17" ht="15" customHeight="1" x14ac:dyDescent="0.25">
      <c r="A64" s="43">
        <v>2350</v>
      </c>
      <c r="B64" s="44">
        <f>B21*(1-Paramètres!$B$2)</f>
        <v>1133.4449999999999</v>
      </c>
      <c r="C64" s="44">
        <f>C21*(1-Paramètres!$B$2)</f>
        <v>1164.97</v>
      </c>
      <c r="D64" s="44">
        <f>D21*(1-Paramètres!$B$2)</f>
        <v>1195.04</v>
      </c>
      <c r="E64" s="44">
        <f>E21*(1-Paramètres!$B$2)</f>
        <v>1226.5650000000001</v>
      </c>
      <c r="F64" s="44">
        <f>F21*(1-Paramètres!$B$2)</f>
        <v>1257.605</v>
      </c>
      <c r="G64" s="44">
        <f>G21*(1-Paramètres!$B$2)</f>
        <v>1289.615</v>
      </c>
      <c r="H64" s="44">
        <f>H21*(1-Paramètres!$B$2)</f>
        <v>1320.655</v>
      </c>
      <c r="I64" s="44">
        <f>I21*(1-Paramètres!$B$2)</f>
        <v>1351.6949999999999</v>
      </c>
      <c r="J64" s="44">
        <f>J21*(1-Paramètres!$B$2)</f>
        <v>1497.1949999999999</v>
      </c>
      <c r="K64" s="44">
        <f>K21*(1-Paramètres!$B$2)</f>
        <v>1536.9649999999999</v>
      </c>
      <c r="L64" s="44">
        <f>L21*(1-Paramètres!$B$2)</f>
        <v>1577.7049999999999</v>
      </c>
      <c r="M64" s="44">
        <f>M21*(1-Paramètres!$B$2)</f>
        <v>1617.96</v>
      </c>
      <c r="N64" s="44">
        <f>N21*(1-Paramètres!$B$2)</f>
        <v>1657.73</v>
      </c>
      <c r="O64" s="44">
        <f>O21*(1-Paramètres!$B$2)</f>
        <v>1830.3899999999999</v>
      </c>
      <c r="P64" s="44">
        <f>P21*(1-Paramètres!$B$2)</f>
        <v>1877.9199999999998</v>
      </c>
      <c r="Q64" s="44">
        <f>Q21*(1-Paramètres!$B$2)</f>
        <v>1926.4199999999998</v>
      </c>
    </row>
  </sheetData>
  <mergeCells count="4">
    <mergeCell ref="A3:Q3"/>
    <mergeCell ref="A1:Q1"/>
    <mergeCell ref="A45:Q45"/>
    <mergeCell ref="A23:Q2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64"/>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25" width="9" customWidth="1"/>
  </cols>
  <sheetData>
    <row r="1" spans="1:25" ht="24" customHeight="1" x14ac:dyDescent="0.25">
      <c r="A1" s="126" t="s">
        <v>269</v>
      </c>
      <c r="B1" s="93"/>
      <c r="C1" s="93"/>
      <c r="D1" s="93"/>
      <c r="E1" s="93"/>
      <c r="F1" s="93"/>
      <c r="G1" s="93"/>
      <c r="H1" s="93"/>
      <c r="I1" s="93"/>
      <c r="J1" s="93"/>
      <c r="K1" s="93"/>
      <c r="L1" s="93"/>
      <c r="M1" s="93"/>
      <c r="N1" s="93"/>
      <c r="O1" s="93"/>
      <c r="P1" s="93"/>
      <c r="Q1" s="93"/>
      <c r="R1" s="93"/>
      <c r="S1" s="93"/>
      <c r="T1" s="93"/>
      <c r="U1" s="93"/>
      <c r="V1" s="93"/>
      <c r="W1" s="93"/>
      <c r="X1" s="93"/>
      <c r="Y1" s="93"/>
    </row>
    <row r="3" spans="1:25" ht="15" customHeight="1" x14ac:dyDescent="0.25">
      <c r="A3" s="121" t="s">
        <v>259</v>
      </c>
      <c r="B3" s="93"/>
      <c r="C3" s="93"/>
      <c r="D3" s="93"/>
      <c r="E3" s="93"/>
      <c r="F3" s="93"/>
      <c r="G3" s="93"/>
      <c r="H3" s="93"/>
      <c r="I3" s="93"/>
      <c r="J3" s="93"/>
      <c r="K3" s="93"/>
      <c r="L3" s="93"/>
      <c r="M3" s="93"/>
      <c r="N3" s="93"/>
      <c r="O3" s="93"/>
      <c r="P3" s="93"/>
      <c r="Q3" s="93"/>
      <c r="R3" s="93"/>
      <c r="S3" s="93"/>
      <c r="T3" s="93"/>
      <c r="U3" s="93"/>
      <c r="V3" s="93"/>
      <c r="W3" s="93"/>
      <c r="X3" s="93"/>
      <c r="Y3" s="93"/>
    </row>
    <row r="4" spans="1:25" ht="15" customHeight="1" x14ac:dyDescent="0.25">
      <c r="A4" s="43" t="s">
        <v>260</v>
      </c>
      <c r="B4" s="43">
        <v>900</v>
      </c>
      <c r="C4" s="43">
        <v>1000</v>
      </c>
      <c r="D4" s="43">
        <v>1100</v>
      </c>
      <c r="E4" s="43">
        <v>1200</v>
      </c>
      <c r="F4" s="43">
        <v>1300</v>
      </c>
      <c r="G4" s="43">
        <v>1400</v>
      </c>
      <c r="H4" s="43">
        <v>1500</v>
      </c>
      <c r="I4" s="43">
        <v>1600</v>
      </c>
      <c r="J4" s="43">
        <v>1700</v>
      </c>
      <c r="K4" s="43">
        <v>1800</v>
      </c>
      <c r="L4" s="43">
        <v>1900</v>
      </c>
      <c r="M4" s="43">
        <v>2000</v>
      </c>
      <c r="N4" s="43">
        <v>2100</v>
      </c>
      <c r="O4" s="43">
        <v>2200</v>
      </c>
      <c r="P4" s="43">
        <v>2300</v>
      </c>
      <c r="Q4" s="43">
        <v>2400</v>
      </c>
      <c r="R4" s="43">
        <v>2500</v>
      </c>
      <c r="S4" s="43">
        <v>2600</v>
      </c>
      <c r="T4" s="43">
        <v>2700</v>
      </c>
      <c r="U4" s="43">
        <v>2800</v>
      </c>
      <c r="V4" s="43">
        <v>2900</v>
      </c>
      <c r="W4" s="43">
        <v>3000</v>
      </c>
      <c r="X4" s="43">
        <v>3100</v>
      </c>
      <c r="Y4" s="43">
        <v>3200</v>
      </c>
    </row>
    <row r="5" spans="1:25" ht="15" customHeight="1" x14ac:dyDescent="0.25">
      <c r="A5" s="43">
        <v>750</v>
      </c>
      <c r="B5" s="44">
        <v>1874</v>
      </c>
      <c r="C5" s="44">
        <v>1914</v>
      </c>
      <c r="D5" s="44">
        <v>1952</v>
      </c>
      <c r="E5" s="44">
        <v>1990</v>
      </c>
      <c r="F5" s="44">
        <v>2032</v>
      </c>
      <c r="G5" s="44">
        <v>2071</v>
      </c>
      <c r="H5" s="44">
        <v>2110</v>
      </c>
      <c r="I5" s="44">
        <v>2149</v>
      </c>
      <c r="J5" s="44">
        <v>2188</v>
      </c>
      <c r="K5" s="44">
        <v>2225</v>
      </c>
      <c r="L5" s="44">
        <v>2265</v>
      </c>
      <c r="M5" s="44">
        <v>2306</v>
      </c>
      <c r="N5" s="44">
        <v>2346</v>
      </c>
      <c r="O5" s="44">
        <v>2383</v>
      </c>
      <c r="P5" s="44">
        <v>2423</v>
      </c>
      <c r="Q5" s="44">
        <v>2464</v>
      </c>
      <c r="R5" s="44">
        <v>2502</v>
      </c>
      <c r="S5" s="44">
        <v>2540</v>
      </c>
      <c r="T5" s="44">
        <v>2582</v>
      </c>
      <c r="U5" s="44">
        <v>2620</v>
      </c>
      <c r="V5" s="44">
        <v>2659</v>
      </c>
      <c r="W5" s="44">
        <v>2698</v>
      </c>
      <c r="X5" s="44">
        <v>2738</v>
      </c>
      <c r="Y5" s="44">
        <v>2776</v>
      </c>
    </row>
    <row r="6" spans="1:25" ht="15" customHeight="1" x14ac:dyDescent="0.25">
      <c r="A6" s="43">
        <v>850</v>
      </c>
      <c r="B6" s="44">
        <v>1972</v>
      </c>
      <c r="C6" s="44">
        <v>2012</v>
      </c>
      <c r="D6" s="44">
        <v>2052</v>
      </c>
      <c r="E6" s="44">
        <v>2093</v>
      </c>
      <c r="F6" s="44">
        <v>2136</v>
      </c>
      <c r="G6" s="44">
        <v>2174</v>
      </c>
      <c r="H6" s="44">
        <v>2216</v>
      </c>
      <c r="I6" s="44">
        <v>2258</v>
      </c>
      <c r="J6" s="44">
        <v>2298</v>
      </c>
      <c r="K6" s="44">
        <v>2337</v>
      </c>
      <c r="L6" s="44">
        <v>2379</v>
      </c>
      <c r="M6" s="44">
        <v>2422</v>
      </c>
      <c r="N6" s="44">
        <v>2463</v>
      </c>
      <c r="O6" s="44">
        <v>2503</v>
      </c>
      <c r="P6" s="44">
        <v>2544</v>
      </c>
      <c r="Q6" s="44">
        <v>2585</v>
      </c>
      <c r="R6" s="44">
        <v>2628</v>
      </c>
      <c r="S6" s="44">
        <v>2665</v>
      </c>
      <c r="T6" s="44">
        <v>2707</v>
      </c>
      <c r="U6" s="44">
        <v>2749</v>
      </c>
      <c r="V6" s="44">
        <v>2788</v>
      </c>
      <c r="W6" s="44">
        <v>2826</v>
      </c>
      <c r="X6" s="44">
        <v>2870</v>
      </c>
      <c r="Y6" s="44">
        <v>2911</v>
      </c>
    </row>
    <row r="7" spans="1:25" ht="15" customHeight="1" x14ac:dyDescent="0.25">
      <c r="A7" s="43">
        <v>950</v>
      </c>
      <c r="B7" s="44">
        <v>2070</v>
      </c>
      <c r="C7" s="44">
        <v>2112</v>
      </c>
      <c r="D7" s="44">
        <v>2154</v>
      </c>
      <c r="E7" s="44">
        <v>2197</v>
      </c>
      <c r="F7" s="44">
        <v>2240</v>
      </c>
      <c r="G7" s="44">
        <v>2282</v>
      </c>
      <c r="H7" s="44">
        <v>2325</v>
      </c>
      <c r="I7" s="44">
        <v>2368</v>
      </c>
      <c r="J7" s="44">
        <v>2410</v>
      </c>
      <c r="K7" s="44">
        <v>2453</v>
      </c>
      <c r="L7" s="44">
        <v>2493</v>
      </c>
      <c r="M7" s="44">
        <v>2537</v>
      </c>
      <c r="N7" s="44">
        <v>2580</v>
      </c>
      <c r="O7" s="44">
        <v>2622</v>
      </c>
      <c r="P7" s="44">
        <v>2663</v>
      </c>
      <c r="Q7" s="44">
        <v>2707</v>
      </c>
      <c r="R7" s="44">
        <v>2749</v>
      </c>
      <c r="S7" s="44">
        <v>2795</v>
      </c>
      <c r="T7" s="44">
        <v>2836</v>
      </c>
      <c r="U7" s="44">
        <v>2878</v>
      </c>
      <c r="V7" s="44">
        <v>2918</v>
      </c>
      <c r="W7" s="44">
        <v>2961</v>
      </c>
      <c r="X7" s="44">
        <v>3003</v>
      </c>
      <c r="Y7" s="44">
        <v>3046</v>
      </c>
    </row>
    <row r="8" spans="1:25" ht="15" customHeight="1" x14ac:dyDescent="0.25">
      <c r="A8" s="43">
        <v>1050</v>
      </c>
      <c r="B8" s="44">
        <v>2167</v>
      </c>
      <c r="C8" s="44">
        <v>2212</v>
      </c>
      <c r="D8" s="44">
        <v>2254</v>
      </c>
      <c r="E8" s="44">
        <v>2299</v>
      </c>
      <c r="F8" s="44">
        <v>2342</v>
      </c>
      <c r="G8" s="44">
        <v>2385</v>
      </c>
      <c r="H8" s="44">
        <v>2430</v>
      </c>
      <c r="I8" s="44">
        <v>2474</v>
      </c>
      <c r="J8" s="44">
        <v>2519</v>
      </c>
      <c r="K8" s="44">
        <v>2562</v>
      </c>
      <c r="L8" s="44">
        <v>2606</v>
      </c>
      <c r="M8" s="44">
        <v>2650</v>
      </c>
      <c r="N8" s="44">
        <v>2695</v>
      </c>
      <c r="O8" s="44">
        <v>2739</v>
      </c>
      <c r="P8" s="44">
        <v>2782</v>
      </c>
      <c r="Q8" s="44">
        <v>2825</v>
      </c>
      <c r="R8" s="44">
        <v>2870</v>
      </c>
      <c r="S8" s="44">
        <v>2915</v>
      </c>
      <c r="T8" s="44">
        <v>2960</v>
      </c>
      <c r="U8" s="44">
        <v>3003</v>
      </c>
      <c r="V8" s="44">
        <v>3046</v>
      </c>
      <c r="W8" s="44">
        <v>3089</v>
      </c>
      <c r="X8" s="44">
        <v>3134</v>
      </c>
      <c r="Y8" s="44">
        <v>3178</v>
      </c>
    </row>
    <row r="9" spans="1:25" ht="15" customHeight="1" x14ac:dyDescent="0.25">
      <c r="A9" s="43">
        <v>1150</v>
      </c>
      <c r="B9" s="44">
        <v>2264</v>
      </c>
      <c r="C9" s="44">
        <v>2309</v>
      </c>
      <c r="D9" s="44">
        <v>2356</v>
      </c>
      <c r="E9" s="44">
        <v>2403</v>
      </c>
      <c r="F9" s="44">
        <v>2446</v>
      </c>
      <c r="G9" s="44">
        <v>2492</v>
      </c>
      <c r="H9" s="44">
        <v>2538</v>
      </c>
      <c r="I9" s="44">
        <v>2585</v>
      </c>
      <c r="J9" s="44">
        <v>2630</v>
      </c>
      <c r="K9" s="44">
        <v>2675</v>
      </c>
      <c r="L9" s="44">
        <v>2720</v>
      </c>
      <c r="M9" s="44">
        <v>2765</v>
      </c>
      <c r="N9" s="44">
        <v>2811</v>
      </c>
      <c r="O9" s="44">
        <v>2857</v>
      </c>
      <c r="P9" s="44">
        <v>2903</v>
      </c>
      <c r="Q9" s="44">
        <v>2949</v>
      </c>
      <c r="R9" s="44">
        <v>2995</v>
      </c>
      <c r="S9" s="44">
        <v>3039</v>
      </c>
      <c r="T9" s="44">
        <v>3085</v>
      </c>
      <c r="U9" s="44">
        <v>3130</v>
      </c>
      <c r="V9" s="44">
        <v>3175</v>
      </c>
      <c r="W9" s="44">
        <v>3221</v>
      </c>
      <c r="X9" s="44">
        <v>3268</v>
      </c>
      <c r="Y9" s="44">
        <v>3314</v>
      </c>
    </row>
    <row r="10" spans="1:25" ht="15" customHeight="1" x14ac:dyDescent="0.25">
      <c r="A10" s="43">
        <v>1250</v>
      </c>
      <c r="B10" s="44">
        <v>2364</v>
      </c>
      <c r="C10" s="44">
        <v>2411</v>
      </c>
      <c r="D10" s="44">
        <v>2459</v>
      </c>
      <c r="E10" s="44">
        <v>2505</v>
      </c>
      <c r="F10" s="44">
        <v>2550</v>
      </c>
      <c r="G10" s="44">
        <v>2597</v>
      </c>
      <c r="H10" s="44">
        <v>2645</v>
      </c>
      <c r="I10" s="44">
        <v>2693</v>
      </c>
      <c r="J10" s="44">
        <v>2740</v>
      </c>
      <c r="K10" s="44">
        <v>2787</v>
      </c>
      <c r="L10" s="44">
        <v>2837</v>
      </c>
      <c r="M10" s="44">
        <v>2881</v>
      </c>
      <c r="N10" s="44">
        <v>2928</v>
      </c>
      <c r="O10" s="44">
        <v>2975</v>
      </c>
      <c r="P10" s="44">
        <v>3024</v>
      </c>
      <c r="Q10" s="44">
        <v>3072</v>
      </c>
      <c r="R10" s="44">
        <v>3117</v>
      </c>
      <c r="S10" s="44">
        <v>3164</v>
      </c>
      <c r="T10" s="44">
        <v>3212</v>
      </c>
      <c r="U10" s="44">
        <v>3257</v>
      </c>
      <c r="V10" s="44">
        <v>3306</v>
      </c>
      <c r="W10" s="44">
        <v>3352</v>
      </c>
      <c r="X10" s="44">
        <v>3400</v>
      </c>
      <c r="Y10" s="44">
        <v>3447</v>
      </c>
    </row>
    <row r="11" spans="1:25" ht="15" customHeight="1" x14ac:dyDescent="0.25">
      <c r="A11" s="43">
        <v>1350</v>
      </c>
      <c r="B11" s="44">
        <v>2462</v>
      </c>
      <c r="C11" s="44">
        <v>2508</v>
      </c>
      <c r="D11" s="44">
        <v>2557</v>
      </c>
      <c r="E11" s="44">
        <v>2606</v>
      </c>
      <c r="F11" s="44">
        <v>2655</v>
      </c>
      <c r="G11" s="44">
        <v>2703</v>
      </c>
      <c r="H11" s="44">
        <v>2754</v>
      </c>
      <c r="I11" s="44">
        <v>2802</v>
      </c>
      <c r="J11" s="44">
        <v>2851</v>
      </c>
      <c r="K11" s="44">
        <v>2899</v>
      </c>
      <c r="L11" s="44">
        <v>2947</v>
      </c>
      <c r="M11" s="44">
        <v>2996</v>
      </c>
      <c r="N11" s="44">
        <v>3046</v>
      </c>
      <c r="O11" s="44">
        <v>3093</v>
      </c>
      <c r="P11" s="44">
        <v>3142</v>
      </c>
      <c r="Q11" s="44">
        <v>3192</v>
      </c>
      <c r="R11" s="44">
        <v>3241</v>
      </c>
      <c r="S11" s="44">
        <v>3289</v>
      </c>
      <c r="T11" s="44">
        <v>3337</v>
      </c>
      <c r="U11" s="44">
        <v>3386</v>
      </c>
      <c r="V11" s="44">
        <v>3436</v>
      </c>
      <c r="W11" s="44">
        <v>3484</v>
      </c>
      <c r="X11" s="44">
        <v>3532</v>
      </c>
      <c r="Y11" s="44">
        <v>3584</v>
      </c>
    </row>
    <row r="12" spans="1:25" ht="15" customHeight="1" x14ac:dyDescent="0.25">
      <c r="A12" s="43">
        <v>1450</v>
      </c>
      <c r="B12" s="44">
        <v>2557</v>
      </c>
      <c r="C12" s="44">
        <v>2607</v>
      </c>
      <c r="D12" s="44">
        <v>2658</v>
      </c>
      <c r="E12" s="44">
        <v>2710</v>
      </c>
      <c r="F12" s="44">
        <v>2760</v>
      </c>
      <c r="G12" s="44">
        <v>2810</v>
      </c>
      <c r="H12" s="44">
        <v>2859</v>
      </c>
      <c r="I12" s="44">
        <v>2910</v>
      </c>
      <c r="J12" s="44">
        <v>2961</v>
      </c>
      <c r="K12" s="44">
        <v>3011</v>
      </c>
      <c r="L12" s="44">
        <v>3060</v>
      </c>
      <c r="M12" s="44">
        <v>3112</v>
      </c>
      <c r="N12" s="44">
        <v>3162</v>
      </c>
      <c r="O12" s="44">
        <v>3212</v>
      </c>
      <c r="P12" s="44">
        <v>3260</v>
      </c>
      <c r="Q12" s="44">
        <v>3312</v>
      </c>
      <c r="R12" s="44">
        <v>3364</v>
      </c>
      <c r="S12" s="44">
        <v>3414</v>
      </c>
      <c r="T12" s="44">
        <v>3464</v>
      </c>
      <c r="U12" s="44">
        <v>3515</v>
      </c>
      <c r="V12" s="44">
        <v>3565</v>
      </c>
      <c r="W12" s="44">
        <v>3616</v>
      </c>
      <c r="X12" s="44">
        <v>3665</v>
      </c>
      <c r="Y12" s="44">
        <v>3715</v>
      </c>
    </row>
    <row r="13" spans="1:25" ht="15" customHeight="1" x14ac:dyDescent="0.25">
      <c r="A13" s="43">
        <v>1550</v>
      </c>
      <c r="B13" s="44">
        <v>2655</v>
      </c>
      <c r="C13" s="44">
        <v>2709</v>
      </c>
      <c r="D13" s="44">
        <v>2760</v>
      </c>
      <c r="E13" s="44">
        <v>2811</v>
      </c>
      <c r="F13" s="44">
        <v>2863</v>
      </c>
      <c r="G13" s="44">
        <v>2915</v>
      </c>
      <c r="H13" s="44">
        <v>2968</v>
      </c>
      <c r="I13" s="44">
        <v>3019</v>
      </c>
      <c r="J13" s="44">
        <v>3073</v>
      </c>
      <c r="K13" s="44">
        <v>3122</v>
      </c>
      <c r="L13" s="44">
        <v>3174</v>
      </c>
      <c r="M13" s="44">
        <v>3226</v>
      </c>
      <c r="N13" s="44">
        <v>3280</v>
      </c>
      <c r="O13" s="44">
        <v>3330</v>
      </c>
      <c r="P13" s="44">
        <v>3383</v>
      </c>
      <c r="Q13" s="44">
        <v>3435</v>
      </c>
      <c r="R13" s="44">
        <v>3487</v>
      </c>
      <c r="S13" s="44">
        <v>3541</v>
      </c>
      <c r="T13" s="44">
        <v>3590</v>
      </c>
      <c r="U13" s="44">
        <v>3642</v>
      </c>
      <c r="V13" s="44">
        <v>3695</v>
      </c>
      <c r="W13" s="44">
        <v>3747</v>
      </c>
      <c r="X13" s="44">
        <v>3796</v>
      </c>
      <c r="Y13" s="44">
        <v>3850</v>
      </c>
    </row>
    <row r="14" spans="1:25" ht="15" customHeight="1" x14ac:dyDescent="0.25">
      <c r="A14" s="43">
        <v>1650</v>
      </c>
      <c r="B14" s="44">
        <v>2755</v>
      </c>
      <c r="C14" s="44">
        <v>2806</v>
      </c>
      <c r="D14" s="44">
        <v>2859</v>
      </c>
      <c r="E14" s="44">
        <v>2914</v>
      </c>
      <c r="F14" s="44">
        <v>2969</v>
      </c>
      <c r="G14" s="44">
        <v>3021</v>
      </c>
      <c r="H14" s="44">
        <v>3075</v>
      </c>
      <c r="I14" s="44">
        <v>3129</v>
      </c>
      <c r="J14" s="44">
        <v>3181</v>
      </c>
      <c r="K14" s="44">
        <v>3235</v>
      </c>
      <c r="L14" s="44">
        <v>3288</v>
      </c>
      <c r="M14" s="44">
        <v>3341</v>
      </c>
      <c r="N14" s="44">
        <v>3394</v>
      </c>
      <c r="O14" s="44">
        <v>3448</v>
      </c>
      <c r="P14" s="44">
        <v>3504</v>
      </c>
      <c r="Q14" s="44">
        <v>3555</v>
      </c>
      <c r="R14" s="44">
        <v>3609</v>
      </c>
      <c r="S14" s="44">
        <v>3663</v>
      </c>
      <c r="T14" s="44">
        <v>3716</v>
      </c>
      <c r="U14" s="44">
        <v>3770</v>
      </c>
      <c r="V14" s="44">
        <v>3825</v>
      </c>
      <c r="W14" s="44">
        <v>3878</v>
      </c>
      <c r="X14" s="44">
        <v>3931</v>
      </c>
      <c r="Y14" s="44">
        <v>3986</v>
      </c>
    </row>
    <row r="15" spans="1:25" ht="15" customHeight="1" x14ac:dyDescent="0.25">
      <c r="A15" s="43">
        <v>1750</v>
      </c>
      <c r="B15" s="44">
        <v>2851</v>
      </c>
      <c r="C15" s="44">
        <v>2905</v>
      </c>
      <c r="D15" s="44">
        <v>2961</v>
      </c>
      <c r="E15" s="44">
        <v>3016</v>
      </c>
      <c r="F15" s="44">
        <v>3073</v>
      </c>
      <c r="G15" s="44">
        <v>3128</v>
      </c>
      <c r="H15" s="44">
        <v>3181</v>
      </c>
      <c r="I15" s="44">
        <v>3238</v>
      </c>
      <c r="J15" s="44">
        <v>3292</v>
      </c>
      <c r="K15" s="44">
        <v>3345</v>
      </c>
      <c r="L15" s="44">
        <v>3401</v>
      </c>
      <c r="M15" s="44">
        <v>3455</v>
      </c>
      <c r="N15" s="44">
        <v>3510</v>
      </c>
      <c r="O15" s="44">
        <v>3567</v>
      </c>
      <c r="P15" s="44">
        <v>3622</v>
      </c>
      <c r="Q15" s="44">
        <v>3677</v>
      </c>
      <c r="R15" s="44">
        <v>3732</v>
      </c>
      <c r="S15" s="44">
        <v>3787</v>
      </c>
      <c r="T15" s="44">
        <v>3841</v>
      </c>
      <c r="U15" s="44">
        <v>3897</v>
      </c>
      <c r="V15" s="44">
        <v>3952</v>
      </c>
      <c r="W15" s="44">
        <v>4007</v>
      </c>
      <c r="X15" s="44">
        <v>4061</v>
      </c>
      <c r="Y15" s="44">
        <v>4117</v>
      </c>
    </row>
    <row r="16" spans="1:25" ht="15" customHeight="1" x14ac:dyDescent="0.25">
      <c r="A16" s="43">
        <v>1850</v>
      </c>
      <c r="B16" s="44">
        <v>2949</v>
      </c>
      <c r="C16" s="44">
        <v>3004</v>
      </c>
      <c r="D16" s="44">
        <v>3061</v>
      </c>
      <c r="E16" s="44">
        <v>3118</v>
      </c>
      <c r="F16" s="44">
        <v>3174</v>
      </c>
      <c r="G16" s="44">
        <v>3233</v>
      </c>
      <c r="H16" s="44">
        <v>3288</v>
      </c>
      <c r="I16" s="44">
        <v>3344</v>
      </c>
      <c r="J16" s="44">
        <v>3401</v>
      </c>
      <c r="K16" s="44">
        <v>3461</v>
      </c>
      <c r="L16" s="44">
        <v>3516</v>
      </c>
      <c r="M16" s="44">
        <v>3573</v>
      </c>
      <c r="N16" s="44">
        <v>3630</v>
      </c>
      <c r="O16" s="44">
        <v>3684</v>
      </c>
      <c r="P16" s="44">
        <v>3743</v>
      </c>
      <c r="Q16" s="44">
        <v>3798</v>
      </c>
      <c r="R16" s="44">
        <v>3856</v>
      </c>
      <c r="S16" s="44">
        <v>3912</v>
      </c>
      <c r="T16" s="44">
        <v>3967</v>
      </c>
      <c r="U16" s="44">
        <v>4026</v>
      </c>
      <c r="V16" s="44">
        <v>4084</v>
      </c>
      <c r="W16" s="44">
        <v>4139</v>
      </c>
      <c r="X16" s="44">
        <v>4196</v>
      </c>
      <c r="Y16" s="44">
        <v>4708</v>
      </c>
    </row>
    <row r="17" spans="1:25" ht="15" customHeight="1" x14ac:dyDescent="0.25">
      <c r="A17" s="43">
        <v>1950</v>
      </c>
      <c r="B17" s="44">
        <v>3046</v>
      </c>
      <c r="C17" s="44">
        <v>3107</v>
      </c>
      <c r="D17" s="44">
        <v>3163</v>
      </c>
      <c r="E17" s="44">
        <v>3220</v>
      </c>
      <c r="F17" s="44">
        <v>3280</v>
      </c>
      <c r="G17" s="44">
        <v>3337</v>
      </c>
      <c r="H17" s="44">
        <v>3396</v>
      </c>
      <c r="I17" s="44">
        <v>3453</v>
      </c>
      <c r="J17" s="44">
        <v>3510</v>
      </c>
      <c r="K17" s="44">
        <v>3572</v>
      </c>
      <c r="L17" s="44">
        <v>3630</v>
      </c>
      <c r="M17" s="44">
        <v>3686</v>
      </c>
      <c r="N17" s="44">
        <v>3746</v>
      </c>
      <c r="O17" s="44">
        <v>3804</v>
      </c>
      <c r="P17" s="44">
        <v>3864</v>
      </c>
      <c r="Q17" s="44">
        <v>3921</v>
      </c>
      <c r="R17" s="44">
        <v>3977</v>
      </c>
      <c r="S17" s="44">
        <v>4038</v>
      </c>
      <c r="T17" s="44">
        <v>4095</v>
      </c>
      <c r="U17" s="44">
        <v>4152</v>
      </c>
      <c r="V17" s="44">
        <v>4214</v>
      </c>
      <c r="W17" s="44">
        <v>4718</v>
      </c>
      <c r="X17" s="44">
        <v>4794</v>
      </c>
      <c r="Y17" s="44">
        <v>4867</v>
      </c>
    </row>
    <row r="18" spans="1:25" ht="15" customHeight="1" x14ac:dyDescent="0.25">
      <c r="A18" s="43">
        <v>2050</v>
      </c>
      <c r="B18" s="44">
        <v>3144</v>
      </c>
      <c r="C18" s="44">
        <v>3203</v>
      </c>
      <c r="D18" s="44">
        <v>3264</v>
      </c>
      <c r="E18" s="44">
        <v>3324</v>
      </c>
      <c r="F18" s="44">
        <v>3384</v>
      </c>
      <c r="G18" s="44">
        <v>3443</v>
      </c>
      <c r="H18" s="44">
        <v>3504</v>
      </c>
      <c r="I18" s="44">
        <v>3564</v>
      </c>
      <c r="J18" s="44">
        <v>3622</v>
      </c>
      <c r="K18" s="44">
        <v>3682</v>
      </c>
      <c r="L18" s="44">
        <v>3743</v>
      </c>
      <c r="M18" s="44">
        <v>3803</v>
      </c>
      <c r="N18" s="44">
        <v>3864</v>
      </c>
      <c r="O18" s="44">
        <v>3921</v>
      </c>
      <c r="P18" s="44">
        <v>3984</v>
      </c>
      <c r="Q18" s="44">
        <v>4043</v>
      </c>
      <c r="R18" s="44">
        <v>4101</v>
      </c>
      <c r="S18" s="44">
        <v>4160</v>
      </c>
      <c r="T18" s="44">
        <v>4221</v>
      </c>
      <c r="U18" s="44">
        <v>4279</v>
      </c>
      <c r="V18" s="44">
        <v>4799</v>
      </c>
      <c r="W18" s="44">
        <v>4876</v>
      </c>
      <c r="X18" s="44">
        <v>4949</v>
      </c>
      <c r="Y18" s="44">
        <v>5026</v>
      </c>
    </row>
    <row r="19" spans="1:25" ht="15" customHeight="1" x14ac:dyDescent="0.25">
      <c r="A19" s="43">
        <v>2150</v>
      </c>
      <c r="B19" s="44">
        <v>3242</v>
      </c>
      <c r="C19" s="44">
        <v>3302</v>
      </c>
      <c r="D19" s="44">
        <v>3366</v>
      </c>
      <c r="E19" s="44">
        <v>3425</v>
      </c>
      <c r="F19" s="44">
        <v>3488</v>
      </c>
      <c r="G19" s="44">
        <v>3549</v>
      </c>
      <c r="H19" s="44">
        <v>3610</v>
      </c>
      <c r="I19" s="44">
        <v>3672</v>
      </c>
      <c r="J19" s="44">
        <v>3732</v>
      </c>
      <c r="K19" s="44">
        <v>3795</v>
      </c>
      <c r="L19" s="44">
        <v>3856</v>
      </c>
      <c r="M19" s="44">
        <v>3919</v>
      </c>
      <c r="N19" s="44">
        <v>3981</v>
      </c>
      <c r="O19" s="44">
        <v>4042</v>
      </c>
      <c r="P19" s="44">
        <v>4101</v>
      </c>
      <c r="Q19" s="44">
        <v>4163</v>
      </c>
      <c r="R19" s="44">
        <v>4224</v>
      </c>
      <c r="S19" s="44">
        <v>4719</v>
      </c>
      <c r="T19" s="44">
        <v>4797</v>
      </c>
      <c r="U19" s="44">
        <v>4871</v>
      </c>
      <c r="V19" s="44">
        <v>4949</v>
      </c>
      <c r="W19" s="44">
        <v>5028</v>
      </c>
      <c r="X19" s="44">
        <v>5105</v>
      </c>
      <c r="Y19" s="44">
        <v>5182</v>
      </c>
    </row>
    <row r="20" spans="1:25" ht="15" customHeight="1" x14ac:dyDescent="0.25">
      <c r="A20" s="43">
        <v>2250</v>
      </c>
      <c r="B20" s="44">
        <v>3338</v>
      </c>
      <c r="C20" s="44">
        <v>3403</v>
      </c>
      <c r="D20" s="44">
        <v>3465</v>
      </c>
      <c r="E20" s="44">
        <v>3528</v>
      </c>
      <c r="F20" s="44">
        <v>3592</v>
      </c>
      <c r="G20" s="44">
        <v>3656</v>
      </c>
      <c r="H20" s="44">
        <v>3717</v>
      </c>
      <c r="I20" s="44">
        <v>3781</v>
      </c>
      <c r="J20" s="44">
        <v>3841</v>
      </c>
      <c r="K20" s="44">
        <v>3908</v>
      </c>
      <c r="L20" s="44">
        <v>3969</v>
      </c>
      <c r="M20" s="44">
        <v>4033</v>
      </c>
      <c r="N20" s="44">
        <v>4095</v>
      </c>
      <c r="O20" s="44">
        <v>4158</v>
      </c>
      <c r="P20" s="44">
        <v>4221</v>
      </c>
      <c r="Q20" s="44">
        <v>4284</v>
      </c>
      <c r="R20" s="44">
        <v>4380</v>
      </c>
      <c r="S20" s="44">
        <v>4860</v>
      </c>
      <c r="T20" s="44">
        <v>4940</v>
      </c>
      <c r="U20" s="44">
        <v>5022</v>
      </c>
      <c r="V20" s="44">
        <v>5100</v>
      </c>
      <c r="W20" s="44">
        <v>5180</v>
      </c>
      <c r="X20" s="44">
        <v>5261</v>
      </c>
      <c r="Y20" s="44">
        <v>5341</v>
      </c>
    </row>
    <row r="21" spans="1:25" ht="15" customHeight="1" x14ac:dyDescent="0.25">
      <c r="A21" s="43">
        <v>2350</v>
      </c>
      <c r="B21" s="44">
        <v>3492</v>
      </c>
      <c r="C21" s="44">
        <v>3556</v>
      </c>
      <c r="D21" s="44">
        <v>3621</v>
      </c>
      <c r="E21" s="44">
        <v>3684</v>
      </c>
      <c r="F21" s="44">
        <v>3751</v>
      </c>
      <c r="G21" s="44">
        <v>3816</v>
      </c>
      <c r="H21" s="44">
        <v>3881</v>
      </c>
      <c r="I21" s="44">
        <v>3944</v>
      </c>
      <c r="J21" s="44">
        <v>4010</v>
      </c>
      <c r="K21" s="44">
        <v>4073</v>
      </c>
      <c r="L21" s="44">
        <v>4140</v>
      </c>
      <c r="M21" s="44">
        <v>4203</v>
      </c>
      <c r="N21" s="44">
        <v>4267</v>
      </c>
      <c r="O21" s="44">
        <v>4333</v>
      </c>
      <c r="P21" s="44">
        <v>4397</v>
      </c>
      <c r="Q21" s="44">
        <v>4468</v>
      </c>
      <c r="R21" s="44">
        <v>4979</v>
      </c>
      <c r="S21" s="44">
        <v>5059</v>
      </c>
      <c r="T21" s="44">
        <v>5142</v>
      </c>
      <c r="U21" s="44">
        <v>5226</v>
      </c>
      <c r="V21" s="44">
        <v>5309</v>
      </c>
      <c r="W21" s="44">
        <v>5237</v>
      </c>
      <c r="X21" s="44">
        <v>5474</v>
      </c>
      <c r="Y21" s="44">
        <v>5557</v>
      </c>
    </row>
    <row r="23" spans="1:25" ht="15" customHeight="1" x14ac:dyDescent="0.25">
      <c r="A23" s="121" t="s">
        <v>261</v>
      </c>
      <c r="B23" s="93"/>
      <c r="C23" s="93"/>
      <c r="D23" s="93"/>
      <c r="E23" s="93"/>
      <c r="F23" s="93"/>
      <c r="G23" s="93"/>
      <c r="H23" s="93"/>
      <c r="I23" s="93"/>
      <c r="J23" s="93"/>
      <c r="K23" s="93"/>
      <c r="L23" s="93"/>
      <c r="M23" s="93"/>
      <c r="N23" s="93"/>
      <c r="O23" s="93"/>
      <c r="P23" s="93"/>
      <c r="Q23" s="93"/>
      <c r="R23" s="93"/>
      <c r="S23" s="93"/>
      <c r="T23" s="93"/>
      <c r="U23" s="93"/>
      <c r="V23" s="93"/>
      <c r="W23" s="93"/>
      <c r="X23" s="93"/>
      <c r="Y23" s="93"/>
    </row>
    <row r="24" spans="1:25" ht="15" customHeight="1" x14ac:dyDescent="0.25">
      <c r="A24" s="43" t="s">
        <v>260</v>
      </c>
      <c r="B24" s="43">
        <v>900</v>
      </c>
      <c r="C24" s="43">
        <v>1000</v>
      </c>
      <c r="D24" s="43">
        <v>1100</v>
      </c>
      <c r="E24" s="43">
        <v>1200</v>
      </c>
      <c r="F24" s="43">
        <v>1300</v>
      </c>
      <c r="G24" s="43">
        <v>1400</v>
      </c>
      <c r="H24" s="43">
        <v>1500</v>
      </c>
      <c r="I24" s="43">
        <v>1600</v>
      </c>
      <c r="J24" s="43">
        <v>1700</v>
      </c>
      <c r="K24" s="43">
        <v>1800</v>
      </c>
      <c r="L24" s="43">
        <v>1900</v>
      </c>
      <c r="M24" s="43">
        <v>2000</v>
      </c>
      <c r="N24" s="43">
        <v>2100</v>
      </c>
      <c r="O24" s="43">
        <v>2200</v>
      </c>
      <c r="P24" s="43">
        <v>2300</v>
      </c>
      <c r="Q24" s="43">
        <v>2400</v>
      </c>
      <c r="R24" s="43">
        <v>2500</v>
      </c>
      <c r="S24" s="43">
        <v>2600</v>
      </c>
      <c r="T24" s="43">
        <v>2700</v>
      </c>
      <c r="U24" s="43">
        <v>2800</v>
      </c>
      <c r="V24" s="43">
        <v>2900</v>
      </c>
      <c r="W24" s="43">
        <v>3000</v>
      </c>
      <c r="X24" s="43">
        <v>3100</v>
      </c>
      <c r="Y24" s="43">
        <v>3200</v>
      </c>
    </row>
    <row r="25" spans="1:25" ht="15" customHeight="1" x14ac:dyDescent="0.25">
      <c r="A25" s="43">
        <v>750</v>
      </c>
      <c r="B25" s="45">
        <v>0.5</v>
      </c>
      <c r="C25" s="45">
        <v>0.5</v>
      </c>
      <c r="D25" s="45">
        <v>0.5</v>
      </c>
      <c r="E25" s="45">
        <v>0.56000000000000005</v>
      </c>
      <c r="F25" s="45">
        <v>0.61</v>
      </c>
      <c r="G25" s="45">
        <v>0.67</v>
      </c>
      <c r="H25" s="45">
        <v>0.73</v>
      </c>
      <c r="I25" s="45">
        <v>0.78</v>
      </c>
      <c r="J25" s="45">
        <v>0.84</v>
      </c>
      <c r="K25" s="45">
        <v>0.89</v>
      </c>
      <c r="L25" s="45">
        <v>0.95</v>
      </c>
      <c r="M25" s="45">
        <v>1.01</v>
      </c>
      <c r="N25" s="45">
        <v>1.06</v>
      </c>
      <c r="O25" s="45">
        <v>1.1200000000000001</v>
      </c>
      <c r="P25" s="45">
        <v>1.18</v>
      </c>
      <c r="Q25" s="45">
        <v>1.23</v>
      </c>
      <c r="R25" s="45">
        <v>1.29</v>
      </c>
      <c r="S25" s="45">
        <v>1.34</v>
      </c>
      <c r="T25" s="45">
        <v>1.4</v>
      </c>
      <c r="U25" s="45">
        <v>1.46</v>
      </c>
      <c r="V25" s="45">
        <v>1.51</v>
      </c>
      <c r="W25" s="45">
        <v>1.57</v>
      </c>
      <c r="X25" s="45">
        <v>1.62</v>
      </c>
      <c r="Y25" s="45">
        <v>1.68</v>
      </c>
    </row>
    <row r="26" spans="1:25" ht="15" customHeight="1" x14ac:dyDescent="0.25">
      <c r="A26" s="43">
        <v>850</v>
      </c>
      <c r="B26" s="45">
        <v>0.5</v>
      </c>
      <c r="C26" s="45">
        <v>0.52</v>
      </c>
      <c r="D26" s="45">
        <v>0.59</v>
      </c>
      <c r="E26" s="45">
        <v>0.66</v>
      </c>
      <c r="F26" s="45">
        <v>0.72</v>
      </c>
      <c r="G26" s="45">
        <v>0.79</v>
      </c>
      <c r="H26" s="45">
        <v>0.85</v>
      </c>
      <c r="I26" s="45">
        <v>0.92</v>
      </c>
      <c r="J26" s="45">
        <v>0.99</v>
      </c>
      <c r="K26" s="45">
        <v>1.05</v>
      </c>
      <c r="L26" s="45">
        <v>1.1200000000000001</v>
      </c>
      <c r="M26" s="45">
        <v>1.19</v>
      </c>
      <c r="N26" s="45">
        <v>1.25</v>
      </c>
      <c r="O26" s="45">
        <v>1.32</v>
      </c>
      <c r="P26" s="45">
        <v>1.38</v>
      </c>
      <c r="Q26" s="45">
        <v>1.45</v>
      </c>
      <c r="R26" s="45">
        <v>1.52</v>
      </c>
      <c r="S26" s="45">
        <v>1.58</v>
      </c>
      <c r="T26" s="45">
        <v>1.65</v>
      </c>
      <c r="U26" s="45">
        <v>1.72</v>
      </c>
      <c r="V26" s="45">
        <v>1.78</v>
      </c>
      <c r="W26" s="45">
        <v>1.85</v>
      </c>
      <c r="X26" s="45">
        <v>1.91</v>
      </c>
      <c r="Y26" s="45">
        <v>1.98</v>
      </c>
    </row>
    <row r="27" spans="1:25" ht="15" customHeight="1" x14ac:dyDescent="0.25">
      <c r="A27" s="43">
        <v>950</v>
      </c>
      <c r="B27" s="45">
        <v>0.5</v>
      </c>
      <c r="C27" s="45">
        <v>0.53</v>
      </c>
      <c r="D27" s="45">
        <v>0.6</v>
      </c>
      <c r="E27" s="45">
        <v>0.68</v>
      </c>
      <c r="F27" s="45">
        <v>0.76</v>
      </c>
      <c r="G27" s="45">
        <v>0.83</v>
      </c>
      <c r="H27" s="45">
        <v>0.91</v>
      </c>
      <c r="I27" s="45">
        <v>0.98</v>
      </c>
      <c r="J27" s="45">
        <v>1.06</v>
      </c>
      <c r="K27" s="45">
        <v>1.1399999999999999</v>
      </c>
      <c r="L27" s="45">
        <v>1.21</v>
      </c>
      <c r="M27" s="45">
        <v>1.29</v>
      </c>
      <c r="N27" s="45">
        <v>1.36</v>
      </c>
      <c r="O27" s="45">
        <v>1.44</v>
      </c>
      <c r="P27" s="45">
        <v>1.52</v>
      </c>
      <c r="Q27" s="45">
        <v>1.59</v>
      </c>
      <c r="R27" s="45">
        <v>1.67</v>
      </c>
      <c r="S27" s="45">
        <v>1.75</v>
      </c>
      <c r="T27" s="45">
        <v>1.82</v>
      </c>
      <c r="U27" s="45">
        <v>1.9</v>
      </c>
      <c r="V27" s="45">
        <v>1.97</v>
      </c>
      <c r="W27" s="45">
        <v>2.0499999999999998</v>
      </c>
      <c r="X27" s="45">
        <v>2.13</v>
      </c>
      <c r="Y27" s="45">
        <v>2.2000000000000002</v>
      </c>
    </row>
    <row r="28" spans="1:25" ht="15" customHeight="1" x14ac:dyDescent="0.25">
      <c r="A28" s="43">
        <v>1050</v>
      </c>
      <c r="B28" s="45">
        <v>0.6</v>
      </c>
      <c r="C28" s="45">
        <v>0.68</v>
      </c>
      <c r="D28" s="45">
        <v>0.77</v>
      </c>
      <c r="E28" s="45">
        <v>0.85</v>
      </c>
      <c r="F28" s="45">
        <v>0.94</v>
      </c>
      <c r="G28" s="45">
        <v>1.03</v>
      </c>
      <c r="H28" s="45">
        <v>1.1100000000000001</v>
      </c>
      <c r="I28" s="45">
        <v>1.2</v>
      </c>
      <c r="J28" s="45">
        <v>1.29</v>
      </c>
      <c r="K28" s="45">
        <v>1.37</v>
      </c>
      <c r="L28" s="45">
        <v>1.46</v>
      </c>
      <c r="M28" s="45">
        <v>1.54</v>
      </c>
      <c r="N28" s="45">
        <v>1.63</v>
      </c>
      <c r="O28" s="45">
        <v>1.72</v>
      </c>
      <c r="P28" s="45">
        <v>1.8</v>
      </c>
      <c r="Q28" s="45">
        <v>1.89</v>
      </c>
      <c r="R28" s="45">
        <v>1.98</v>
      </c>
      <c r="S28" s="45">
        <v>2.06</v>
      </c>
      <c r="T28" s="45">
        <v>2.15</v>
      </c>
      <c r="U28" s="45">
        <v>2.23</v>
      </c>
      <c r="V28" s="45">
        <v>2.3199999999999998</v>
      </c>
      <c r="W28" s="45">
        <v>2.41</v>
      </c>
      <c r="X28" s="45">
        <v>2.4900000000000002</v>
      </c>
      <c r="Y28" s="45">
        <v>2.58</v>
      </c>
    </row>
    <row r="29" spans="1:25" ht="15" customHeight="1" x14ac:dyDescent="0.25">
      <c r="A29" s="43">
        <v>1150</v>
      </c>
      <c r="B29" s="45">
        <v>0.67</v>
      </c>
      <c r="C29" s="45">
        <v>0.76</v>
      </c>
      <c r="D29" s="45">
        <v>0.86</v>
      </c>
      <c r="E29" s="45">
        <v>0.95</v>
      </c>
      <c r="F29" s="45">
        <v>1.05</v>
      </c>
      <c r="G29" s="45">
        <v>1.1499999999999999</v>
      </c>
      <c r="H29" s="45">
        <v>1.24</v>
      </c>
      <c r="I29" s="45">
        <v>1.34</v>
      </c>
      <c r="J29" s="45">
        <v>1.43</v>
      </c>
      <c r="K29" s="45">
        <v>1.53</v>
      </c>
      <c r="L29" s="45">
        <v>1.63</v>
      </c>
      <c r="M29" s="45">
        <v>1.72</v>
      </c>
      <c r="N29" s="45">
        <v>1.82</v>
      </c>
      <c r="O29" s="45">
        <v>1.92</v>
      </c>
      <c r="P29" s="45">
        <v>2.0099999999999998</v>
      </c>
      <c r="Q29" s="45">
        <v>2.11</v>
      </c>
      <c r="R29" s="45">
        <v>2.2000000000000002</v>
      </c>
      <c r="S29" s="45">
        <v>2.2999999999999998</v>
      </c>
      <c r="T29" s="45">
        <v>2.4</v>
      </c>
      <c r="U29" s="45">
        <v>2.4900000000000002</v>
      </c>
      <c r="V29" s="45">
        <v>2.59</v>
      </c>
      <c r="W29" s="45">
        <v>2.69</v>
      </c>
      <c r="X29" s="45">
        <v>2.78</v>
      </c>
      <c r="Y29" s="45">
        <v>2.88</v>
      </c>
    </row>
    <row r="30" spans="1:25" ht="15" customHeight="1" x14ac:dyDescent="0.25">
      <c r="A30" s="43">
        <v>1250</v>
      </c>
      <c r="B30" s="45">
        <v>0.73</v>
      </c>
      <c r="C30" s="45">
        <v>0.84</v>
      </c>
      <c r="D30" s="45">
        <v>0.95</v>
      </c>
      <c r="E30" s="45">
        <v>1.05</v>
      </c>
      <c r="F30" s="45">
        <v>1.1599999999999999</v>
      </c>
      <c r="G30" s="45">
        <v>1.27</v>
      </c>
      <c r="H30" s="45">
        <v>1.37</v>
      </c>
      <c r="I30" s="45">
        <v>1.48</v>
      </c>
      <c r="J30" s="45">
        <v>1.58</v>
      </c>
      <c r="K30" s="45">
        <v>1.69</v>
      </c>
      <c r="L30" s="45">
        <v>1.8</v>
      </c>
      <c r="M30" s="45">
        <v>1.9</v>
      </c>
      <c r="N30" s="45">
        <v>2.0099999999999998</v>
      </c>
      <c r="O30" s="45">
        <v>2.11</v>
      </c>
      <c r="P30" s="45">
        <v>2.2200000000000002</v>
      </c>
      <c r="Q30" s="45">
        <v>2.33</v>
      </c>
      <c r="R30" s="45">
        <v>2.4300000000000002</v>
      </c>
      <c r="S30" s="45">
        <v>2.54</v>
      </c>
      <c r="T30" s="45">
        <v>2.65</v>
      </c>
      <c r="U30" s="45">
        <v>2.75</v>
      </c>
      <c r="V30" s="45">
        <v>2.86</v>
      </c>
      <c r="W30" s="45">
        <v>2.96</v>
      </c>
      <c r="X30" s="45">
        <v>3.07</v>
      </c>
      <c r="Y30" s="45">
        <v>3.18</v>
      </c>
    </row>
    <row r="31" spans="1:25" ht="15" customHeight="1" x14ac:dyDescent="0.25">
      <c r="A31" s="43">
        <v>1350</v>
      </c>
      <c r="B31" s="45">
        <v>0.8</v>
      </c>
      <c r="C31" s="45">
        <v>0.92</v>
      </c>
      <c r="D31" s="45">
        <v>1.04</v>
      </c>
      <c r="E31" s="45">
        <v>1.1499999999999999</v>
      </c>
      <c r="F31" s="45">
        <v>1.27</v>
      </c>
      <c r="G31" s="45">
        <v>1.38</v>
      </c>
      <c r="H31" s="45">
        <v>1.5</v>
      </c>
      <c r="I31" s="45">
        <v>1.62</v>
      </c>
      <c r="J31" s="45">
        <v>1.73</v>
      </c>
      <c r="K31" s="45">
        <v>1.85</v>
      </c>
      <c r="L31" s="45">
        <v>1.97</v>
      </c>
      <c r="M31" s="45">
        <v>2.08</v>
      </c>
      <c r="N31" s="45">
        <v>2.2000000000000002</v>
      </c>
      <c r="O31" s="45">
        <v>2.31</v>
      </c>
      <c r="P31" s="45">
        <v>2.4300000000000002</v>
      </c>
      <c r="Q31" s="45">
        <v>2.5499999999999998</v>
      </c>
      <c r="R31" s="45">
        <v>2.66</v>
      </c>
      <c r="S31" s="45">
        <v>2.78</v>
      </c>
      <c r="T31" s="45">
        <v>2.89</v>
      </c>
      <c r="U31" s="45">
        <v>3.01</v>
      </c>
      <c r="V31" s="45">
        <v>3.13</v>
      </c>
      <c r="W31" s="45">
        <v>3.24</v>
      </c>
      <c r="X31" s="45">
        <v>3.36</v>
      </c>
      <c r="Y31" s="45">
        <v>3.48</v>
      </c>
    </row>
    <row r="32" spans="1:25" ht="15" customHeight="1" x14ac:dyDescent="0.25">
      <c r="A32" s="43">
        <v>1450</v>
      </c>
      <c r="B32" s="45">
        <v>0.87</v>
      </c>
      <c r="C32" s="45">
        <v>1</v>
      </c>
      <c r="D32" s="45">
        <v>1.1299999999999999</v>
      </c>
      <c r="E32" s="45">
        <v>1.25</v>
      </c>
      <c r="F32" s="45">
        <v>1.38</v>
      </c>
      <c r="G32" s="45">
        <v>1.5</v>
      </c>
      <c r="H32" s="45">
        <v>1.63</v>
      </c>
      <c r="I32" s="45">
        <v>1.76</v>
      </c>
      <c r="J32" s="45">
        <v>1.88</v>
      </c>
      <c r="K32" s="45">
        <v>2.0099999999999998</v>
      </c>
      <c r="L32" s="45">
        <v>2.13</v>
      </c>
      <c r="M32" s="45">
        <v>2.2599999999999998</v>
      </c>
      <c r="N32" s="45">
        <v>2.39</v>
      </c>
      <c r="O32" s="45">
        <v>2.5099999999999998</v>
      </c>
      <c r="P32" s="45">
        <v>2.64</v>
      </c>
      <c r="Q32" s="45">
        <v>2.77</v>
      </c>
      <c r="R32" s="45">
        <v>2.89</v>
      </c>
      <c r="S32" s="45">
        <v>3.02</v>
      </c>
      <c r="T32" s="45">
        <v>3.14</v>
      </c>
      <c r="U32" s="45">
        <v>3.27</v>
      </c>
      <c r="V32" s="45">
        <v>3.4</v>
      </c>
      <c r="W32" s="45">
        <v>3.52</v>
      </c>
      <c r="X32" s="45">
        <v>3.65</v>
      </c>
      <c r="Y32" s="45">
        <v>3.78</v>
      </c>
    </row>
    <row r="33" spans="1:25" ht="15" customHeight="1" x14ac:dyDescent="0.25">
      <c r="A33" s="43">
        <v>1550</v>
      </c>
      <c r="B33" s="45">
        <v>0.94</v>
      </c>
      <c r="C33" s="45">
        <v>1.08</v>
      </c>
      <c r="D33" s="45">
        <v>1.21</v>
      </c>
      <c r="E33" s="45">
        <v>1.35</v>
      </c>
      <c r="F33" s="45">
        <v>1.49</v>
      </c>
      <c r="G33" s="45">
        <v>1.62</v>
      </c>
      <c r="H33" s="45">
        <v>1.76</v>
      </c>
      <c r="I33" s="45">
        <v>1.9</v>
      </c>
      <c r="J33" s="45">
        <v>2.0299999999999998</v>
      </c>
      <c r="K33" s="45">
        <v>2.17</v>
      </c>
      <c r="L33" s="45">
        <v>2.2999999999999998</v>
      </c>
      <c r="M33" s="45">
        <v>2.44</v>
      </c>
      <c r="N33" s="45">
        <v>2.58</v>
      </c>
      <c r="O33" s="45">
        <v>2.71</v>
      </c>
      <c r="P33" s="45">
        <v>2.85</v>
      </c>
      <c r="Q33" s="45">
        <v>2.98</v>
      </c>
      <c r="R33" s="45">
        <v>3.12</v>
      </c>
      <c r="S33" s="45">
        <v>3.26</v>
      </c>
      <c r="T33" s="45">
        <v>3.39</v>
      </c>
      <c r="U33" s="45">
        <v>3.53</v>
      </c>
      <c r="V33" s="45">
        <v>3.67</v>
      </c>
      <c r="W33" s="45">
        <v>3.8</v>
      </c>
      <c r="X33" s="45">
        <v>3.94</v>
      </c>
      <c r="Y33" s="45">
        <v>4.07</v>
      </c>
    </row>
    <row r="34" spans="1:25" ht="15" customHeight="1" x14ac:dyDescent="0.25">
      <c r="A34" s="43">
        <v>1650</v>
      </c>
      <c r="B34" s="45">
        <v>1.01</v>
      </c>
      <c r="C34" s="45">
        <v>1.1599999999999999</v>
      </c>
      <c r="D34" s="45">
        <v>1.3</v>
      </c>
      <c r="E34" s="45">
        <v>1.45</v>
      </c>
      <c r="F34" s="45">
        <v>1.6</v>
      </c>
      <c r="G34" s="45">
        <v>1.74</v>
      </c>
      <c r="H34" s="45">
        <v>1.89</v>
      </c>
      <c r="I34" s="45">
        <v>2.0299999999999998</v>
      </c>
      <c r="J34" s="45">
        <v>2.1800000000000002</v>
      </c>
      <c r="K34" s="45">
        <v>2.33</v>
      </c>
      <c r="L34" s="45">
        <v>2.4700000000000002</v>
      </c>
      <c r="M34" s="45">
        <v>2.62</v>
      </c>
      <c r="N34" s="45">
        <v>2.77</v>
      </c>
      <c r="O34" s="45">
        <v>2.91</v>
      </c>
      <c r="P34" s="45">
        <v>3.06</v>
      </c>
      <c r="Q34" s="45">
        <v>3.2</v>
      </c>
      <c r="R34" s="45">
        <v>3.35</v>
      </c>
      <c r="S34" s="45">
        <v>3.5</v>
      </c>
      <c r="T34" s="45">
        <v>3.64</v>
      </c>
      <c r="U34" s="45">
        <v>3.79</v>
      </c>
      <c r="V34" s="45">
        <v>3.93</v>
      </c>
      <c r="W34" s="45">
        <v>4.08</v>
      </c>
      <c r="X34" s="45">
        <v>4.2300000000000004</v>
      </c>
      <c r="Y34" s="45">
        <v>4.37</v>
      </c>
    </row>
    <row r="35" spans="1:25" ht="15" customHeight="1" x14ac:dyDescent="0.25">
      <c r="A35" s="43">
        <v>1750</v>
      </c>
      <c r="B35" s="45">
        <v>1.08</v>
      </c>
      <c r="C35" s="45">
        <v>1.24</v>
      </c>
      <c r="D35" s="45">
        <v>1.39</v>
      </c>
      <c r="E35" s="45">
        <v>1.55</v>
      </c>
      <c r="F35" s="45">
        <v>1.71</v>
      </c>
      <c r="G35" s="45">
        <v>1.86</v>
      </c>
      <c r="H35" s="45">
        <v>2.02</v>
      </c>
      <c r="I35" s="45">
        <v>2.17</v>
      </c>
      <c r="J35" s="45">
        <v>2.33</v>
      </c>
      <c r="K35" s="45">
        <v>2.4900000000000002</v>
      </c>
      <c r="L35" s="45">
        <v>2.64</v>
      </c>
      <c r="M35" s="45">
        <v>2.8</v>
      </c>
      <c r="N35" s="45">
        <v>2.95</v>
      </c>
      <c r="O35" s="45">
        <v>3.11</v>
      </c>
      <c r="P35" s="45">
        <v>3.27</v>
      </c>
      <c r="Q35" s="45">
        <v>3.42</v>
      </c>
      <c r="R35" s="45">
        <v>3.58</v>
      </c>
      <c r="S35" s="45">
        <v>3.74</v>
      </c>
      <c r="T35" s="45">
        <v>3.89</v>
      </c>
      <c r="U35" s="45">
        <v>4.05</v>
      </c>
      <c r="V35" s="45">
        <v>4.2</v>
      </c>
      <c r="W35" s="45">
        <v>4.3600000000000003</v>
      </c>
      <c r="X35" s="45">
        <v>4.5199999999999996</v>
      </c>
      <c r="Y35" s="45">
        <v>4.67</v>
      </c>
    </row>
    <row r="36" spans="1:25" ht="15" customHeight="1" x14ac:dyDescent="0.25">
      <c r="A36" s="43">
        <v>1850</v>
      </c>
      <c r="B36" s="45">
        <v>1.1499999999999999</v>
      </c>
      <c r="C36" s="45">
        <v>1.32</v>
      </c>
      <c r="D36" s="45">
        <v>1.48</v>
      </c>
      <c r="E36" s="45">
        <v>1.65</v>
      </c>
      <c r="F36" s="45">
        <v>1.81</v>
      </c>
      <c r="G36" s="45">
        <v>1.98</v>
      </c>
      <c r="H36" s="45">
        <v>2.15</v>
      </c>
      <c r="I36" s="45">
        <v>2.31</v>
      </c>
      <c r="J36" s="45">
        <v>2.48</v>
      </c>
      <c r="K36" s="45">
        <v>2.65</v>
      </c>
      <c r="L36" s="45">
        <v>2.81</v>
      </c>
      <c r="M36" s="45">
        <v>2.98</v>
      </c>
      <c r="N36" s="45">
        <v>3.14</v>
      </c>
      <c r="O36" s="45">
        <v>3.31</v>
      </c>
      <c r="P36" s="45">
        <v>3.48</v>
      </c>
      <c r="Q36" s="45">
        <v>3.64</v>
      </c>
      <c r="R36" s="45">
        <v>3.81</v>
      </c>
      <c r="S36" s="45">
        <v>3.97</v>
      </c>
      <c r="T36" s="45">
        <v>4.1399999999999997</v>
      </c>
      <c r="U36" s="45">
        <v>4.3099999999999996</v>
      </c>
      <c r="V36" s="45">
        <v>4.47</v>
      </c>
      <c r="W36" s="45">
        <v>4.6399999999999997</v>
      </c>
      <c r="X36" s="45">
        <v>4.8099999999999996</v>
      </c>
      <c r="Y36" s="45">
        <v>4.97</v>
      </c>
    </row>
    <row r="37" spans="1:25" ht="15" customHeight="1" x14ac:dyDescent="0.25">
      <c r="A37" s="43">
        <v>1950</v>
      </c>
      <c r="B37" s="45">
        <v>1.22</v>
      </c>
      <c r="C37" s="45">
        <v>1.39</v>
      </c>
      <c r="D37" s="45">
        <v>1.57</v>
      </c>
      <c r="E37" s="45">
        <v>1.75</v>
      </c>
      <c r="F37" s="45">
        <v>1.92</v>
      </c>
      <c r="G37" s="45">
        <v>2.1</v>
      </c>
      <c r="H37" s="45">
        <v>2.2799999999999998</v>
      </c>
      <c r="I37" s="45">
        <v>2.4500000000000002</v>
      </c>
      <c r="J37" s="45">
        <v>2.63</v>
      </c>
      <c r="K37" s="45">
        <v>2.8</v>
      </c>
      <c r="L37" s="45">
        <v>2.98</v>
      </c>
      <c r="M37" s="45">
        <v>3.16</v>
      </c>
      <c r="N37" s="45">
        <v>3.33</v>
      </c>
      <c r="O37" s="45">
        <v>3.51</v>
      </c>
      <c r="P37" s="45">
        <v>3.69</v>
      </c>
      <c r="Q37" s="45">
        <v>3.86</v>
      </c>
      <c r="R37" s="45">
        <v>4.04</v>
      </c>
      <c r="S37" s="45">
        <v>4.21</v>
      </c>
      <c r="T37" s="45">
        <v>4.3899999999999997</v>
      </c>
      <c r="U37" s="45">
        <v>4.57</v>
      </c>
      <c r="V37" s="45">
        <v>4.74</v>
      </c>
      <c r="W37" s="45">
        <v>4.92</v>
      </c>
      <c r="X37" s="45">
        <v>5.09</v>
      </c>
      <c r="Y37" s="45">
        <v>5.27</v>
      </c>
    </row>
    <row r="38" spans="1:25" ht="15" customHeight="1" x14ac:dyDescent="0.25">
      <c r="A38" s="43">
        <v>2050</v>
      </c>
      <c r="B38" s="45">
        <v>1.29</v>
      </c>
      <c r="C38" s="45">
        <v>1.47</v>
      </c>
      <c r="D38" s="45">
        <v>1.66</v>
      </c>
      <c r="E38" s="45">
        <v>1.85</v>
      </c>
      <c r="F38" s="45">
        <v>2.0299999999999998</v>
      </c>
      <c r="G38" s="45">
        <v>2.2200000000000002</v>
      </c>
      <c r="H38" s="45">
        <v>2.41</v>
      </c>
      <c r="I38" s="45">
        <v>2.59</v>
      </c>
      <c r="J38" s="45">
        <v>2.78</v>
      </c>
      <c r="K38" s="45">
        <v>2.96</v>
      </c>
      <c r="L38" s="45">
        <v>3.15</v>
      </c>
      <c r="M38" s="45">
        <v>3.34</v>
      </c>
      <c r="N38" s="45">
        <v>3.52</v>
      </c>
      <c r="O38" s="45">
        <v>3.71</v>
      </c>
      <c r="P38" s="45">
        <v>3.89</v>
      </c>
      <c r="Q38" s="45">
        <v>4.08</v>
      </c>
      <c r="R38" s="45">
        <v>4.2699999999999996</v>
      </c>
      <c r="S38" s="45">
        <v>4.45</v>
      </c>
      <c r="T38" s="45">
        <v>4.6399999999999997</v>
      </c>
      <c r="U38" s="45">
        <v>4.83</v>
      </c>
      <c r="V38" s="45">
        <v>5.01</v>
      </c>
      <c r="W38" s="45">
        <v>5.2</v>
      </c>
      <c r="X38" s="45">
        <v>5.38</v>
      </c>
      <c r="Y38" s="45">
        <v>5.57</v>
      </c>
    </row>
    <row r="39" spans="1:25" ht="15" customHeight="1" x14ac:dyDescent="0.25">
      <c r="A39" s="43">
        <v>2150</v>
      </c>
      <c r="B39" s="45">
        <v>1.36</v>
      </c>
      <c r="C39" s="45">
        <v>1.55</v>
      </c>
      <c r="D39" s="45">
        <v>1.75</v>
      </c>
      <c r="E39" s="45">
        <v>1.95</v>
      </c>
      <c r="F39" s="45">
        <v>2.14</v>
      </c>
      <c r="G39" s="45">
        <v>2.34</v>
      </c>
      <c r="H39" s="45">
        <v>2.5299999999999998</v>
      </c>
      <c r="I39" s="45">
        <v>2.73</v>
      </c>
      <c r="J39" s="45">
        <v>2.93</v>
      </c>
      <c r="K39" s="45">
        <v>3.12</v>
      </c>
      <c r="L39" s="45">
        <v>3.32</v>
      </c>
      <c r="M39" s="45">
        <v>3.52</v>
      </c>
      <c r="N39" s="45">
        <v>3.71</v>
      </c>
      <c r="O39" s="45">
        <v>3.91</v>
      </c>
      <c r="P39" s="45">
        <v>4.0999999999999996</v>
      </c>
      <c r="Q39" s="45">
        <v>4.3</v>
      </c>
      <c r="R39" s="45">
        <v>4.5</v>
      </c>
      <c r="S39" s="45">
        <v>4.6900000000000004</v>
      </c>
      <c r="T39" s="45">
        <v>4.8899999999999997</v>
      </c>
      <c r="U39" s="45">
        <v>5.08</v>
      </c>
      <c r="V39" s="45">
        <v>5.28</v>
      </c>
      <c r="W39" s="45">
        <v>5.48</v>
      </c>
      <c r="X39" s="45">
        <v>5.67</v>
      </c>
      <c r="Y39" s="45">
        <v>5.87</v>
      </c>
    </row>
    <row r="40" spans="1:25" ht="15" customHeight="1" x14ac:dyDescent="0.25">
      <c r="A40" s="43">
        <v>2250</v>
      </c>
      <c r="B40" s="45">
        <v>1.43</v>
      </c>
      <c r="C40" s="45">
        <v>1.63</v>
      </c>
      <c r="D40" s="45">
        <v>1.84</v>
      </c>
      <c r="E40" s="45">
        <v>2.04</v>
      </c>
      <c r="F40" s="45">
        <v>2.25</v>
      </c>
      <c r="G40" s="45">
        <v>2.46</v>
      </c>
      <c r="H40" s="45">
        <v>2.66</v>
      </c>
      <c r="I40" s="45">
        <v>2.87</v>
      </c>
      <c r="J40" s="45">
        <v>3.08</v>
      </c>
      <c r="K40" s="45">
        <v>3.28</v>
      </c>
      <c r="L40" s="45">
        <v>3.49</v>
      </c>
      <c r="M40" s="45">
        <v>3.69</v>
      </c>
      <c r="N40" s="45">
        <v>3.9</v>
      </c>
      <c r="O40" s="45">
        <v>4.1100000000000003</v>
      </c>
      <c r="P40" s="45">
        <v>4.3099999999999996</v>
      </c>
      <c r="Q40" s="45">
        <v>4.5199999999999996</v>
      </c>
      <c r="R40" s="45">
        <v>4.7300000000000004</v>
      </c>
      <c r="S40" s="45">
        <v>4.93</v>
      </c>
      <c r="T40" s="45">
        <v>5.14</v>
      </c>
      <c r="U40" s="45">
        <v>5.34</v>
      </c>
      <c r="V40" s="45">
        <v>5.55</v>
      </c>
      <c r="W40" s="45">
        <v>5.76</v>
      </c>
      <c r="X40" s="45">
        <v>5.96</v>
      </c>
      <c r="Y40" s="45">
        <v>6.17</v>
      </c>
    </row>
    <row r="41" spans="1:25" ht="15" customHeight="1" x14ac:dyDescent="0.25">
      <c r="A41" s="43">
        <v>2350</v>
      </c>
      <c r="B41" s="45">
        <v>1.5</v>
      </c>
      <c r="C41" s="45">
        <v>1.71</v>
      </c>
      <c r="D41" s="45">
        <v>1.93</v>
      </c>
      <c r="E41" s="45">
        <v>2.14</v>
      </c>
      <c r="F41" s="45">
        <v>2.36</v>
      </c>
      <c r="G41" s="45">
        <v>2.58</v>
      </c>
      <c r="H41" s="45">
        <v>2.79</v>
      </c>
      <c r="I41" s="45">
        <v>3.01</v>
      </c>
      <c r="J41" s="45">
        <v>3.22</v>
      </c>
      <c r="K41" s="45">
        <v>3.44</v>
      </c>
      <c r="L41" s="45">
        <v>3.66</v>
      </c>
      <c r="M41" s="45">
        <v>3.87</v>
      </c>
      <c r="N41" s="45">
        <v>4.09</v>
      </c>
      <c r="O41" s="45">
        <v>4.3099999999999996</v>
      </c>
      <c r="P41" s="45">
        <v>4.5199999999999996</v>
      </c>
      <c r="Q41" s="45">
        <v>4.74</v>
      </c>
      <c r="R41" s="45">
        <v>4.95</v>
      </c>
      <c r="S41" s="45">
        <v>5.17</v>
      </c>
      <c r="T41" s="45">
        <v>5.39</v>
      </c>
      <c r="U41" s="45">
        <v>5.6</v>
      </c>
      <c r="V41" s="45">
        <v>5.82</v>
      </c>
      <c r="W41" s="45">
        <v>6.04</v>
      </c>
      <c r="X41" s="45">
        <v>6.25</v>
      </c>
      <c r="Y41" s="45">
        <v>6.47</v>
      </c>
    </row>
    <row r="43" spans="1:25" ht="15" customHeight="1" x14ac:dyDescent="0.25">
      <c r="A43" s="46" t="s">
        <v>243</v>
      </c>
      <c r="B43" s="47">
        <v>280</v>
      </c>
      <c r="C43" s="47">
        <v>285</v>
      </c>
      <c r="D43" s="47">
        <v>292</v>
      </c>
      <c r="E43" s="47">
        <v>298</v>
      </c>
      <c r="F43" s="47">
        <v>314</v>
      </c>
      <c r="G43" s="47">
        <v>321</v>
      </c>
      <c r="H43" s="47">
        <v>327</v>
      </c>
      <c r="I43" s="47">
        <v>334</v>
      </c>
      <c r="J43" s="47">
        <v>341</v>
      </c>
      <c r="K43" s="47">
        <v>348</v>
      </c>
      <c r="L43" s="47">
        <v>354</v>
      </c>
      <c r="M43" s="47">
        <v>363</v>
      </c>
      <c r="N43" s="47">
        <v>370</v>
      </c>
      <c r="O43" s="47">
        <v>375</v>
      </c>
      <c r="P43" s="47">
        <v>382</v>
      </c>
      <c r="Q43" s="47">
        <v>399</v>
      </c>
      <c r="R43" s="47">
        <v>406</v>
      </c>
      <c r="S43" s="47">
        <v>411</v>
      </c>
      <c r="T43" s="47">
        <v>418</v>
      </c>
      <c r="U43" s="47">
        <v>424</v>
      </c>
      <c r="V43" s="47">
        <v>430</v>
      </c>
      <c r="W43" s="47">
        <v>438</v>
      </c>
      <c r="X43" s="47">
        <v>449</v>
      </c>
      <c r="Y43" s="47">
        <v>454</v>
      </c>
    </row>
    <row r="45" spans="1:25" ht="15" customHeight="1" x14ac:dyDescent="0.25">
      <c r="A45" s="121" t="s">
        <v>262</v>
      </c>
      <c r="B45" s="93"/>
      <c r="C45" s="93"/>
      <c r="D45" s="93"/>
      <c r="E45" s="93"/>
      <c r="F45" s="93"/>
      <c r="G45" s="93"/>
      <c r="H45" s="93"/>
      <c r="I45" s="93"/>
      <c r="J45" s="93"/>
      <c r="K45" s="93"/>
      <c r="L45" s="93"/>
      <c r="M45" s="93"/>
      <c r="N45" s="93"/>
      <c r="O45" s="93"/>
      <c r="P45" s="93"/>
      <c r="Q45" s="93"/>
      <c r="R45" s="93"/>
      <c r="S45" s="93"/>
      <c r="T45" s="93"/>
      <c r="U45" s="93"/>
      <c r="V45" s="93"/>
      <c r="W45" s="93"/>
      <c r="X45" s="93"/>
      <c r="Y45" s="93"/>
    </row>
    <row r="46" spans="1:25" ht="15" customHeight="1" x14ac:dyDescent="0.25">
      <c r="A46" s="48" t="s">
        <v>263</v>
      </c>
      <c r="B46" s="49">
        <f>Paramètres!$B$2</f>
        <v>0.51500000000000001</v>
      </c>
    </row>
    <row r="47" spans="1:25" ht="15" customHeight="1" x14ac:dyDescent="0.25">
      <c r="A47" s="43" t="s">
        <v>260</v>
      </c>
      <c r="B47" s="43">
        <v>900</v>
      </c>
      <c r="C47" s="43">
        <v>1000</v>
      </c>
      <c r="D47" s="43">
        <v>1100</v>
      </c>
      <c r="E47" s="43">
        <v>1200</v>
      </c>
      <c r="F47" s="43">
        <v>1300</v>
      </c>
      <c r="G47" s="43">
        <v>1400</v>
      </c>
      <c r="H47" s="43">
        <v>1500</v>
      </c>
      <c r="I47" s="43">
        <v>1600</v>
      </c>
      <c r="J47" s="43">
        <v>1700</v>
      </c>
      <c r="K47" s="43">
        <v>1800</v>
      </c>
      <c r="L47" s="43">
        <v>1900</v>
      </c>
      <c r="M47" s="43">
        <v>2000</v>
      </c>
      <c r="N47" s="43">
        <v>2100</v>
      </c>
      <c r="O47" s="43">
        <v>2200</v>
      </c>
      <c r="P47" s="43">
        <v>2300</v>
      </c>
      <c r="Q47" s="43">
        <v>2400</v>
      </c>
      <c r="R47" s="43">
        <v>2500</v>
      </c>
      <c r="S47" s="43">
        <v>2600</v>
      </c>
      <c r="T47" s="43">
        <v>2700</v>
      </c>
      <c r="U47" s="43">
        <v>2800</v>
      </c>
      <c r="V47" s="43">
        <v>2900</v>
      </c>
      <c r="W47" s="43">
        <v>3000</v>
      </c>
      <c r="X47" s="43">
        <v>3100</v>
      </c>
      <c r="Y47" s="43">
        <v>3200</v>
      </c>
    </row>
    <row r="48" spans="1:25" ht="15" customHeight="1" x14ac:dyDescent="0.25">
      <c r="A48" s="43">
        <v>750</v>
      </c>
      <c r="B48" s="44">
        <f>B5*(1-Paramètres!$B$2)</f>
        <v>908.89</v>
      </c>
      <c r="C48" s="44">
        <f>C5*(1-Paramètres!$B$2)</f>
        <v>928.29</v>
      </c>
      <c r="D48" s="44">
        <f>D5*(1-Paramètres!$B$2)</f>
        <v>946.72</v>
      </c>
      <c r="E48" s="44">
        <f>E5*(1-Paramètres!$B$2)</f>
        <v>965.15</v>
      </c>
      <c r="F48" s="44">
        <f>F5*(1-Paramètres!$B$2)</f>
        <v>985.52</v>
      </c>
      <c r="G48" s="44">
        <f>G5*(1-Paramètres!$B$2)</f>
        <v>1004.4349999999999</v>
      </c>
      <c r="H48" s="44">
        <f>H5*(1-Paramètres!$B$2)</f>
        <v>1023.35</v>
      </c>
      <c r="I48" s="44">
        <f>I5*(1-Paramètres!$B$2)</f>
        <v>1042.2649999999999</v>
      </c>
      <c r="J48" s="44">
        <f>J5*(1-Paramètres!$B$2)</f>
        <v>1061.18</v>
      </c>
      <c r="K48" s="44">
        <f>K5*(1-Paramètres!$B$2)</f>
        <v>1079.125</v>
      </c>
      <c r="L48" s="44">
        <f>L5*(1-Paramètres!$B$2)</f>
        <v>1098.5249999999999</v>
      </c>
      <c r="M48" s="44">
        <f>M5*(1-Paramètres!$B$2)</f>
        <v>1118.4100000000001</v>
      </c>
      <c r="N48" s="44">
        <f>N5*(1-Paramètres!$B$2)</f>
        <v>1137.81</v>
      </c>
      <c r="O48" s="44">
        <f>O5*(1-Paramètres!$B$2)</f>
        <v>1155.7549999999999</v>
      </c>
      <c r="P48" s="44">
        <f>P5*(1-Paramètres!$B$2)</f>
        <v>1175.155</v>
      </c>
      <c r="Q48" s="44">
        <f>Q5*(1-Paramètres!$B$2)</f>
        <v>1195.04</v>
      </c>
      <c r="R48" s="44">
        <f>R5*(1-Paramètres!$B$2)</f>
        <v>1213.47</v>
      </c>
      <c r="S48" s="44">
        <f>S5*(1-Paramètres!$B$2)</f>
        <v>1231.8999999999999</v>
      </c>
      <c r="T48" s="44">
        <f>T5*(1-Paramètres!$B$2)</f>
        <v>1252.27</v>
      </c>
      <c r="U48" s="44">
        <f>U5*(1-Paramètres!$B$2)</f>
        <v>1270.7</v>
      </c>
      <c r="V48" s="44">
        <f>V5*(1-Paramètres!$B$2)</f>
        <v>1289.615</v>
      </c>
      <c r="W48" s="44">
        <f>W5*(1-Paramètres!$B$2)</f>
        <v>1308.53</v>
      </c>
      <c r="X48" s="44">
        <f>X5*(1-Paramètres!$B$2)</f>
        <v>1327.93</v>
      </c>
      <c r="Y48" s="44">
        <f>Y5*(1-Paramètres!$B$2)</f>
        <v>1346.36</v>
      </c>
    </row>
    <row r="49" spans="1:25" ht="15" customHeight="1" x14ac:dyDescent="0.25">
      <c r="A49" s="43">
        <v>850</v>
      </c>
      <c r="B49" s="44">
        <f>B6*(1-Paramètres!$B$2)</f>
        <v>956.42</v>
      </c>
      <c r="C49" s="44">
        <f>C6*(1-Paramètres!$B$2)</f>
        <v>975.81999999999994</v>
      </c>
      <c r="D49" s="44">
        <f>D6*(1-Paramètres!$B$2)</f>
        <v>995.22</v>
      </c>
      <c r="E49" s="44">
        <f>E6*(1-Paramètres!$B$2)</f>
        <v>1015.105</v>
      </c>
      <c r="F49" s="44">
        <f>F6*(1-Paramètres!$B$2)</f>
        <v>1035.96</v>
      </c>
      <c r="G49" s="44">
        <f>G6*(1-Paramètres!$B$2)</f>
        <v>1054.3899999999999</v>
      </c>
      <c r="H49" s="44">
        <f>H6*(1-Paramètres!$B$2)</f>
        <v>1074.76</v>
      </c>
      <c r="I49" s="44">
        <f>I6*(1-Paramètres!$B$2)</f>
        <v>1095.1299999999999</v>
      </c>
      <c r="J49" s="44">
        <f>J6*(1-Paramètres!$B$2)</f>
        <v>1114.53</v>
      </c>
      <c r="K49" s="44">
        <f>K6*(1-Paramètres!$B$2)</f>
        <v>1133.4449999999999</v>
      </c>
      <c r="L49" s="44">
        <f>L6*(1-Paramètres!$B$2)</f>
        <v>1153.8150000000001</v>
      </c>
      <c r="M49" s="44">
        <f>M6*(1-Paramètres!$B$2)</f>
        <v>1174.67</v>
      </c>
      <c r="N49" s="44">
        <f>N6*(1-Paramètres!$B$2)</f>
        <v>1194.5550000000001</v>
      </c>
      <c r="O49" s="44">
        <f>O6*(1-Paramètres!$B$2)</f>
        <v>1213.9549999999999</v>
      </c>
      <c r="P49" s="44">
        <f>P6*(1-Paramètres!$B$2)</f>
        <v>1233.8399999999999</v>
      </c>
      <c r="Q49" s="44">
        <f>Q6*(1-Paramètres!$B$2)</f>
        <v>1253.7249999999999</v>
      </c>
      <c r="R49" s="44">
        <f>R6*(1-Paramètres!$B$2)</f>
        <v>1274.58</v>
      </c>
      <c r="S49" s="44">
        <f>S6*(1-Paramètres!$B$2)</f>
        <v>1292.5249999999999</v>
      </c>
      <c r="T49" s="44">
        <f>T6*(1-Paramètres!$B$2)</f>
        <v>1312.895</v>
      </c>
      <c r="U49" s="44">
        <f>U6*(1-Paramètres!$B$2)</f>
        <v>1333.2649999999999</v>
      </c>
      <c r="V49" s="44">
        <f>V6*(1-Paramètres!$B$2)</f>
        <v>1352.18</v>
      </c>
      <c r="W49" s="44">
        <f>W6*(1-Paramètres!$B$2)</f>
        <v>1370.61</v>
      </c>
      <c r="X49" s="44">
        <f>X6*(1-Paramètres!$B$2)</f>
        <v>1391.95</v>
      </c>
      <c r="Y49" s="44">
        <f>Y6*(1-Paramètres!$B$2)</f>
        <v>1411.835</v>
      </c>
    </row>
    <row r="50" spans="1:25" ht="15" customHeight="1" x14ac:dyDescent="0.25">
      <c r="A50" s="43">
        <v>950</v>
      </c>
      <c r="B50" s="44">
        <f>B7*(1-Paramètres!$B$2)</f>
        <v>1003.9499999999999</v>
      </c>
      <c r="C50" s="44">
        <f>C7*(1-Paramètres!$B$2)</f>
        <v>1024.32</v>
      </c>
      <c r="D50" s="44">
        <f>D7*(1-Paramètres!$B$2)</f>
        <v>1044.69</v>
      </c>
      <c r="E50" s="44">
        <f>E7*(1-Paramètres!$B$2)</f>
        <v>1065.5450000000001</v>
      </c>
      <c r="F50" s="44">
        <f>F7*(1-Paramètres!$B$2)</f>
        <v>1086.3999999999999</v>
      </c>
      <c r="G50" s="44">
        <f>G7*(1-Paramètres!$B$2)</f>
        <v>1106.77</v>
      </c>
      <c r="H50" s="44">
        <f>H7*(1-Paramètres!$B$2)</f>
        <v>1127.625</v>
      </c>
      <c r="I50" s="44">
        <f>I7*(1-Paramètres!$B$2)</f>
        <v>1148.48</v>
      </c>
      <c r="J50" s="44">
        <f>J7*(1-Paramètres!$B$2)</f>
        <v>1168.8499999999999</v>
      </c>
      <c r="K50" s="44">
        <f>K7*(1-Paramètres!$B$2)</f>
        <v>1189.7049999999999</v>
      </c>
      <c r="L50" s="44">
        <f>L7*(1-Paramètres!$B$2)</f>
        <v>1209.105</v>
      </c>
      <c r="M50" s="44">
        <f>M7*(1-Paramètres!$B$2)</f>
        <v>1230.4449999999999</v>
      </c>
      <c r="N50" s="44">
        <f>N7*(1-Paramètres!$B$2)</f>
        <v>1251.3</v>
      </c>
      <c r="O50" s="44">
        <f>O7*(1-Paramètres!$B$2)</f>
        <v>1271.67</v>
      </c>
      <c r="P50" s="44">
        <f>P7*(1-Paramètres!$B$2)</f>
        <v>1291.5550000000001</v>
      </c>
      <c r="Q50" s="44">
        <f>Q7*(1-Paramètres!$B$2)</f>
        <v>1312.895</v>
      </c>
      <c r="R50" s="44">
        <f>R7*(1-Paramètres!$B$2)</f>
        <v>1333.2649999999999</v>
      </c>
      <c r="S50" s="44">
        <f>S7*(1-Paramètres!$B$2)</f>
        <v>1355.575</v>
      </c>
      <c r="T50" s="44">
        <f>T7*(1-Paramètres!$B$2)</f>
        <v>1375.46</v>
      </c>
      <c r="U50" s="44">
        <f>U7*(1-Paramètres!$B$2)</f>
        <v>1395.83</v>
      </c>
      <c r="V50" s="44">
        <f>V7*(1-Paramètres!$B$2)</f>
        <v>1415.23</v>
      </c>
      <c r="W50" s="44">
        <f>W7*(1-Paramètres!$B$2)</f>
        <v>1436.085</v>
      </c>
      <c r="X50" s="44">
        <f>X7*(1-Paramètres!$B$2)</f>
        <v>1456.4549999999999</v>
      </c>
      <c r="Y50" s="44">
        <f>Y7*(1-Paramètres!$B$2)</f>
        <v>1477.31</v>
      </c>
    </row>
    <row r="51" spans="1:25" ht="15" customHeight="1" x14ac:dyDescent="0.25">
      <c r="A51" s="43">
        <v>1050</v>
      </c>
      <c r="B51" s="44">
        <f>B8*(1-Paramètres!$B$2)</f>
        <v>1050.9949999999999</v>
      </c>
      <c r="C51" s="44">
        <f>C8*(1-Paramètres!$B$2)</f>
        <v>1072.82</v>
      </c>
      <c r="D51" s="44">
        <f>D8*(1-Paramètres!$B$2)</f>
        <v>1093.19</v>
      </c>
      <c r="E51" s="44">
        <f>E8*(1-Paramètres!$B$2)</f>
        <v>1115.0149999999999</v>
      </c>
      <c r="F51" s="44">
        <f>F8*(1-Paramètres!$B$2)</f>
        <v>1135.8699999999999</v>
      </c>
      <c r="G51" s="44">
        <f>G8*(1-Paramètres!$B$2)</f>
        <v>1156.7249999999999</v>
      </c>
      <c r="H51" s="44">
        <f>H8*(1-Paramètres!$B$2)</f>
        <v>1178.55</v>
      </c>
      <c r="I51" s="44">
        <f>I8*(1-Paramètres!$B$2)</f>
        <v>1199.8899999999999</v>
      </c>
      <c r="J51" s="44">
        <f>J8*(1-Paramètres!$B$2)</f>
        <v>1221.7149999999999</v>
      </c>
      <c r="K51" s="44">
        <f>K8*(1-Paramètres!$B$2)</f>
        <v>1242.57</v>
      </c>
      <c r="L51" s="44">
        <f>L8*(1-Paramètres!$B$2)</f>
        <v>1263.9099999999999</v>
      </c>
      <c r="M51" s="44">
        <f>M8*(1-Paramètres!$B$2)</f>
        <v>1285.25</v>
      </c>
      <c r="N51" s="44">
        <f>N8*(1-Paramètres!$B$2)</f>
        <v>1307.075</v>
      </c>
      <c r="O51" s="44">
        <f>O8*(1-Paramètres!$B$2)</f>
        <v>1328.415</v>
      </c>
      <c r="P51" s="44">
        <f>P8*(1-Paramètres!$B$2)</f>
        <v>1349.27</v>
      </c>
      <c r="Q51" s="44">
        <f>Q8*(1-Paramètres!$B$2)</f>
        <v>1370.125</v>
      </c>
      <c r="R51" s="44">
        <f>R8*(1-Paramètres!$B$2)</f>
        <v>1391.95</v>
      </c>
      <c r="S51" s="44">
        <f>S8*(1-Paramètres!$B$2)</f>
        <v>1413.7749999999999</v>
      </c>
      <c r="T51" s="44">
        <f>T8*(1-Paramètres!$B$2)</f>
        <v>1435.6</v>
      </c>
      <c r="U51" s="44">
        <f>U8*(1-Paramètres!$B$2)</f>
        <v>1456.4549999999999</v>
      </c>
      <c r="V51" s="44">
        <f>V8*(1-Paramètres!$B$2)</f>
        <v>1477.31</v>
      </c>
      <c r="W51" s="44">
        <f>W8*(1-Paramètres!$B$2)</f>
        <v>1498.165</v>
      </c>
      <c r="X51" s="44">
        <f>X8*(1-Paramètres!$B$2)</f>
        <v>1519.99</v>
      </c>
      <c r="Y51" s="44">
        <f>Y8*(1-Paramètres!$B$2)</f>
        <v>1541.33</v>
      </c>
    </row>
    <row r="52" spans="1:25" ht="15" customHeight="1" x14ac:dyDescent="0.25">
      <c r="A52" s="43">
        <v>1150</v>
      </c>
      <c r="B52" s="44">
        <f>B9*(1-Paramètres!$B$2)</f>
        <v>1098.04</v>
      </c>
      <c r="C52" s="44">
        <f>C9*(1-Paramètres!$B$2)</f>
        <v>1119.865</v>
      </c>
      <c r="D52" s="44">
        <f>D9*(1-Paramètres!$B$2)</f>
        <v>1142.6600000000001</v>
      </c>
      <c r="E52" s="44">
        <f>E9*(1-Paramètres!$B$2)</f>
        <v>1165.4549999999999</v>
      </c>
      <c r="F52" s="44">
        <f>F9*(1-Paramètres!$B$2)</f>
        <v>1186.31</v>
      </c>
      <c r="G52" s="44">
        <f>G9*(1-Paramètres!$B$2)</f>
        <v>1208.6199999999999</v>
      </c>
      <c r="H52" s="44">
        <f>H9*(1-Paramètres!$B$2)</f>
        <v>1230.93</v>
      </c>
      <c r="I52" s="44">
        <f>I9*(1-Paramètres!$B$2)</f>
        <v>1253.7249999999999</v>
      </c>
      <c r="J52" s="44">
        <f>J9*(1-Paramètres!$B$2)</f>
        <v>1275.55</v>
      </c>
      <c r="K52" s="44">
        <f>K9*(1-Paramètres!$B$2)</f>
        <v>1297.375</v>
      </c>
      <c r="L52" s="44">
        <f>L9*(1-Paramètres!$B$2)</f>
        <v>1319.2</v>
      </c>
      <c r="M52" s="44">
        <f>M9*(1-Paramètres!$B$2)</f>
        <v>1341.0249999999999</v>
      </c>
      <c r="N52" s="44">
        <f>N9*(1-Paramètres!$B$2)</f>
        <v>1363.335</v>
      </c>
      <c r="O52" s="44">
        <f>O9*(1-Paramètres!$B$2)</f>
        <v>1385.645</v>
      </c>
      <c r="P52" s="44">
        <f>P9*(1-Paramètres!$B$2)</f>
        <v>1407.9549999999999</v>
      </c>
      <c r="Q52" s="44">
        <f>Q9*(1-Paramètres!$B$2)</f>
        <v>1430.2649999999999</v>
      </c>
      <c r="R52" s="44">
        <f>R9*(1-Paramètres!$B$2)</f>
        <v>1452.575</v>
      </c>
      <c r="S52" s="44">
        <f>S9*(1-Paramètres!$B$2)</f>
        <v>1473.915</v>
      </c>
      <c r="T52" s="44">
        <f>T9*(1-Paramètres!$B$2)</f>
        <v>1496.2249999999999</v>
      </c>
      <c r="U52" s="44">
        <f>U9*(1-Paramètres!$B$2)</f>
        <v>1518.05</v>
      </c>
      <c r="V52" s="44">
        <f>V9*(1-Paramètres!$B$2)</f>
        <v>1539.875</v>
      </c>
      <c r="W52" s="44">
        <f>W9*(1-Paramètres!$B$2)</f>
        <v>1562.1849999999999</v>
      </c>
      <c r="X52" s="44">
        <f>X9*(1-Paramètres!$B$2)</f>
        <v>1584.98</v>
      </c>
      <c r="Y52" s="44">
        <f>Y9*(1-Paramètres!$B$2)</f>
        <v>1607.29</v>
      </c>
    </row>
    <row r="53" spans="1:25" ht="15" customHeight="1" x14ac:dyDescent="0.25">
      <c r="A53" s="43">
        <v>1250</v>
      </c>
      <c r="B53" s="44">
        <f>B10*(1-Paramètres!$B$2)</f>
        <v>1146.54</v>
      </c>
      <c r="C53" s="44">
        <f>C10*(1-Paramètres!$B$2)</f>
        <v>1169.335</v>
      </c>
      <c r="D53" s="44">
        <f>D10*(1-Paramètres!$B$2)</f>
        <v>1192.615</v>
      </c>
      <c r="E53" s="44">
        <f>E10*(1-Paramètres!$B$2)</f>
        <v>1214.925</v>
      </c>
      <c r="F53" s="44">
        <f>F10*(1-Paramètres!$B$2)</f>
        <v>1236.75</v>
      </c>
      <c r="G53" s="44">
        <f>G10*(1-Paramètres!$B$2)</f>
        <v>1259.5450000000001</v>
      </c>
      <c r="H53" s="44">
        <f>H10*(1-Paramètres!$B$2)</f>
        <v>1282.825</v>
      </c>
      <c r="I53" s="44">
        <f>I10*(1-Paramètres!$B$2)</f>
        <v>1306.105</v>
      </c>
      <c r="J53" s="44">
        <f>J10*(1-Paramètres!$B$2)</f>
        <v>1328.8999999999999</v>
      </c>
      <c r="K53" s="44">
        <f>K10*(1-Paramètres!$B$2)</f>
        <v>1351.6949999999999</v>
      </c>
      <c r="L53" s="44">
        <f>L10*(1-Paramètres!$B$2)</f>
        <v>1375.9449999999999</v>
      </c>
      <c r="M53" s="44">
        <f>M10*(1-Paramètres!$B$2)</f>
        <v>1397.2849999999999</v>
      </c>
      <c r="N53" s="44">
        <f>N10*(1-Paramètres!$B$2)</f>
        <v>1420.08</v>
      </c>
      <c r="O53" s="44">
        <f>O10*(1-Paramètres!$B$2)</f>
        <v>1442.875</v>
      </c>
      <c r="P53" s="44">
        <f>P10*(1-Paramètres!$B$2)</f>
        <v>1466.6399999999999</v>
      </c>
      <c r="Q53" s="44">
        <f>Q10*(1-Paramètres!$B$2)</f>
        <v>1489.92</v>
      </c>
      <c r="R53" s="44">
        <f>R10*(1-Paramètres!$B$2)</f>
        <v>1511.7449999999999</v>
      </c>
      <c r="S53" s="44">
        <f>S10*(1-Paramètres!$B$2)</f>
        <v>1534.54</v>
      </c>
      <c r="T53" s="44">
        <f>T10*(1-Paramètres!$B$2)</f>
        <v>1557.82</v>
      </c>
      <c r="U53" s="44">
        <f>U10*(1-Paramètres!$B$2)</f>
        <v>1579.645</v>
      </c>
      <c r="V53" s="44">
        <f>V10*(1-Paramètres!$B$2)</f>
        <v>1603.4099999999999</v>
      </c>
      <c r="W53" s="44">
        <f>W10*(1-Paramètres!$B$2)</f>
        <v>1625.72</v>
      </c>
      <c r="X53" s="44">
        <f>X10*(1-Paramètres!$B$2)</f>
        <v>1649</v>
      </c>
      <c r="Y53" s="44">
        <f>Y10*(1-Paramètres!$B$2)</f>
        <v>1671.7949999999998</v>
      </c>
    </row>
    <row r="54" spans="1:25" ht="15" customHeight="1" x14ac:dyDescent="0.25">
      <c r="A54" s="43">
        <v>1350</v>
      </c>
      <c r="B54" s="44">
        <f>B11*(1-Paramètres!$B$2)</f>
        <v>1194.07</v>
      </c>
      <c r="C54" s="44">
        <f>C11*(1-Paramètres!$B$2)</f>
        <v>1216.3799999999999</v>
      </c>
      <c r="D54" s="44">
        <f>D11*(1-Paramètres!$B$2)</f>
        <v>1240.145</v>
      </c>
      <c r="E54" s="44">
        <f>E11*(1-Paramètres!$B$2)</f>
        <v>1263.9099999999999</v>
      </c>
      <c r="F54" s="44">
        <f>F11*(1-Paramètres!$B$2)</f>
        <v>1287.675</v>
      </c>
      <c r="G54" s="44">
        <f>G11*(1-Paramètres!$B$2)</f>
        <v>1310.9549999999999</v>
      </c>
      <c r="H54" s="44">
        <f>H11*(1-Paramètres!$B$2)</f>
        <v>1335.69</v>
      </c>
      <c r="I54" s="44">
        <f>I11*(1-Paramètres!$B$2)</f>
        <v>1358.97</v>
      </c>
      <c r="J54" s="44">
        <f>J11*(1-Paramètres!$B$2)</f>
        <v>1382.7349999999999</v>
      </c>
      <c r="K54" s="44">
        <f>K11*(1-Paramètres!$B$2)</f>
        <v>1406.0149999999999</v>
      </c>
      <c r="L54" s="44">
        <f>L11*(1-Paramètres!$B$2)</f>
        <v>1429.2950000000001</v>
      </c>
      <c r="M54" s="44">
        <f>M11*(1-Paramètres!$B$2)</f>
        <v>1453.06</v>
      </c>
      <c r="N54" s="44">
        <f>N11*(1-Paramètres!$B$2)</f>
        <v>1477.31</v>
      </c>
      <c r="O54" s="44">
        <f>O11*(1-Paramètres!$B$2)</f>
        <v>1500.105</v>
      </c>
      <c r="P54" s="44">
        <f>P11*(1-Paramètres!$B$2)</f>
        <v>1523.87</v>
      </c>
      <c r="Q54" s="44">
        <f>Q11*(1-Paramètres!$B$2)</f>
        <v>1548.12</v>
      </c>
      <c r="R54" s="44">
        <f>R11*(1-Paramètres!$B$2)</f>
        <v>1571.885</v>
      </c>
      <c r="S54" s="44">
        <f>S11*(1-Paramètres!$B$2)</f>
        <v>1595.165</v>
      </c>
      <c r="T54" s="44">
        <f>T11*(1-Paramètres!$B$2)</f>
        <v>1618.4449999999999</v>
      </c>
      <c r="U54" s="44">
        <f>U11*(1-Paramètres!$B$2)</f>
        <v>1642.21</v>
      </c>
      <c r="V54" s="44">
        <f>V11*(1-Paramètres!$B$2)</f>
        <v>1666.46</v>
      </c>
      <c r="W54" s="44">
        <f>W11*(1-Paramètres!$B$2)</f>
        <v>1689.74</v>
      </c>
      <c r="X54" s="44">
        <f>X11*(1-Paramètres!$B$2)</f>
        <v>1713.02</v>
      </c>
      <c r="Y54" s="44">
        <f>Y11*(1-Paramètres!$B$2)</f>
        <v>1738.24</v>
      </c>
    </row>
    <row r="55" spans="1:25" ht="15" customHeight="1" x14ac:dyDescent="0.25">
      <c r="A55" s="43">
        <v>1450</v>
      </c>
      <c r="B55" s="44">
        <f>B12*(1-Paramètres!$B$2)</f>
        <v>1240.145</v>
      </c>
      <c r="C55" s="44">
        <f>C12*(1-Paramètres!$B$2)</f>
        <v>1264.395</v>
      </c>
      <c r="D55" s="44">
        <f>D12*(1-Paramètres!$B$2)</f>
        <v>1289.1299999999999</v>
      </c>
      <c r="E55" s="44">
        <f>E12*(1-Paramètres!$B$2)</f>
        <v>1314.35</v>
      </c>
      <c r="F55" s="44">
        <f>F12*(1-Paramètres!$B$2)</f>
        <v>1338.6</v>
      </c>
      <c r="G55" s="44">
        <f>G12*(1-Paramètres!$B$2)</f>
        <v>1362.85</v>
      </c>
      <c r="H55" s="44">
        <f>H12*(1-Paramètres!$B$2)</f>
        <v>1386.615</v>
      </c>
      <c r="I55" s="44">
        <f>I12*(1-Paramètres!$B$2)</f>
        <v>1411.35</v>
      </c>
      <c r="J55" s="44">
        <f>J12*(1-Paramètres!$B$2)</f>
        <v>1436.085</v>
      </c>
      <c r="K55" s="44">
        <f>K12*(1-Paramètres!$B$2)</f>
        <v>1460.335</v>
      </c>
      <c r="L55" s="44">
        <f>L12*(1-Paramètres!$B$2)</f>
        <v>1484.1</v>
      </c>
      <c r="M55" s="44">
        <f>M12*(1-Paramètres!$B$2)</f>
        <v>1509.32</v>
      </c>
      <c r="N55" s="44">
        <f>N12*(1-Paramètres!$B$2)</f>
        <v>1533.57</v>
      </c>
      <c r="O55" s="44">
        <f>O12*(1-Paramètres!$B$2)</f>
        <v>1557.82</v>
      </c>
      <c r="P55" s="44">
        <f>P12*(1-Paramètres!$B$2)</f>
        <v>1581.1</v>
      </c>
      <c r="Q55" s="44">
        <f>Q12*(1-Paramètres!$B$2)</f>
        <v>1606.32</v>
      </c>
      <c r="R55" s="44">
        <f>R12*(1-Paramètres!$B$2)</f>
        <v>1631.54</v>
      </c>
      <c r="S55" s="44">
        <f>S12*(1-Paramètres!$B$2)</f>
        <v>1655.79</v>
      </c>
      <c r="T55" s="44">
        <f>T12*(1-Paramètres!$B$2)</f>
        <v>1680.04</v>
      </c>
      <c r="U55" s="44">
        <f>U12*(1-Paramètres!$B$2)</f>
        <v>1704.7749999999999</v>
      </c>
      <c r="V55" s="44">
        <f>V12*(1-Paramètres!$B$2)</f>
        <v>1729.0249999999999</v>
      </c>
      <c r="W55" s="44">
        <f>W12*(1-Paramètres!$B$2)</f>
        <v>1753.76</v>
      </c>
      <c r="X55" s="44">
        <f>X12*(1-Paramètres!$B$2)</f>
        <v>1777.5249999999999</v>
      </c>
      <c r="Y55" s="44">
        <f>Y12*(1-Paramètres!$B$2)</f>
        <v>1801.7749999999999</v>
      </c>
    </row>
    <row r="56" spans="1:25" ht="15" customHeight="1" x14ac:dyDescent="0.25">
      <c r="A56" s="43">
        <v>1550</v>
      </c>
      <c r="B56" s="44">
        <f>B13*(1-Paramètres!$B$2)</f>
        <v>1287.675</v>
      </c>
      <c r="C56" s="44">
        <f>C13*(1-Paramètres!$B$2)</f>
        <v>1313.865</v>
      </c>
      <c r="D56" s="44">
        <f>D13*(1-Paramètres!$B$2)</f>
        <v>1338.6</v>
      </c>
      <c r="E56" s="44">
        <f>E13*(1-Paramètres!$B$2)</f>
        <v>1363.335</v>
      </c>
      <c r="F56" s="44">
        <f>F13*(1-Paramètres!$B$2)</f>
        <v>1388.5550000000001</v>
      </c>
      <c r="G56" s="44">
        <f>G13*(1-Paramètres!$B$2)</f>
        <v>1413.7749999999999</v>
      </c>
      <c r="H56" s="44">
        <f>H13*(1-Paramètres!$B$2)</f>
        <v>1439.48</v>
      </c>
      <c r="I56" s="44">
        <f>I13*(1-Paramètres!$B$2)</f>
        <v>1464.2149999999999</v>
      </c>
      <c r="J56" s="44">
        <f>J13*(1-Paramètres!$B$2)</f>
        <v>1490.405</v>
      </c>
      <c r="K56" s="44">
        <f>K13*(1-Paramètres!$B$2)</f>
        <v>1514.1699999999998</v>
      </c>
      <c r="L56" s="44">
        <f>L13*(1-Paramètres!$B$2)</f>
        <v>1539.3899999999999</v>
      </c>
      <c r="M56" s="44">
        <f>M13*(1-Paramètres!$B$2)</f>
        <v>1564.61</v>
      </c>
      <c r="N56" s="44">
        <f>N13*(1-Paramètres!$B$2)</f>
        <v>1590.8</v>
      </c>
      <c r="O56" s="44">
        <f>O13*(1-Paramètres!$B$2)</f>
        <v>1615.05</v>
      </c>
      <c r="P56" s="44">
        <f>P13*(1-Paramètres!$B$2)</f>
        <v>1640.7549999999999</v>
      </c>
      <c r="Q56" s="44">
        <f>Q13*(1-Paramètres!$B$2)</f>
        <v>1665.9749999999999</v>
      </c>
      <c r="R56" s="44">
        <f>R13*(1-Paramètres!$B$2)</f>
        <v>1691.1949999999999</v>
      </c>
      <c r="S56" s="44">
        <f>S13*(1-Paramètres!$B$2)</f>
        <v>1717.385</v>
      </c>
      <c r="T56" s="44">
        <f>T13*(1-Paramètres!$B$2)</f>
        <v>1741.1499999999999</v>
      </c>
      <c r="U56" s="44">
        <f>U13*(1-Paramètres!$B$2)</f>
        <v>1766.37</v>
      </c>
      <c r="V56" s="44">
        <f>V13*(1-Paramètres!$B$2)</f>
        <v>1792.075</v>
      </c>
      <c r="W56" s="44">
        <f>W13*(1-Paramètres!$B$2)</f>
        <v>1817.2949999999998</v>
      </c>
      <c r="X56" s="44">
        <f>X13*(1-Paramètres!$B$2)</f>
        <v>1841.06</v>
      </c>
      <c r="Y56" s="44">
        <f>Y13*(1-Paramètres!$B$2)</f>
        <v>1867.25</v>
      </c>
    </row>
    <row r="57" spans="1:25" ht="15" customHeight="1" x14ac:dyDescent="0.25">
      <c r="A57" s="43">
        <v>1650</v>
      </c>
      <c r="B57" s="44">
        <f>B14*(1-Paramètres!$B$2)</f>
        <v>1336.175</v>
      </c>
      <c r="C57" s="44">
        <f>C14*(1-Paramètres!$B$2)</f>
        <v>1360.9099999999999</v>
      </c>
      <c r="D57" s="44">
        <f>D14*(1-Paramètres!$B$2)</f>
        <v>1386.615</v>
      </c>
      <c r="E57" s="44">
        <f>E14*(1-Paramètres!$B$2)</f>
        <v>1413.29</v>
      </c>
      <c r="F57" s="44">
        <f>F14*(1-Paramètres!$B$2)</f>
        <v>1439.9649999999999</v>
      </c>
      <c r="G57" s="44">
        <f>G14*(1-Paramètres!$B$2)</f>
        <v>1465.1849999999999</v>
      </c>
      <c r="H57" s="44">
        <f>H14*(1-Paramètres!$B$2)</f>
        <v>1491.375</v>
      </c>
      <c r="I57" s="44">
        <f>I14*(1-Paramètres!$B$2)</f>
        <v>1517.5650000000001</v>
      </c>
      <c r="J57" s="44">
        <f>J14*(1-Paramètres!$B$2)</f>
        <v>1542.7849999999999</v>
      </c>
      <c r="K57" s="44">
        <f>K14*(1-Paramètres!$B$2)</f>
        <v>1568.9749999999999</v>
      </c>
      <c r="L57" s="44">
        <f>L14*(1-Paramètres!$B$2)</f>
        <v>1594.68</v>
      </c>
      <c r="M57" s="44">
        <f>M14*(1-Paramètres!$B$2)</f>
        <v>1620.385</v>
      </c>
      <c r="N57" s="44">
        <f>N14*(1-Paramètres!$B$2)</f>
        <v>1646.09</v>
      </c>
      <c r="O57" s="44">
        <f>O14*(1-Paramètres!$B$2)</f>
        <v>1672.28</v>
      </c>
      <c r="P57" s="44">
        <f>P14*(1-Paramètres!$B$2)</f>
        <v>1699.44</v>
      </c>
      <c r="Q57" s="44">
        <f>Q14*(1-Paramètres!$B$2)</f>
        <v>1724.175</v>
      </c>
      <c r="R57" s="44">
        <f>R14*(1-Paramètres!$B$2)</f>
        <v>1750.365</v>
      </c>
      <c r="S57" s="44">
        <f>S14*(1-Paramètres!$B$2)</f>
        <v>1776.5550000000001</v>
      </c>
      <c r="T57" s="44">
        <f>T14*(1-Paramètres!$B$2)</f>
        <v>1802.26</v>
      </c>
      <c r="U57" s="44">
        <f>U14*(1-Paramètres!$B$2)</f>
        <v>1828.45</v>
      </c>
      <c r="V57" s="44">
        <f>V14*(1-Paramètres!$B$2)</f>
        <v>1855.125</v>
      </c>
      <c r="W57" s="44">
        <f>W14*(1-Paramètres!$B$2)</f>
        <v>1880.83</v>
      </c>
      <c r="X57" s="44">
        <f>X14*(1-Paramètres!$B$2)</f>
        <v>1906.5349999999999</v>
      </c>
      <c r="Y57" s="44">
        <f>Y14*(1-Paramètres!$B$2)</f>
        <v>1933.21</v>
      </c>
    </row>
    <row r="58" spans="1:25" ht="15" customHeight="1" x14ac:dyDescent="0.25">
      <c r="A58" s="43">
        <v>1750</v>
      </c>
      <c r="B58" s="44">
        <f>B15*(1-Paramètres!$B$2)</f>
        <v>1382.7349999999999</v>
      </c>
      <c r="C58" s="44">
        <f>C15*(1-Paramètres!$B$2)</f>
        <v>1408.925</v>
      </c>
      <c r="D58" s="44">
        <f>D15*(1-Paramètres!$B$2)</f>
        <v>1436.085</v>
      </c>
      <c r="E58" s="44">
        <f>E15*(1-Paramètres!$B$2)</f>
        <v>1462.76</v>
      </c>
      <c r="F58" s="44">
        <f>F15*(1-Paramètres!$B$2)</f>
        <v>1490.405</v>
      </c>
      <c r="G58" s="44">
        <f>G15*(1-Paramètres!$B$2)</f>
        <v>1517.08</v>
      </c>
      <c r="H58" s="44">
        <f>H15*(1-Paramètres!$B$2)</f>
        <v>1542.7849999999999</v>
      </c>
      <c r="I58" s="44">
        <f>I15*(1-Paramètres!$B$2)</f>
        <v>1570.43</v>
      </c>
      <c r="J58" s="44">
        <f>J15*(1-Paramètres!$B$2)</f>
        <v>1596.62</v>
      </c>
      <c r="K58" s="44">
        <f>K15*(1-Paramètres!$B$2)</f>
        <v>1622.325</v>
      </c>
      <c r="L58" s="44">
        <f>L15*(1-Paramètres!$B$2)</f>
        <v>1649.4849999999999</v>
      </c>
      <c r="M58" s="44">
        <f>M15*(1-Paramètres!$B$2)</f>
        <v>1675.675</v>
      </c>
      <c r="N58" s="44">
        <f>N15*(1-Paramètres!$B$2)</f>
        <v>1702.35</v>
      </c>
      <c r="O58" s="44">
        <f>O15*(1-Paramètres!$B$2)</f>
        <v>1729.9949999999999</v>
      </c>
      <c r="P58" s="44">
        <f>P15*(1-Paramètres!$B$2)</f>
        <v>1756.6699999999998</v>
      </c>
      <c r="Q58" s="44">
        <f>Q15*(1-Paramètres!$B$2)</f>
        <v>1783.345</v>
      </c>
      <c r="R58" s="44">
        <f>R15*(1-Paramètres!$B$2)</f>
        <v>1810.02</v>
      </c>
      <c r="S58" s="44">
        <f>S15*(1-Paramètres!$B$2)</f>
        <v>1836.6949999999999</v>
      </c>
      <c r="T58" s="44">
        <f>T15*(1-Paramètres!$B$2)</f>
        <v>1862.885</v>
      </c>
      <c r="U58" s="44">
        <f>U15*(1-Paramètres!$B$2)</f>
        <v>1890.0449999999998</v>
      </c>
      <c r="V58" s="44">
        <f>V15*(1-Paramètres!$B$2)</f>
        <v>1916.72</v>
      </c>
      <c r="W58" s="44">
        <f>W15*(1-Paramètres!$B$2)</f>
        <v>1943.395</v>
      </c>
      <c r="X58" s="44">
        <f>X15*(1-Paramètres!$B$2)</f>
        <v>1969.585</v>
      </c>
      <c r="Y58" s="44">
        <f>Y15*(1-Paramètres!$B$2)</f>
        <v>1996.7449999999999</v>
      </c>
    </row>
    <row r="59" spans="1:25" ht="15" customHeight="1" x14ac:dyDescent="0.25">
      <c r="A59" s="43">
        <v>1850</v>
      </c>
      <c r="B59" s="44">
        <f>B16*(1-Paramètres!$B$2)</f>
        <v>1430.2649999999999</v>
      </c>
      <c r="C59" s="44">
        <f>C16*(1-Paramètres!$B$2)</f>
        <v>1456.94</v>
      </c>
      <c r="D59" s="44">
        <f>D16*(1-Paramètres!$B$2)</f>
        <v>1484.585</v>
      </c>
      <c r="E59" s="44">
        <f>E16*(1-Paramètres!$B$2)</f>
        <v>1512.23</v>
      </c>
      <c r="F59" s="44">
        <f>F16*(1-Paramètres!$B$2)</f>
        <v>1539.3899999999999</v>
      </c>
      <c r="G59" s="44">
        <f>G16*(1-Paramètres!$B$2)</f>
        <v>1568.0049999999999</v>
      </c>
      <c r="H59" s="44">
        <f>H16*(1-Paramètres!$B$2)</f>
        <v>1594.68</v>
      </c>
      <c r="I59" s="44">
        <f>I16*(1-Paramètres!$B$2)</f>
        <v>1621.84</v>
      </c>
      <c r="J59" s="44">
        <f>J16*(1-Paramètres!$B$2)</f>
        <v>1649.4849999999999</v>
      </c>
      <c r="K59" s="44">
        <f>K16*(1-Paramètres!$B$2)</f>
        <v>1678.585</v>
      </c>
      <c r="L59" s="44">
        <f>L16*(1-Paramètres!$B$2)</f>
        <v>1705.26</v>
      </c>
      <c r="M59" s="44">
        <f>M16*(1-Paramètres!$B$2)</f>
        <v>1732.905</v>
      </c>
      <c r="N59" s="44">
        <f>N16*(1-Paramètres!$B$2)</f>
        <v>1760.55</v>
      </c>
      <c r="O59" s="44">
        <f>O16*(1-Paramètres!$B$2)</f>
        <v>1786.74</v>
      </c>
      <c r="P59" s="44">
        <f>P16*(1-Paramètres!$B$2)</f>
        <v>1815.355</v>
      </c>
      <c r="Q59" s="44">
        <f>Q16*(1-Paramètres!$B$2)</f>
        <v>1842.03</v>
      </c>
      <c r="R59" s="44">
        <f>R16*(1-Paramètres!$B$2)</f>
        <v>1870.1599999999999</v>
      </c>
      <c r="S59" s="44">
        <f>S16*(1-Paramètres!$B$2)</f>
        <v>1897.32</v>
      </c>
      <c r="T59" s="44">
        <f>T16*(1-Paramètres!$B$2)</f>
        <v>1923.9949999999999</v>
      </c>
      <c r="U59" s="44">
        <f>U16*(1-Paramètres!$B$2)</f>
        <v>1952.61</v>
      </c>
      <c r="V59" s="44">
        <f>V16*(1-Paramètres!$B$2)</f>
        <v>1980.74</v>
      </c>
      <c r="W59" s="44">
        <f>W16*(1-Paramètres!$B$2)</f>
        <v>2007.415</v>
      </c>
      <c r="X59" s="44">
        <f>X16*(1-Paramètres!$B$2)</f>
        <v>2035.06</v>
      </c>
      <c r="Y59" s="44">
        <f>Y16*(1-Paramètres!$B$2)</f>
        <v>2283.38</v>
      </c>
    </row>
    <row r="60" spans="1:25" ht="15" customHeight="1" x14ac:dyDescent="0.25">
      <c r="A60" s="43">
        <v>1950</v>
      </c>
      <c r="B60" s="44">
        <f>B17*(1-Paramètres!$B$2)</f>
        <v>1477.31</v>
      </c>
      <c r="C60" s="44">
        <f>C17*(1-Paramètres!$B$2)</f>
        <v>1506.895</v>
      </c>
      <c r="D60" s="44">
        <f>D17*(1-Paramètres!$B$2)</f>
        <v>1534.0550000000001</v>
      </c>
      <c r="E60" s="44">
        <f>E17*(1-Paramètres!$B$2)</f>
        <v>1561.7</v>
      </c>
      <c r="F60" s="44">
        <f>F17*(1-Paramètres!$B$2)</f>
        <v>1590.8</v>
      </c>
      <c r="G60" s="44">
        <f>G17*(1-Paramètres!$B$2)</f>
        <v>1618.4449999999999</v>
      </c>
      <c r="H60" s="44">
        <f>H17*(1-Paramètres!$B$2)</f>
        <v>1647.06</v>
      </c>
      <c r="I60" s="44">
        <f>I17*(1-Paramètres!$B$2)</f>
        <v>1674.7049999999999</v>
      </c>
      <c r="J60" s="44">
        <f>J17*(1-Paramètres!$B$2)</f>
        <v>1702.35</v>
      </c>
      <c r="K60" s="44">
        <f>K17*(1-Paramètres!$B$2)</f>
        <v>1732.4199999999998</v>
      </c>
      <c r="L60" s="44">
        <f>L17*(1-Paramètres!$B$2)</f>
        <v>1760.55</v>
      </c>
      <c r="M60" s="44">
        <f>M17*(1-Paramètres!$B$2)</f>
        <v>1787.71</v>
      </c>
      <c r="N60" s="44">
        <f>N17*(1-Paramètres!$B$2)</f>
        <v>1816.81</v>
      </c>
      <c r="O60" s="44">
        <f>O17*(1-Paramètres!$B$2)</f>
        <v>1844.94</v>
      </c>
      <c r="P60" s="44">
        <f>P17*(1-Paramètres!$B$2)</f>
        <v>1874.04</v>
      </c>
      <c r="Q60" s="44">
        <f>Q17*(1-Paramètres!$B$2)</f>
        <v>1901.6849999999999</v>
      </c>
      <c r="R60" s="44">
        <f>R17*(1-Paramètres!$B$2)</f>
        <v>1928.845</v>
      </c>
      <c r="S60" s="44">
        <f>S17*(1-Paramètres!$B$2)</f>
        <v>1958.4299999999998</v>
      </c>
      <c r="T60" s="44">
        <f>T17*(1-Paramètres!$B$2)</f>
        <v>1986.075</v>
      </c>
      <c r="U60" s="44">
        <f>U17*(1-Paramètres!$B$2)</f>
        <v>2013.72</v>
      </c>
      <c r="V60" s="44">
        <f>V17*(1-Paramètres!$B$2)</f>
        <v>2043.79</v>
      </c>
      <c r="W60" s="44">
        <f>W17*(1-Paramètres!$B$2)</f>
        <v>2288.23</v>
      </c>
      <c r="X60" s="44">
        <f>X17*(1-Paramètres!$B$2)</f>
        <v>2325.09</v>
      </c>
      <c r="Y60" s="44">
        <f>Y17*(1-Paramètres!$B$2)</f>
        <v>2360.4949999999999</v>
      </c>
    </row>
    <row r="61" spans="1:25" ht="15" customHeight="1" x14ac:dyDescent="0.25">
      <c r="A61" s="43">
        <v>2050</v>
      </c>
      <c r="B61" s="44">
        <f>B18*(1-Paramètres!$B$2)</f>
        <v>1524.84</v>
      </c>
      <c r="C61" s="44">
        <f>C18*(1-Paramètres!$B$2)</f>
        <v>1553.4549999999999</v>
      </c>
      <c r="D61" s="44">
        <f>D18*(1-Paramètres!$B$2)</f>
        <v>1583.04</v>
      </c>
      <c r="E61" s="44">
        <f>E18*(1-Paramètres!$B$2)</f>
        <v>1612.1399999999999</v>
      </c>
      <c r="F61" s="44">
        <f>F18*(1-Paramètres!$B$2)</f>
        <v>1641.24</v>
      </c>
      <c r="G61" s="44">
        <f>G18*(1-Paramètres!$B$2)</f>
        <v>1669.855</v>
      </c>
      <c r="H61" s="44">
        <f>H18*(1-Paramètres!$B$2)</f>
        <v>1699.44</v>
      </c>
      <c r="I61" s="44">
        <f>I18*(1-Paramètres!$B$2)</f>
        <v>1728.54</v>
      </c>
      <c r="J61" s="44">
        <f>J18*(1-Paramètres!$B$2)</f>
        <v>1756.6699999999998</v>
      </c>
      <c r="K61" s="44">
        <f>K18*(1-Paramètres!$B$2)</f>
        <v>1785.77</v>
      </c>
      <c r="L61" s="44">
        <f>L18*(1-Paramètres!$B$2)</f>
        <v>1815.355</v>
      </c>
      <c r="M61" s="44">
        <f>M18*(1-Paramètres!$B$2)</f>
        <v>1844.4549999999999</v>
      </c>
      <c r="N61" s="44">
        <f>N18*(1-Paramètres!$B$2)</f>
        <v>1874.04</v>
      </c>
      <c r="O61" s="44">
        <f>O18*(1-Paramètres!$B$2)</f>
        <v>1901.6849999999999</v>
      </c>
      <c r="P61" s="44">
        <f>P18*(1-Paramètres!$B$2)</f>
        <v>1932.24</v>
      </c>
      <c r="Q61" s="44">
        <f>Q18*(1-Paramètres!$B$2)</f>
        <v>1960.855</v>
      </c>
      <c r="R61" s="44">
        <f>R18*(1-Paramètres!$B$2)</f>
        <v>1988.9849999999999</v>
      </c>
      <c r="S61" s="44">
        <f>S18*(1-Paramètres!$B$2)</f>
        <v>2017.6</v>
      </c>
      <c r="T61" s="44">
        <f>T18*(1-Paramètres!$B$2)</f>
        <v>2047.1849999999999</v>
      </c>
      <c r="U61" s="44">
        <f>U18*(1-Paramètres!$B$2)</f>
        <v>2075.3150000000001</v>
      </c>
      <c r="V61" s="44">
        <f>V18*(1-Paramètres!$B$2)</f>
        <v>2327.5149999999999</v>
      </c>
      <c r="W61" s="44">
        <f>W18*(1-Paramètres!$B$2)</f>
        <v>2364.86</v>
      </c>
      <c r="X61" s="44">
        <f>X18*(1-Paramètres!$B$2)</f>
        <v>2400.2649999999999</v>
      </c>
      <c r="Y61" s="44">
        <f>Y18*(1-Paramètres!$B$2)</f>
        <v>2437.61</v>
      </c>
    </row>
    <row r="62" spans="1:25" ht="15" customHeight="1" x14ac:dyDescent="0.25">
      <c r="A62" s="43">
        <v>2150</v>
      </c>
      <c r="B62" s="44">
        <f>B19*(1-Paramètres!$B$2)</f>
        <v>1572.37</v>
      </c>
      <c r="C62" s="44">
        <f>C19*(1-Paramètres!$B$2)</f>
        <v>1601.47</v>
      </c>
      <c r="D62" s="44">
        <f>D19*(1-Paramètres!$B$2)</f>
        <v>1632.51</v>
      </c>
      <c r="E62" s="44">
        <f>E19*(1-Paramètres!$B$2)</f>
        <v>1661.125</v>
      </c>
      <c r="F62" s="44">
        <f>F19*(1-Paramètres!$B$2)</f>
        <v>1691.68</v>
      </c>
      <c r="G62" s="44">
        <f>G19*(1-Paramètres!$B$2)</f>
        <v>1721.2649999999999</v>
      </c>
      <c r="H62" s="44">
        <f>H19*(1-Paramètres!$B$2)</f>
        <v>1750.85</v>
      </c>
      <c r="I62" s="44">
        <f>I19*(1-Paramètres!$B$2)</f>
        <v>1780.9199999999998</v>
      </c>
      <c r="J62" s="44">
        <f>J19*(1-Paramètres!$B$2)</f>
        <v>1810.02</v>
      </c>
      <c r="K62" s="44">
        <f>K19*(1-Paramètres!$B$2)</f>
        <v>1840.575</v>
      </c>
      <c r="L62" s="44">
        <f>L19*(1-Paramètres!$B$2)</f>
        <v>1870.1599999999999</v>
      </c>
      <c r="M62" s="44">
        <f>M19*(1-Paramètres!$B$2)</f>
        <v>1900.7149999999999</v>
      </c>
      <c r="N62" s="44">
        <f>N19*(1-Paramètres!$B$2)</f>
        <v>1930.7849999999999</v>
      </c>
      <c r="O62" s="44">
        <f>O19*(1-Paramètres!$B$2)</f>
        <v>1960.37</v>
      </c>
      <c r="P62" s="44">
        <f>P19*(1-Paramètres!$B$2)</f>
        <v>1988.9849999999999</v>
      </c>
      <c r="Q62" s="44">
        <f>Q19*(1-Paramètres!$B$2)</f>
        <v>2019.0549999999998</v>
      </c>
      <c r="R62" s="44">
        <f>R19*(1-Paramètres!$B$2)</f>
        <v>2048.64</v>
      </c>
      <c r="S62" s="44">
        <f>S19*(1-Paramètres!$B$2)</f>
        <v>2288.7150000000001</v>
      </c>
      <c r="T62" s="44">
        <f>T19*(1-Paramètres!$B$2)</f>
        <v>2326.5450000000001</v>
      </c>
      <c r="U62" s="44">
        <f>U19*(1-Paramètres!$B$2)</f>
        <v>2362.4349999999999</v>
      </c>
      <c r="V62" s="44">
        <f>V19*(1-Paramètres!$B$2)</f>
        <v>2400.2649999999999</v>
      </c>
      <c r="W62" s="44">
        <f>W19*(1-Paramètres!$B$2)</f>
        <v>2438.58</v>
      </c>
      <c r="X62" s="44">
        <f>X19*(1-Paramètres!$B$2)</f>
        <v>2475.9249999999997</v>
      </c>
      <c r="Y62" s="44">
        <f>Y19*(1-Paramètres!$B$2)</f>
        <v>2513.27</v>
      </c>
    </row>
    <row r="63" spans="1:25" ht="15" customHeight="1" x14ac:dyDescent="0.25">
      <c r="A63" s="43">
        <v>2250</v>
      </c>
      <c r="B63" s="44">
        <f>B20*(1-Paramètres!$B$2)</f>
        <v>1618.93</v>
      </c>
      <c r="C63" s="44">
        <f>C20*(1-Paramètres!$B$2)</f>
        <v>1650.4549999999999</v>
      </c>
      <c r="D63" s="44">
        <f>D20*(1-Paramètres!$B$2)</f>
        <v>1680.5249999999999</v>
      </c>
      <c r="E63" s="44">
        <f>E20*(1-Paramètres!$B$2)</f>
        <v>1711.08</v>
      </c>
      <c r="F63" s="44">
        <f>F20*(1-Paramètres!$B$2)</f>
        <v>1742.12</v>
      </c>
      <c r="G63" s="44">
        <f>G20*(1-Paramètres!$B$2)</f>
        <v>1773.1599999999999</v>
      </c>
      <c r="H63" s="44">
        <f>H20*(1-Paramètres!$B$2)</f>
        <v>1802.7449999999999</v>
      </c>
      <c r="I63" s="44">
        <f>I20*(1-Paramètres!$B$2)</f>
        <v>1833.7849999999999</v>
      </c>
      <c r="J63" s="44">
        <f>J20*(1-Paramètres!$B$2)</f>
        <v>1862.885</v>
      </c>
      <c r="K63" s="44">
        <f>K20*(1-Paramètres!$B$2)</f>
        <v>1895.3799999999999</v>
      </c>
      <c r="L63" s="44">
        <f>L20*(1-Paramètres!$B$2)</f>
        <v>1924.9649999999999</v>
      </c>
      <c r="M63" s="44">
        <f>M20*(1-Paramètres!$B$2)</f>
        <v>1956.0049999999999</v>
      </c>
      <c r="N63" s="44">
        <f>N20*(1-Paramètres!$B$2)</f>
        <v>1986.075</v>
      </c>
      <c r="O63" s="44">
        <f>O20*(1-Paramètres!$B$2)</f>
        <v>2016.6299999999999</v>
      </c>
      <c r="P63" s="44">
        <f>P20*(1-Paramètres!$B$2)</f>
        <v>2047.1849999999999</v>
      </c>
      <c r="Q63" s="44">
        <f>Q20*(1-Paramètres!$B$2)</f>
        <v>2077.7399999999998</v>
      </c>
      <c r="R63" s="44">
        <f>R20*(1-Paramètres!$B$2)</f>
        <v>2124.2999999999997</v>
      </c>
      <c r="S63" s="44">
        <f>S20*(1-Paramètres!$B$2)</f>
        <v>2357.1</v>
      </c>
      <c r="T63" s="44">
        <f>T20*(1-Paramètres!$B$2)</f>
        <v>2395.9</v>
      </c>
      <c r="U63" s="44">
        <f>U20*(1-Paramètres!$B$2)</f>
        <v>2435.67</v>
      </c>
      <c r="V63" s="44">
        <f>V20*(1-Paramètres!$B$2)</f>
        <v>2473.5</v>
      </c>
      <c r="W63" s="44">
        <f>W20*(1-Paramètres!$B$2)</f>
        <v>2512.2999999999997</v>
      </c>
      <c r="X63" s="44">
        <f>X20*(1-Paramètres!$B$2)</f>
        <v>2551.585</v>
      </c>
      <c r="Y63" s="44">
        <f>Y20*(1-Paramètres!$B$2)</f>
        <v>2590.3849999999998</v>
      </c>
    </row>
    <row r="64" spans="1:25" ht="15" customHeight="1" x14ac:dyDescent="0.25">
      <c r="A64" s="43">
        <v>2350</v>
      </c>
      <c r="B64" s="44">
        <f>B21*(1-Paramètres!$B$2)</f>
        <v>1693.62</v>
      </c>
      <c r="C64" s="44">
        <f>C21*(1-Paramètres!$B$2)</f>
        <v>1724.6599999999999</v>
      </c>
      <c r="D64" s="44">
        <f>D21*(1-Paramètres!$B$2)</f>
        <v>1756.1849999999999</v>
      </c>
      <c r="E64" s="44">
        <f>E21*(1-Paramètres!$B$2)</f>
        <v>1786.74</v>
      </c>
      <c r="F64" s="44">
        <f>F21*(1-Paramètres!$B$2)</f>
        <v>1819.2349999999999</v>
      </c>
      <c r="G64" s="44">
        <f>G21*(1-Paramètres!$B$2)</f>
        <v>1850.76</v>
      </c>
      <c r="H64" s="44">
        <f>H21*(1-Paramètres!$B$2)</f>
        <v>1882.2849999999999</v>
      </c>
      <c r="I64" s="44">
        <f>I21*(1-Paramètres!$B$2)</f>
        <v>1912.84</v>
      </c>
      <c r="J64" s="44">
        <f>J21*(1-Paramètres!$B$2)</f>
        <v>1944.85</v>
      </c>
      <c r="K64" s="44">
        <f>K21*(1-Paramètres!$B$2)</f>
        <v>1975.405</v>
      </c>
      <c r="L64" s="44">
        <f>L21*(1-Paramètres!$B$2)</f>
        <v>2007.8999999999999</v>
      </c>
      <c r="M64" s="44">
        <f>M21*(1-Paramètres!$B$2)</f>
        <v>2038.4549999999999</v>
      </c>
      <c r="N64" s="44">
        <f>N21*(1-Paramètres!$B$2)</f>
        <v>2069.4949999999999</v>
      </c>
      <c r="O64" s="44">
        <f>O21*(1-Paramètres!$B$2)</f>
        <v>2101.5050000000001</v>
      </c>
      <c r="P64" s="44">
        <f>P21*(1-Paramètres!$B$2)</f>
        <v>2132.5450000000001</v>
      </c>
      <c r="Q64" s="44">
        <f>Q21*(1-Paramètres!$B$2)</f>
        <v>2166.98</v>
      </c>
      <c r="R64" s="44">
        <f>R21*(1-Paramètres!$B$2)</f>
        <v>2414.8150000000001</v>
      </c>
      <c r="S64" s="44">
        <f>S21*(1-Paramètres!$B$2)</f>
        <v>2453.6149999999998</v>
      </c>
      <c r="T64" s="44">
        <f>T21*(1-Paramètres!$B$2)</f>
        <v>2493.87</v>
      </c>
      <c r="U64" s="44">
        <f>U21*(1-Paramètres!$B$2)</f>
        <v>2534.61</v>
      </c>
      <c r="V64" s="44">
        <f>V21*(1-Paramètres!$B$2)</f>
        <v>2574.8649999999998</v>
      </c>
      <c r="W64" s="44">
        <f>W21*(1-Paramètres!$B$2)</f>
        <v>2539.9449999999997</v>
      </c>
      <c r="X64" s="44">
        <f>X21*(1-Paramètres!$B$2)</f>
        <v>2654.89</v>
      </c>
      <c r="Y64" s="44">
        <f>Y21*(1-Paramètres!$B$2)</f>
        <v>2695.145</v>
      </c>
    </row>
  </sheetData>
  <mergeCells count="4">
    <mergeCell ref="A23:Y23"/>
    <mergeCell ref="A1:Y1"/>
    <mergeCell ref="A3:Y3"/>
    <mergeCell ref="A45:Y45"/>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64"/>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25" width="9" customWidth="1"/>
  </cols>
  <sheetData>
    <row r="1" spans="1:25" ht="24" customHeight="1" x14ac:dyDescent="0.25">
      <c r="A1" s="126" t="s">
        <v>270</v>
      </c>
      <c r="B1" s="93"/>
      <c r="C1" s="93"/>
      <c r="D1" s="93"/>
      <c r="E1" s="93"/>
      <c r="F1" s="93"/>
      <c r="G1" s="93"/>
      <c r="H1" s="93"/>
      <c r="I1" s="93"/>
      <c r="J1" s="93"/>
      <c r="K1" s="93"/>
      <c r="L1" s="93"/>
      <c r="M1" s="93"/>
      <c r="N1" s="93"/>
      <c r="O1" s="93"/>
      <c r="P1" s="93"/>
      <c r="Q1" s="93"/>
      <c r="R1" s="93"/>
      <c r="S1" s="93"/>
      <c r="T1" s="93"/>
      <c r="U1" s="93"/>
      <c r="V1" s="93"/>
      <c r="W1" s="93"/>
      <c r="X1" s="93"/>
      <c r="Y1" s="93"/>
    </row>
    <row r="3" spans="1:25" ht="15" customHeight="1" x14ac:dyDescent="0.25">
      <c r="A3" s="121" t="s">
        <v>259</v>
      </c>
      <c r="B3" s="93"/>
      <c r="C3" s="93"/>
      <c r="D3" s="93"/>
      <c r="E3" s="93"/>
      <c r="F3" s="93"/>
      <c r="G3" s="93"/>
      <c r="H3" s="93"/>
      <c r="I3" s="93"/>
      <c r="J3" s="93"/>
      <c r="K3" s="93"/>
      <c r="L3" s="93"/>
      <c r="M3" s="93"/>
      <c r="N3" s="93"/>
      <c r="O3" s="93"/>
      <c r="P3" s="93"/>
      <c r="Q3" s="93"/>
      <c r="R3" s="93"/>
      <c r="S3" s="93"/>
      <c r="T3" s="93"/>
      <c r="U3" s="93"/>
      <c r="V3" s="93"/>
      <c r="W3" s="93"/>
      <c r="X3" s="93"/>
      <c r="Y3" s="93"/>
    </row>
    <row r="4" spans="1:25" ht="15" customHeight="1" x14ac:dyDescent="0.25">
      <c r="A4" s="43" t="s">
        <v>260</v>
      </c>
      <c r="B4" s="43">
        <v>1000</v>
      </c>
      <c r="C4" s="43">
        <v>1100</v>
      </c>
      <c r="D4" s="43">
        <v>1200</v>
      </c>
      <c r="E4" s="43">
        <v>1300</v>
      </c>
      <c r="F4" s="43">
        <v>1400</v>
      </c>
      <c r="G4" s="43">
        <v>1500</v>
      </c>
      <c r="H4" s="43">
        <v>1600</v>
      </c>
      <c r="I4" s="43">
        <v>1700</v>
      </c>
      <c r="J4" s="43">
        <v>1800</v>
      </c>
      <c r="K4" s="43">
        <v>1900</v>
      </c>
      <c r="L4" s="43">
        <v>2000</v>
      </c>
      <c r="M4" s="43">
        <v>2100</v>
      </c>
      <c r="N4" s="43">
        <v>2200</v>
      </c>
      <c r="O4" s="43">
        <v>2300</v>
      </c>
      <c r="P4" s="43">
        <v>2400</v>
      </c>
      <c r="Q4" s="43">
        <v>2500</v>
      </c>
      <c r="R4" s="43">
        <v>2600</v>
      </c>
      <c r="S4" s="43">
        <v>2700</v>
      </c>
      <c r="T4" s="43">
        <v>2800</v>
      </c>
      <c r="U4" s="43">
        <v>2900</v>
      </c>
      <c r="V4" s="43">
        <v>3000</v>
      </c>
      <c r="W4" s="43">
        <v>3100</v>
      </c>
      <c r="X4" s="43">
        <v>3200</v>
      </c>
      <c r="Y4" s="43">
        <v>3300</v>
      </c>
    </row>
    <row r="5" spans="1:25" ht="15" customHeight="1" x14ac:dyDescent="0.25">
      <c r="A5" s="43">
        <v>750</v>
      </c>
      <c r="B5" s="44">
        <v>2297</v>
      </c>
      <c r="C5" s="44">
        <v>2342</v>
      </c>
      <c r="D5" s="44">
        <v>2386</v>
      </c>
      <c r="E5" s="44">
        <v>2433</v>
      </c>
      <c r="F5" s="44">
        <v>2481</v>
      </c>
      <c r="G5" s="44">
        <v>2527</v>
      </c>
      <c r="H5" s="44">
        <v>2573</v>
      </c>
      <c r="I5" s="44">
        <v>2619</v>
      </c>
      <c r="J5" s="44">
        <v>2664</v>
      </c>
      <c r="K5" s="44">
        <v>2711</v>
      </c>
      <c r="L5" s="44">
        <v>2756</v>
      </c>
      <c r="M5" s="44">
        <v>2802</v>
      </c>
      <c r="N5" s="44">
        <v>2849</v>
      </c>
      <c r="O5" s="44">
        <v>2894</v>
      </c>
      <c r="P5" s="44">
        <v>2941</v>
      </c>
      <c r="Q5" s="44">
        <v>2985</v>
      </c>
      <c r="R5" s="44">
        <v>3032</v>
      </c>
      <c r="S5" s="44">
        <v>3078</v>
      </c>
      <c r="T5" s="44">
        <v>3127</v>
      </c>
      <c r="U5" s="44">
        <v>3169</v>
      </c>
      <c r="V5" s="44">
        <v>3215</v>
      </c>
      <c r="W5" s="44">
        <v>3260</v>
      </c>
      <c r="X5" s="44">
        <v>3309</v>
      </c>
      <c r="Y5" s="44">
        <v>3357</v>
      </c>
    </row>
    <row r="6" spans="1:25" ht="15" customHeight="1" x14ac:dyDescent="0.25">
      <c r="A6" s="43">
        <v>850</v>
      </c>
      <c r="B6" s="44">
        <v>2416</v>
      </c>
      <c r="C6" s="44">
        <v>2464</v>
      </c>
      <c r="D6" s="44">
        <v>2510</v>
      </c>
      <c r="E6" s="44">
        <v>2557</v>
      </c>
      <c r="F6" s="44">
        <v>2606</v>
      </c>
      <c r="G6" s="44">
        <v>2652</v>
      </c>
      <c r="H6" s="44">
        <v>2702</v>
      </c>
      <c r="I6" s="44">
        <v>2752</v>
      </c>
      <c r="J6" s="44">
        <v>2798</v>
      </c>
      <c r="K6" s="44">
        <v>2845</v>
      </c>
      <c r="L6" s="44">
        <v>2892</v>
      </c>
      <c r="M6" s="44">
        <v>2940</v>
      </c>
      <c r="N6" s="44">
        <v>2988</v>
      </c>
      <c r="O6" s="44">
        <v>3035</v>
      </c>
      <c r="P6" s="44">
        <v>3082</v>
      </c>
      <c r="Q6" s="44">
        <v>3130</v>
      </c>
      <c r="R6" s="44">
        <v>3177</v>
      </c>
      <c r="S6" s="44">
        <v>3224</v>
      </c>
      <c r="T6" s="44">
        <v>3275</v>
      </c>
      <c r="U6" s="44">
        <v>3322</v>
      </c>
      <c r="V6" s="44">
        <v>3368</v>
      </c>
      <c r="W6" s="44">
        <v>3417</v>
      </c>
      <c r="X6" s="44">
        <v>3464</v>
      </c>
      <c r="Y6" s="44">
        <v>3509</v>
      </c>
    </row>
    <row r="7" spans="1:25" ht="15" customHeight="1" x14ac:dyDescent="0.25">
      <c r="A7" s="43">
        <v>950</v>
      </c>
      <c r="B7" s="44">
        <v>2536</v>
      </c>
      <c r="C7" s="44">
        <v>2586</v>
      </c>
      <c r="D7" s="44">
        <v>2635</v>
      </c>
      <c r="E7" s="44">
        <v>2684</v>
      </c>
      <c r="F7" s="44">
        <v>2732</v>
      </c>
      <c r="G7" s="44">
        <v>2780</v>
      </c>
      <c r="H7" s="44">
        <v>2831</v>
      </c>
      <c r="I7" s="44">
        <v>2880</v>
      </c>
      <c r="J7" s="44">
        <v>2929</v>
      </c>
      <c r="K7" s="44">
        <v>2978</v>
      </c>
      <c r="L7" s="44">
        <v>3029</v>
      </c>
      <c r="M7" s="44">
        <v>3077</v>
      </c>
      <c r="N7" s="44">
        <v>3128</v>
      </c>
      <c r="O7" s="44">
        <v>3174</v>
      </c>
      <c r="P7" s="44">
        <v>3224</v>
      </c>
      <c r="Q7" s="44">
        <v>3275</v>
      </c>
      <c r="R7" s="44">
        <v>3324</v>
      </c>
      <c r="S7" s="44">
        <v>3371</v>
      </c>
      <c r="T7" s="44">
        <v>3421</v>
      </c>
      <c r="U7" s="44">
        <v>3470</v>
      </c>
      <c r="V7" s="44">
        <v>3521</v>
      </c>
      <c r="W7" s="44">
        <v>3568</v>
      </c>
      <c r="X7" s="44">
        <v>3619</v>
      </c>
      <c r="Y7" s="44">
        <v>3669</v>
      </c>
    </row>
    <row r="8" spans="1:25" ht="15" customHeight="1" x14ac:dyDescent="0.25">
      <c r="A8" s="43">
        <v>1050</v>
      </c>
      <c r="B8" s="44">
        <v>2655</v>
      </c>
      <c r="C8" s="44">
        <v>2707</v>
      </c>
      <c r="D8" s="44">
        <v>2758</v>
      </c>
      <c r="E8" s="44">
        <v>2807</v>
      </c>
      <c r="F8" s="44">
        <v>2858</v>
      </c>
      <c r="G8" s="44">
        <v>2910</v>
      </c>
      <c r="H8" s="44">
        <v>2960</v>
      </c>
      <c r="I8" s="44">
        <v>3011</v>
      </c>
      <c r="J8" s="44">
        <v>3061</v>
      </c>
      <c r="K8" s="44">
        <v>3114</v>
      </c>
      <c r="L8" s="44">
        <v>3163</v>
      </c>
      <c r="M8" s="44">
        <v>3213</v>
      </c>
      <c r="N8" s="44">
        <v>3266</v>
      </c>
      <c r="O8" s="44">
        <v>3315</v>
      </c>
      <c r="P8" s="44">
        <v>3367</v>
      </c>
      <c r="Q8" s="44">
        <v>3418</v>
      </c>
      <c r="R8" s="44">
        <v>3467</v>
      </c>
      <c r="S8" s="44">
        <v>3518</v>
      </c>
      <c r="T8" s="44">
        <v>3570</v>
      </c>
      <c r="U8" s="44">
        <v>3621</v>
      </c>
      <c r="V8" s="44">
        <v>3671</v>
      </c>
      <c r="W8" s="44">
        <v>3722</v>
      </c>
      <c r="X8" s="44">
        <v>3774</v>
      </c>
      <c r="Y8" s="44">
        <v>3825</v>
      </c>
    </row>
    <row r="9" spans="1:25" ht="15" customHeight="1" x14ac:dyDescent="0.25">
      <c r="A9" s="43">
        <v>1150</v>
      </c>
      <c r="B9" s="44">
        <v>2774</v>
      </c>
      <c r="C9" s="44">
        <v>2825</v>
      </c>
      <c r="D9" s="44">
        <v>2880</v>
      </c>
      <c r="E9" s="44">
        <v>2932</v>
      </c>
      <c r="F9" s="44">
        <v>2984</v>
      </c>
      <c r="G9" s="44">
        <v>3036</v>
      </c>
      <c r="H9" s="44">
        <v>3087</v>
      </c>
      <c r="I9" s="44">
        <v>3141</v>
      </c>
      <c r="J9" s="44">
        <v>3195</v>
      </c>
      <c r="K9" s="44">
        <v>3246</v>
      </c>
      <c r="L9" s="44">
        <v>3298</v>
      </c>
      <c r="M9" s="44">
        <v>3351</v>
      </c>
      <c r="N9" s="44">
        <v>3405</v>
      </c>
      <c r="O9" s="44">
        <v>3454</v>
      </c>
      <c r="P9" s="44">
        <v>3507</v>
      </c>
      <c r="Q9" s="44">
        <v>3558</v>
      </c>
      <c r="R9" s="44">
        <v>3612</v>
      </c>
      <c r="S9" s="44">
        <v>3665</v>
      </c>
      <c r="T9" s="44">
        <v>3717</v>
      </c>
      <c r="U9" s="44">
        <v>3770</v>
      </c>
      <c r="V9" s="44">
        <v>3825</v>
      </c>
      <c r="W9" s="44">
        <v>3877</v>
      </c>
      <c r="X9" s="44">
        <v>3926</v>
      </c>
      <c r="Y9" s="44">
        <v>3976</v>
      </c>
    </row>
    <row r="10" spans="1:25" ht="15" customHeight="1" x14ac:dyDescent="0.25">
      <c r="A10" s="43">
        <v>1250</v>
      </c>
      <c r="B10" s="44">
        <v>2894</v>
      </c>
      <c r="C10" s="44">
        <v>2949</v>
      </c>
      <c r="D10" s="44">
        <v>3003</v>
      </c>
      <c r="E10" s="44">
        <v>3057</v>
      </c>
      <c r="F10" s="44">
        <v>3111</v>
      </c>
      <c r="G10" s="44">
        <v>3164</v>
      </c>
      <c r="H10" s="44">
        <v>3217</v>
      </c>
      <c r="I10" s="44">
        <v>3274</v>
      </c>
      <c r="J10" s="44">
        <v>3326</v>
      </c>
      <c r="K10" s="44">
        <v>3380</v>
      </c>
      <c r="L10" s="44">
        <v>3436</v>
      </c>
      <c r="M10" s="44">
        <v>3489</v>
      </c>
      <c r="N10" s="44">
        <v>3545</v>
      </c>
      <c r="O10" s="44">
        <v>3597</v>
      </c>
      <c r="P10" s="44">
        <v>3652</v>
      </c>
      <c r="Q10" s="44">
        <v>3705</v>
      </c>
      <c r="R10" s="44">
        <v>3759</v>
      </c>
      <c r="S10" s="44">
        <v>3814</v>
      </c>
      <c r="T10" s="44">
        <v>3867</v>
      </c>
      <c r="U10" s="44">
        <v>3921</v>
      </c>
      <c r="V10" s="44">
        <v>3974</v>
      </c>
      <c r="W10" s="44">
        <v>4029</v>
      </c>
      <c r="X10" s="44">
        <v>4084</v>
      </c>
      <c r="Y10" s="44">
        <v>4139</v>
      </c>
    </row>
    <row r="11" spans="1:25" ht="15" customHeight="1" x14ac:dyDescent="0.25">
      <c r="A11" s="43">
        <v>1350</v>
      </c>
      <c r="B11" s="44">
        <v>3015</v>
      </c>
      <c r="C11" s="44">
        <v>3072</v>
      </c>
      <c r="D11" s="44">
        <v>3127</v>
      </c>
      <c r="E11" s="44">
        <v>3181</v>
      </c>
      <c r="F11" s="44">
        <v>3238</v>
      </c>
      <c r="G11" s="44">
        <v>3293</v>
      </c>
      <c r="H11" s="44">
        <v>3347</v>
      </c>
      <c r="I11" s="44">
        <v>3403</v>
      </c>
      <c r="J11" s="44">
        <v>3462</v>
      </c>
      <c r="K11" s="44">
        <v>3515</v>
      </c>
      <c r="L11" s="44">
        <v>3570</v>
      </c>
      <c r="M11" s="44">
        <v>3627</v>
      </c>
      <c r="N11" s="44">
        <v>3681</v>
      </c>
      <c r="O11" s="44">
        <v>3738</v>
      </c>
      <c r="P11" s="44">
        <v>3793</v>
      </c>
      <c r="Q11" s="44">
        <v>3844</v>
      </c>
      <c r="R11" s="44">
        <v>3905</v>
      </c>
      <c r="S11" s="44">
        <v>3961</v>
      </c>
      <c r="T11" s="44">
        <v>4013</v>
      </c>
      <c r="U11" s="44">
        <v>4069</v>
      </c>
      <c r="V11" s="44">
        <v>4125</v>
      </c>
      <c r="W11" s="44">
        <v>4180</v>
      </c>
      <c r="X11" s="44">
        <v>4235</v>
      </c>
      <c r="Y11" s="44">
        <v>4289</v>
      </c>
    </row>
    <row r="12" spans="1:25" ht="15" customHeight="1" x14ac:dyDescent="0.25">
      <c r="A12" s="43">
        <v>1450</v>
      </c>
      <c r="B12" s="44">
        <v>3134</v>
      </c>
      <c r="C12" s="44">
        <v>3192</v>
      </c>
      <c r="D12" s="44">
        <v>3248</v>
      </c>
      <c r="E12" s="44">
        <v>3306</v>
      </c>
      <c r="F12" s="44">
        <v>3363</v>
      </c>
      <c r="G12" s="44">
        <v>3421</v>
      </c>
      <c r="H12" s="44">
        <v>3475</v>
      </c>
      <c r="I12" s="44">
        <v>3533</v>
      </c>
      <c r="J12" s="44">
        <v>3592</v>
      </c>
      <c r="K12" s="44">
        <v>3649</v>
      </c>
      <c r="L12" s="44">
        <v>3706</v>
      </c>
      <c r="M12" s="44">
        <v>3762</v>
      </c>
      <c r="N12" s="44">
        <v>3821</v>
      </c>
      <c r="O12" s="44">
        <v>3878</v>
      </c>
      <c r="P12" s="44">
        <v>3933</v>
      </c>
      <c r="Q12" s="44">
        <v>3992</v>
      </c>
      <c r="R12" s="44">
        <v>4048</v>
      </c>
      <c r="S12" s="44">
        <v>4105</v>
      </c>
      <c r="T12" s="44">
        <v>4163</v>
      </c>
      <c r="U12" s="44">
        <v>4219</v>
      </c>
      <c r="V12" s="44">
        <v>4276</v>
      </c>
      <c r="W12" s="44">
        <v>4335</v>
      </c>
      <c r="X12" s="44">
        <v>4390</v>
      </c>
      <c r="Y12" s="44">
        <v>4448</v>
      </c>
    </row>
    <row r="13" spans="1:25" ht="15" customHeight="1" x14ac:dyDescent="0.25">
      <c r="A13" s="43">
        <v>1550</v>
      </c>
      <c r="B13" s="44">
        <v>3254</v>
      </c>
      <c r="C13" s="44">
        <v>3312</v>
      </c>
      <c r="D13" s="44">
        <v>3371</v>
      </c>
      <c r="E13" s="44">
        <v>3429</v>
      </c>
      <c r="F13" s="44">
        <v>3489</v>
      </c>
      <c r="G13" s="44">
        <v>3549</v>
      </c>
      <c r="H13" s="44">
        <v>3607</v>
      </c>
      <c r="I13" s="44">
        <v>3665</v>
      </c>
      <c r="J13" s="44">
        <v>3723</v>
      </c>
      <c r="K13" s="44">
        <v>3783</v>
      </c>
      <c r="L13" s="44">
        <v>3839</v>
      </c>
      <c r="M13" s="44">
        <v>3899</v>
      </c>
      <c r="N13" s="44">
        <v>3961</v>
      </c>
      <c r="O13" s="44">
        <v>4016</v>
      </c>
      <c r="P13" s="44">
        <v>4077</v>
      </c>
      <c r="Q13" s="44">
        <v>4136</v>
      </c>
      <c r="R13" s="44">
        <v>4194</v>
      </c>
      <c r="S13" s="44">
        <v>4255</v>
      </c>
      <c r="T13" s="44">
        <v>4310</v>
      </c>
      <c r="U13" s="44">
        <v>4370</v>
      </c>
      <c r="V13" s="44">
        <v>4428</v>
      </c>
      <c r="W13" s="44">
        <v>4488</v>
      </c>
      <c r="X13" s="44">
        <v>4545</v>
      </c>
      <c r="Y13" s="44">
        <v>4602</v>
      </c>
    </row>
    <row r="14" spans="1:25" ht="15" customHeight="1" x14ac:dyDescent="0.25">
      <c r="A14" s="43">
        <v>1650</v>
      </c>
      <c r="B14" s="44">
        <v>3375</v>
      </c>
      <c r="C14" s="44">
        <v>3435</v>
      </c>
      <c r="D14" s="44">
        <v>3495</v>
      </c>
      <c r="E14" s="44">
        <v>3554</v>
      </c>
      <c r="F14" s="44">
        <v>3616</v>
      </c>
      <c r="G14" s="44">
        <v>3675</v>
      </c>
      <c r="H14" s="44">
        <v>3736</v>
      </c>
      <c r="I14" s="44">
        <v>3795</v>
      </c>
      <c r="J14" s="44">
        <v>3858</v>
      </c>
      <c r="K14" s="44">
        <v>3918</v>
      </c>
      <c r="L14" s="44">
        <v>3976</v>
      </c>
      <c r="M14" s="44">
        <v>4038</v>
      </c>
      <c r="N14" s="44">
        <v>4098</v>
      </c>
      <c r="O14" s="44">
        <v>4157</v>
      </c>
      <c r="P14" s="44">
        <v>4218</v>
      </c>
      <c r="Q14" s="44">
        <v>4277</v>
      </c>
      <c r="R14" s="44">
        <v>4339</v>
      </c>
      <c r="S14" s="44">
        <v>4398</v>
      </c>
      <c r="T14" s="44">
        <v>4458</v>
      </c>
      <c r="U14" s="44">
        <v>4522</v>
      </c>
      <c r="V14" s="44">
        <v>4581</v>
      </c>
      <c r="W14" s="44">
        <v>4640</v>
      </c>
      <c r="X14" s="44">
        <v>4700</v>
      </c>
      <c r="Y14" s="44">
        <v>4763</v>
      </c>
    </row>
    <row r="15" spans="1:25" ht="15" customHeight="1" x14ac:dyDescent="0.25">
      <c r="A15" s="43">
        <v>1750</v>
      </c>
      <c r="B15" s="44">
        <v>3494</v>
      </c>
      <c r="C15" s="44">
        <v>3554</v>
      </c>
      <c r="D15" s="44">
        <v>3618</v>
      </c>
      <c r="E15" s="44">
        <v>3678</v>
      </c>
      <c r="F15" s="44">
        <v>3741</v>
      </c>
      <c r="G15" s="44">
        <v>3803</v>
      </c>
      <c r="H15" s="44">
        <v>3866</v>
      </c>
      <c r="I15" s="44">
        <v>3926</v>
      </c>
      <c r="J15" s="44">
        <v>3989</v>
      </c>
      <c r="K15" s="44">
        <v>4050</v>
      </c>
      <c r="L15" s="44">
        <v>4113</v>
      </c>
      <c r="M15" s="44">
        <v>4174</v>
      </c>
      <c r="N15" s="44">
        <v>4235</v>
      </c>
      <c r="O15" s="44">
        <v>4300</v>
      </c>
      <c r="P15" s="44">
        <v>4361</v>
      </c>
      <c r="Q15" s="44">
        <v>4423</v>
      </c>
      <c r="R15" s="44">
        <v>4484</v>
      </c>
      <c r="S15" s="44">
        <v>4545</v>
      </c>
      <c r="T15" s="44">
        <v>4608</v>
      </c>
      <c r="U15" s="44">
        <v>4668</v>
      </c>
      <c r="V15" s="44">
        <v>4731</v>
      </c>
      <c r="W15" s="44">
        <v>4794</v>
      </c>
      <c r="X15" s="44">
        <v>4856</v>
      </c>
      <c r="Y15" s="44">
        <v>4919</v>
      </c>
    </row>
    <row r="16" spans="1:25" ht="15" customHeight="1" x14ac:dyDescent="0.25">
      <c r="A16" s="43">
        <v>1850</v>
      </c>
      <c r="B16" s="44">
        <v>3612</v>
      </c>
      <c r="C16" s="44">
        <v>3676</v>
      </c>
      <c r="D16" s="44">
        <v>3741</v>
      </c>
      <c r="E16" s="44">
        <v>3804</v>
      </c>
      <c r="F16" s="44">
        <v>3869</v>
      </c>
      <c r="G16" s="44">
        <v>3931</v>
      </c>
      <c r="H16" s="44">
        <v>3995</v>
      </c>
      <c r="I16" s="44">
        <v>4056</v>
      </c>
      <c r="J16" s="44">
        <v>4121</v>
      </c>
      <c r="K16" s="44">
        <v>4183</v>
      </c>
      <c r="L16" s="44">
        <v>4251</v>
      </c>
      <c r="M16" s="44">
        <v>4312</v>
      </c>
      <c r="N16" s="44">
        <v>4376</v>
      </c>
      <c r="O16" s="44">
        <v>4438</v>
      </c>
      <c r="P16" s="44">
        <v>4502</v>
      </c>
      <c r="Q16" s="44">
        <v>4565</v>
      </c>
      <c r="R16" s="44">
        <v>4630</v>
      </c>
      <c r="S16" s="44">
        <v>4694</v>
      </c>
      <c r="T16" s="44">
        <v>4755</v>
      </c>
      <c r="U16" s="44">
        <v>4822</v>
      </c>
      <c r="V16" s="44">
        <v>4882</v>
      </c>
      <c r="W16" s="44">
        <v>4946</v>
      </c>
      <c r="X16" s="44">
        <v>5466</v>
      </c>
      <c r="Y16" s="44">
        <v>5986</v>
      </c>
    </row>
    <row r="17" spans="1:25" ht="15" customHeight="1" x14ac:dyDescent="0.25">
      <c r="A17" s="43">
        <v>1950</v>
      </c>
      <c r="B17" s="44">
        <v>3732</v>
      </c>
      <c r="C17" s="44">
        <v>3796</v>
      </c>
      <c r="D17" s="44">
        <v>3865</v>
      </c>
      <c r="E17" s="44">
        <v>3928</v>
      </c>
      <c r="F17" s="44">
        <v>3993</v>
      </c>
      <c r="G17" s="44">
        <v>4058</v>
      </c>
      <c r="H17" s="44">
        <v>4123</v>
      </c>
      <c r="I17" s="44">
        <v>4190</v>
      </c>
      <c r="J17" s="44">
        <v>4255</v>
      </c>
      <c r="K17" s="44">
        <v>4319</v>
      </c>
      <c r="L17" s="44">
        <v>4384</v>
      </c>
      <c r="M17" s="44">
        <v>4448</v>
      </c>
      <c r="N17" s="44">
        <v>4513</v>
      </c>
      <c r="O17" s="44">
        <v>4580</v>
      </c>
      <c r="P17" s="44">
        <v>4645</v>
      </c>
      <c r="Q17" s="44">
        <v>4710</v>
      </c>
      <c r="R17" s="44">
        <v>4774</v>
      </c>
      <c r="S17" s="44">
        <v>4838</v>
      </c>
      <c r="T17" s="44">
        <v>4903</v>
      </c>
      <c r="U17" s="44">
        <v>4970</v>
      </c>
      <c r="V17" s="44">
        <v>5484</v>
      </c>
      <c r="W17" s="44">
        <v>5563</v>
      </c>
      <c r="X17" s="44">
        <v>5645</v>
      </c>
      <c r="Y17" s="44">
        <v>5725</v>
      </c>
    </row>
    <row r="18" spans="1:25" ht="15" customHeight="1" x14ac:dyDescent="0.25">
      <c r="A18" s="43">
        <v>2050</v>
      </c>
      <c r="B18" s="44">
        <v>3853</v>
      </c>
      <c r="C18" s="44">
        <v>3921</v>
      </c>
      <c r="D18" s="44">
        <v>3987</v>
      </c>
      <c r="E18" s="44">
        <v>4052</v>
      </c>
      <c r="F18" s="44">
        <v>4118</v>
      </c>
      <c r="G18" s="44">
        <v>4184</v>
      </c>
      <c r="H18" s="44">
        <v>4255</v>
      </c>
      <c r="I18" s="44">
        <v>4319</v>
      </c>
      <c r="J18" s="44">
        <v>4386</v>
      </c>
      <c r="K18" s="44">
        <v>4451</v>
      </c>
      <c r="L18" s="44">
        <v>4522</v>
      </c>
      <c r="M18" s="44">
        <v>4586</v>
      </c>
      <c r="N18" s="44">
        <v>4653</v>
      </c>
      <c r="O18" s="44">
        <v>4718</v>
      </c>
      <c r="P18" s="44">
        <v>4787</v>
      </c>
      <c r="Q18" s="44">
        <v>4854</v>
      </c>
      <c r="R18" s="44">
        <v>4920</v>
      </c>
      <c r="S18" s="44">
        <v>4985</v>
      </c>
      <c r="T18" s="44">
        <v>5051</v>
      </c>
      <c r="U18" s="44">
        <v>5576</v>
      </c>
      <c r="V18" s="44">
        <v>5659</v>
      </c>
      <c r="W18" s="44">
        <v>5739</v>
      </c>
      <c r="X18" s="44">
        <v>5823</v>
      </c>
      <c r="Y18" s="44">
        <v>5909</v>
      </c>
    </row>
    <row r="19" spans="1:25" ht="15" customHeight="1" x14ac:dyDescent="0.25">
      <c r="A19" s="43">
        <v>2150</v>
      </c>
      <c r="B19" s="44">
        <v>3973</v>
      </c>
      <c r="C19" s="44">
        <v>4043</v>
      </c>
      <c r="D19" s="44">
        <v>4107</v>
      </c>
      <c r="E19" s="44">
        <v>4176</v>
      </c>
      <c r="F19" s="44">
        <v>4248</v>
      </c>
      <c r="G19" s="44">
        <v>4313</v>
      </c>
      <c r="H19" s="44">
        <v>4382</v>
      </c>
      <c r="I19" s="44">
        <v>4449</v>
      </c>
      <c r="J19" s="44">
        <v>4521</v>
      </c>
      <c r="K19" s="44">
        <v>4587</v>
      </c>
      <c r="L19" s="44">
        <v>4654</v>
      </c>
      <c r="M19" s="44">
        <v>4722</v>
      </c>
      <c r="N19" s="44">
        <v>4792</v>
      </c>
      <c r="O19" s="44">
        <v>4859</v>
      </c>
      <c r="P19" s="44">
        <v>4927</v>
      </c>
      <c r="Q19" s="44">
        <v>4997</v>
      </c>
      <c r="R19" s="44">
        <v>5064</v>
      </c>
      <c r="S19" s="44">
        <v>5580</v>
      </c>
      <c r="T19" s="44">
        <v>5666</v>
      </c>
      <c r="U19" s="44">
        <v>5751</v>
      </c>
      <c r="V19" s="44">
        <v>5833</v>
      </c>
      <c r="W19" s="44">
        <v>5918</v>
      </c>
      <c r="X19" s="44">
        <v>6002</v>
      </c>
      <c r="Y19" s="44">
        <v>6087</v>
      </c>
    </row>
    <row r="20" spans="1:25" ht="15" customHeight="1" x14ac:dyDescent="0.25">
      <c r="A20" s="43">
        <v>2250</v>
      </c>
      <c r="B20" s="44">
        <v>4093</v>
      </c>
      <c r="C20" s="44">
        <v>4163</v>
      </c>
      <c r="D20" s="44">
        <v>4230</v>
      </c>
      <c r="E20" s="44">
        <v>4302</v>
      </c>
      <c r="F20" s="44">
        <v>4371</v>
      </c>
      <c r="G20" s="44">
        <v>4442</v>
      </c>
      <c r="H20" s="44">
        <v>4511</v>
      </c>
      <c r="I20" s="44">
        <v>4583</v>
      </c>
      <c r="J20" s="44">
        <v>4651</v>
      </c>
      <c r="K20" s="44">
        <v>4719</v>
      </c>
      <c r="L20" s="44">
        <v>4791</v>
      </c>
      <c r="M20" s="44">
        <v>4860</v>
      </c>
      <c r="N20" s="44">
        <v>4929</v>
      </c>
      <c r="O20" s="44">
        <v>5000</v>
      </c>
      <c r="P20" s="44">
        <v>5070</v>
      </c>
      <c r="Q20" s="44">
        <v>5136</v>
      </c>
      <c r="R20" s="44">
        <v>5660</v>
      </c>
      <c r="S20" s="44">
        <v>5746</v>
      </c>
      <c r="T20" s="44">
        <v>5833</v>
      </c>
      <c r="U20" s="44">
        <v>5919</v>
      </c>
      <c r="V20" s="44">
        <v>6004</v>
      </c>
      <c r="W20" s="44">
        <v>6095</v>
      </c>
      <c r="X20" s="44">
        <v>6181</v>
      </c>
      <c r="Y20" s="44">
        <v>6266</v>
      </c>
    </row>
    <row r="21" spans="1:25" ht="15" customHeight="1" x14ac:dyDescent="0.25">
      <c r="A21" s="43">
        <v>2350</v>
      </c>
      <c r="B21" s="44">
        <v>4238</v>
      </c>
      <c r="C21" s="44">
        <v>4310</v>
      </c>
      <c r="D21" s="44">
        <v>4385</v>
      </c>
      <c r="E21" s="44">
        <v>4454</v>
      </c>
      <c r="F21" s="44">
        <v>4527</v>
      </c>
      <c r="G21" s="44">
        <v>4598</v>
      </c>
      <c r="H21" s="44">
        <v>4668</v>
      </c>
      <c r="I21" s="44">
        <v>4740</v>
      </c>
      <c r="J21" s="44">
        <v>4810</v>
      </c>
      <c r="K21" s="44">
        <v>4883</v>
      </c>
      <c r="L21" s="44">
        <v>4954</v>
      </c>
      <c r="M21" s="44">
        <v>5026</v>
      </c>
      <c r="N21" s="44">
        <v>5096</v>
      </c>
      <c r="O21" s="44">
        <v>5168</v>
      </c>
      <c r="P21" s="44">
        <v>5237</v>
      </c>
      <c r="Q21" s="44">
        <v>5762</v>
      </c>
      <c r="R21" s="44">
        <v>5853</v>
      </c>
      <c r="S21" s="44">
        <v>5943</v>
      </c>
      <c r="T21" s="44">
        <v>6031</v>
      </c>
      <c r="U21" s="44">
        <v>6119</v>
      </c>
      <c r="V21" s="44">
        <v>6119</v>
      </c>
      <c r="W21" s="44">
        <v>6299</v>
      </c>
      <c r="X21" s="44">
        <v>6389</v>
      </c>
      <c r="Y21" s="44">
        <v>6481</v>
      </c>
    </row>
    <row r="23" spans="1:25" ht="15" customHeight="1" x14ac:dyDescent="0.25">
      <c r="A23" s="121" t="s">
        <v>261</v>
      </c>
      <c r="B23" s="93"/>
      <c r="C23" s="93"/>
      <c r="D23" s="93"/>
      <c r="E23" s="93"/>
      <c r="F23" s="93"/>
      <c r="G23" s="93"/>
      <c r="H23" s="93"/>
      <c r="I23" s="93"/>
      <c r="J23" s="93"/>
      <c r="K23" s="93"/>
      <c r="L23" s="93"/>
      <c r="M23" s="93"/>
      <c r="N23" s="93"/>
      <c r="O23" s="93"/>
      <c r="P23" s="93"/>
      <c r="Q23" s="93"/>
      <c r="R23" s="93"/>
      <c r="S23" s="93"/>
      <c r="T23" s="93"/>
      <c r="U23" s="93"/>
      <c r="V23" s="93"/>
      <c r="W23" s="93"/>
      <c r="X23" s="93"/>
      <c r="Y23" s="93"/>
    </row>
    <row r="24" spans="1:25" ht="15" customHeight="1" x14ac:dyDescent="0.25">
      <c r="A24" s="43" t="s">
        <v>260</v>
      </c>
      <c r="B24" s="43">
        <v>1000</v>
      </c>
      <c r="C24" s="43">
        <v>1100</v>
      </c>
      <c r="D24" s="43">
        <v>1200</v>
      </c>
      <c r="E24" s="43">
        <v>1300</v>
      </c>
      <c r="F24" s="43">
        <v>1400</v>
      </c>
      <c r="G24" s="43">
        <v>1500</v>
      </c>
      <c r="H24" s="43">
        <v>1600</v>
      </c>
      <c r="I24" s="43">
        <v>1700</v>
      </c>
      <c r="J24" s="43">
        <v>1800</v>
      </c>
      <c r="K24" s="43">
        <v>1900</v>
      </c>
      <c r="L24" s="43">
        <v>2000</v>
      </c>
      <c r="M24" s="43">
        <v>2100</v>
      </c>
      <c r="N24" s="43">
        <v>2200</v>
      </c>
      <c r="O24" s="43">
        <v>2300</v>
      </c>
      <c r="P24" s="43">
        <v>2400</v>
      </c>
      <c r="Q24" s="43">
        <v>2500</v>
      </c>
      <c r="R24" s="43">
        <v>2600</v>
      </c>
      <c r="S24" s="43">
        <v>2700</v>
      </c>
      <c r="T24" s="43">
        <v>2800</v>
      </c>
      <c r="U24" s="43">
        <v>2900</v>
      </c>
      <c r="V24" s="43">
        <v>3000</v>
      </c>
      <c r="W24" s="43">
        <v>3100</v>
      </c>
      <c r="X24" s="43">
        <v>3200</v>
      </c>
      <c r="Y24" s="43">
        <v>3300</v>
      </c>
    </row>
    <row r="25" spans="1:25" ht="15" customHeight="1" x14ac:dyDescent="0.25">
      <c r="A25" s="43">
        <v>750</v>
      </c>
      <c r="B25" s="45">
        <v>0.5</v>
      </c>
      <c r="C25" s="45">
        <v>0.5</v>
      </c>
      <c r="D25" s="45">
        <v>0.56000000000000005</v>
      </c>
      <c r="E25" s="45">
        <v>0.61</v>
      </c>
      <c r="F25" s="45">
        <v>0.67</v>
      </c>
      <c r="G25" s="45">
        <v>0.73</v>
      </c>
      <c r="H25" s="45">
        <v>0.78</v>
      </c>
      <c r="I25" s="45">
        <v>0.84</v>
      </c>
      <c r="J25" s="45">
        <v>0.89</v>
      </c>
      <c r="K25" s="45">
        <v>0.95</v>
      </c>
      <c r="L25" s="45">
        <v>1.01</v>
      </c>
      <c r="M25" s="45">
        <v>1.06</v>
      </c>
      <c r="N25" s="45">
        <v>1.1200000000000001</v>
      </c>
      <c r="O25" s="45">
        <v>1.18</v>
      </c>
      <c r="P25" s="45">
        <v>1.23</v>
      </c>
      <c r="Q25" s="45">
        <v>1.29</v>
      </c>
      <c r="R25" s="45">
        <v>1.34</v>
      </c>
      <c r="S25" s="45">
        <v>1.4</v>
      </c>
      <c r="T25" s="45">
        <v>1.46</v>
      </c>
      <c r="U25" s="45">
        <v>1.51</v>
      </c>
      <c r="V25" s="45">
        <v>1.57</v>
      </c>
      <c r="W25" s="45">
        <v>1.62</v>
      </c>
      <c r="X25" s="45">
        <v>1.68</v>
      </c>
      <c r="Y25" s="45">
        <v>1.74</v>
      </c>
    </row>
    <row r="26" spans="1:25" ht="15" customHeight="1" x14ac:dyDescent="0.25">
      <c r="A26" s="43">
        <v>850</v>
      </c>
      <c r="B26" s="45">
        <v>0.52</v>
      </c>
      <c r="C26" s="45">
        <v>0.59</v>
      </c>
      <c r="D26" s="45">
        <v>0.66</v>
      </c>
      <c r="E26" s="45">
        <v>0.72</v>
      </c>
      <c r="F26" s="45">
        <v>0.79</v>
      </c>
      <c r="G26" s="45">
        <v>0.85</v>
      </c>
      <c r="H26" s="45">
        <v>0.92</v>
      </c>
      <c r="I26" s="45">
        <v>0.99</v>
      </c>
      <c r="J26" s="45">
        <v>1.05</v>
      </c>
      <c r="K26" s="45">
        <v>1.1200000000000001</v>
      </c>
      <c r="L26" s="45">
        <v>1.19</v>
      </c>
      <c r="M26" s="45">
        <v>1.25</v>
      </c>
      <c r="N26" s="45">
        <v>1.32</v>
      </c>
      <c r="O26" s="45">
        <v>1.38</v>
      </c>
      <c r="P26" s="45">
        <v>1.45</v>
      </c>
      <c r="Q26" s="45">
        <v>1.52</v>
      </c>
      <c r="R26" s="45">
        <v>1.58</v>
      </c>
      <c r="S26" s="45">
        <v>1.65</v>
      </c>
      <c r="T26" s="45">
        <v>1.72</v>
      </c>
      <c r="U26" s="45">
        <v>1.78</v>
      </c>
      <c r="V26" s="45">
        <v>1.85</v>
      </c>
      <c r="W26" s="45">
        <v>1.91</v>
      </c>
      <c r="X26" s="45">
        <v>1.98</v>
      </c>
      <c r="Y26" s="45">
        <v>2.0499999999999998</v>
      </c>
    </row>
    <row r="27" spans="1:25" ht="15" customHeight="1" x14ac:dyDescent="0.25">
      <c r="A27" s="43">
        <v>950</v>
      </c>
      <c r="B27" s="45">
        <v>0.6</v>
      </c>
      <c r="C27" s="45">
        <v>0.68</v>
      </c>
      <c r="D27" s="45">
        <v>0.76</v>
      </c>
      <c r="E27" s="45">
        <v>0.83</v>
      </c>
      <c r="F27" s="45">
        <v>0.91</v>
      </c>
      <c r="G27" s="45">
        <v>0.98</v>
      </c>
      <c r="H27" s="45">
        <v>1.06</v>
      </c>
      <c r="I27" s="45">
        <v>1.1399999999999999</v>
      </c>
      <c r="J27" s="45">
        <v>1.21</v>
      </c>
      <c r="K27" s="45">
        <v>1.29</v>
      </c>
      <c r="L27" s="45">
        <v>1.36</v>
      </c>
      <c r="M27" s="45">
        <v>1.44</v>
      </c>
      <c r="N27" s="45">
        <v>1.52</v>
      </c>
      <c r="O27" s="45">
        <v>1.59</v>
      </c>
      <c r="P27" s="45">
        <v>1.67</v>
      </c>
      <c r="Q27" s="45">
        <v>1.75</v>
      </c>
      <c r="R27" s="45">
        <v>1.82</v>
      </c>
      <c r="S27" s="45">
        <v>1.9</v>
      </c>
      <c r="T27" s="45">
        <v>1.97</v>
      </c>
      <c r="U27" s="45">
        <v>2.0499999999999998</v>
      </c>
      <c r="V27" s="45">
        <v>2.13</v>
      </c>
      <c r="W27" s="45">
        <v>2.2000000000000002</v>
      </c>
      <c r="X27" s="45">
        <v>2.2799999999999998</v>
      </c>
      <c r="Y27" s="45">
        <v>2.36</v>
      </c>
    </row>
    <row r="28" spans="1:25" ht="15" customHeight="1" x14ac:dyDescent="0.25">
      <c r="A28" s="43">
        <v>1050</v>
      </c>
      <c r="B28" s="45">
        <v>0.68</v>
      </c>
      <c r="C28" s="45">
        <v>0.77</v>
      </c>
      <c r="D28" s="45">
        <v>0.85</v>
      </c>
      <c r="E28" s="45">
        <v>0.94</v>
      </c>
      <c r="F28" s="45">
        <v>1.03</v>
      </c>
      <c r="G28" s="45">
        <v>1.1100000000000001</v>
      </c>
      <c r="H28" s="45">
        <v>1.2</v>
      </c>
      <c r="I28" s="45">
        <v>1.29</v>
      </c>
      <c r="J28" s="45">
        <v>1.37</v>
      </c>
      <c r="K28" s="45">
        <v>1.46</v>
      </c>
      <c r="L28" s="45">
        <v>1.54</v>
      </c>
      <c r="M28" s="45">
        <v>1.63</v>
      </c>
      <c r="N28" s="45">
        <v>1.72</v>
      </c>
      <c r="O28" s="45">
        <v>1.8</v>
      </c>
      <c r="P28" s="45">
        <v>1.89</v>
      </c>
      <c r="Q28" s="45">
        <v>1.98</v>
      </c>
      <c r="R28" s="45">
        <v>2.06</v>
      </c>
      <c r="S28" s="45">
        <v>2.15</v>
      </c>
      <c r="T28" s="45">
        <v>2.23</v>
      </c>
      <c r="U28" s="45">
        <v>2.3199999999999998</v>
      </c>
      <c r="V28" s="45">
        <v>2.41</v>
      </c>
      <c r="W28" s="45">
        <v>2.4900000000000002</v>
      </c>
      <c r="X28" s="45">
        <v>2.58</v>
      </c>
      <c r="Y28" s="45">
        <v>2.66</v>
      </c>
    </row>
    <row r="29" spans="1:25" ht="15" customHeight="1" x14ac:dyDescent="0.25">
      <c r="A29" s="43">
        <v>1150</v>
      </c>
      <c r="B29" s="45">
        <v>0.76</v>
      </c>
      <c r="C29" s="45">
        <v>0.86</v>
      </c>
      <c r="D29" s="45">
        <v>0.95</v>
      </c>
      <c r="E29" s="45">
        <v>1.05</v>
      </c>
      <c r="F29" s="45">
        <v>1.1499999999999999</v>
      </c>
      <c r="G29" s="45">
        <v>1.24</v>
      </c>
      <c r="H29" s="45">
        <v>1.34</v>
      </c>
      <c r="I29" s="45">
        <v>1.43</v>
      </c>
      <c r="J29" s="45">
        <v>1.53</v>
      </c>
      <c r="K29" s="45">
        <v>1.63</v>
      </c>
      <c r="L29" s="45">
        <v>1.72</v>
      </c>
      <c r="M29" s="45">
        <v>1.82</v>
      </c>
      <c r="N29" s="45">
        <v>1.92</v>
      </c>
      <c r="O29" s="45">
        <v>2.0099999999999998</v>
      </c>
      <c r="P29" s="45">
        <v>2.11</v>
      </c>
      <c r="Q29" s="45">
        <v>2.2000000000000002</v>
      </c>
      <c r="R29" s="45">
        <v>2.2999999999999998</v>
      </c>
      <c r="S29" s="45">
        <v>2.4</v>
      </c>
      <c r="T29" s="45">
        <v>2.4900000000000002</v>
      </c>
      <c r="U29" s="45">
        <v>2.59</v>
      </c>
      <c r="V29" s="45">
        <v>2.69</v>
      </c>
      <c r="W29" s="45">
        <v>2.78</v>
      </c>
      <c r="X29" s="45">
        <v>2.88</v>
      </c>
      <c r="Y29" s="45">
        <v>2.97</v>
      </c>
    </row>
    <row r="30" spans="1:25" ht="15" customHeight="1" x14ac:dyDescent="0.25">
      <c r="A30" s="43">
        <v>1250</v>
      </c>
      <c r="B30" s="45">
        <v>0.84</v>
      </c>
      <c r="C30" s="45">
        <v>0.95</v>
      </c>
      <c r="D30" s="45">
        <v>1.05</v>
      </c>
      <c r="E30" s="45">
        <v>1.1599999999999999</v>
      </c>
      <c r="F30" s="45">
        <v>1.27</v>
      </c>
      <c r="G30" s="45">
        <v>1.37</v>
      </c>
      <c r="H30" s="45">
        <v>1.48</v>
      </c>
      <c r="I30" s="45">
        <v>1.58</v>
      </c>
      <c r="J30" s="45">
        <v>1.69</v>
      </c>
      <c r="K30" s="45">
        <v>1.8</v>
      </c>
      <c r="L30" s="45">
        <v>1.9</v>
      </c>
      <c r="M30" s="45">
        <v>2.0099999999999998</v>
      </c>
      <c r="N30" s="45">
        <v>2.11</v>
      </c>
      <c r="O30" s="45">
        <v>2.2200000000000002</v>
      </c>
      <c r="P30" s="45">
        <v>2.33</v>
      </c>
      <c r="Q30" s="45">
        <v>2.4300000000000002</v>
      </c>
      <c r="R30" s="45">
        <v>2.54</v>
      </c>
      <c r="S30" s="45">
        <v>2.65</v>
      </c>
      <c r="T30" s="45">
        <v>2.75</v>
      </c>
      <c r="U30" s="45">
        <v>2.86</v>
      </c>
      <c r="V30" s="45">
        <v>2.96</v>
      </c>
      <c r="W30" s="45">
        <v>3.07</v>
      </c>
      <c r="X30" s="45">
        <v>3.18</v>
      </c>
      <c r="Y30" s="45">
        <v>3.28</v>
      </c>
    </row>
    <row r="31" spans="1:25" ht="15" customHeight="1" x14ac:dyDescent="0.25">
      <c r="A31" s="43">
        <v>1350</v>
      </c>
      <c r="B31" s="45">
        <v>0.92</v>
      </c>
      <c r="C31" s="45">
        <v>1.04</v>
      </c>
      <c r="D31" s="45">
        <v>1.1499999999999999</v>
      </c>
      <c r="E31" s="45">
        <v>1.27</v>
      </c>
      <c r="F31" s="45">
        <v>1.38</v>
      </c>
      <c r="G31" s="45">
        <v>1.5</v>
      </c>
      <c r="H31" s="45">
        <v>1.62</v>
      </c>
      <c r="I31" s="45">
        <v>1.73</v>
      </c>
      <c r="J31" s="45">
        <v>1.85</v>
      </c>
      <c r="K31" s="45">
        <v>1.97</v>
      </c>
      <c r="L31" s="45">
        <v>2.08</v>
      </c>
      <c r="M31" s="45">
        <v>2.2000000000000002</v>
      </c>
      <c r="N31" s="45">
        <v>2.31</v>
      </c>
      <c r="O31" s="45">
        <v>2.4300000000000002</v>
      </c>
      <c r="P31" s="45">
        <v>2.5499999999999998</v>
      </c>
      <c r="Q31" s="45">
        <v>2.66</v>
      </c>
      <c r="R31" s="45">
        <v>2.78</v>
      </c>
      <c r="S31" s="45">
        <v>2.89</v>
      </c>
      <c r="T31" s="45">
        <v>3.01</v>
      </c>
      <c r="U31" s="45">
        <v>3.13</v>
      </c>
      <c r="V31" s="45">
        <v>3.24</v>
      </c>
      <c r="W31" s="45">
        <v>3.36</v>
      </c>
      <c r="X31" s="45">
        <v>3.48</v>
      </c>
      <c r="Y31" s="45">
        <v>3.59</v>
      </c>
    </row>
    <row r="32" spans="1:25" ht="15" customHeight="1" x14ac:dyDescent="0.25">
      <c r="A32" s="43">
        <v>1450</v>
      </c>
      <c r="B32" s="45">
        <v>1</v>
      </c>
      <c r="C32" s="45">
        <v>1.1299999999999999</v>
      </c>
      <c r="D32" s="45">
        <v>1.25</v>
      </c>
      <c r="E32" s="45">
        <v>1.38</v>
      </c>
      <c r="F32" s="45">
        <v>1.5</v>
      </c>
      <c r="G32" s="45">
        <v>1.63</v>
      </c>
      <c r="H32" s="45">
        <v>1.76</v>
      </c>
      <c r="I32" s="45">
        <v>1.88</v>
      </c>
      <c r="J32" s="45">
        <v>2.0099999999999998</v>
      </c>
      <c r="K32" s="45">
        <v>2.13</v>
      </c>
      <c r="L32" s="45">
        <v>2.2599999999999998</v>
      </c>
      <c r="M32" s="45">
        <v>2.39</v>
      </c>
      <c r="N32" s="45">
        <v>2.5099999999999998</v>
      </c>
      <c r="O32" s="45">
        <v>2.64</v>
      </c>
      <c r="P32" s="45">
        <v>2.77</v>
      </c>
      <c r="Q32" s="45">
        <v>2.89</v>
      </c>
      <c r="R32" s="45">
        <v>3.02</v>
      </c>
      <c r="S32" s="45">
        <v>3.14</v>
      </c>
      <c r="T32" s="45">
        <v>3.27</v>
      </c>
      <c r="U32" s="45">
        <v>3.4</v>
      </c>
      <c r="V32" s="45">
        <v>3.52</v>
      </c>
      <c r="W32" s="45">
        <v>3.65</v>
      </c>
      <c r="X32" s="45">
        <v>3.78</v>
      </c>
      <c r="Y32" s="45">
        <v>3.9</v>
      </c>
    </row>
    <row r="33" spans="1:25" ht="15" customHeight="1" x14ac:dyDescent="0.25">
      <c r="A33" s="43">
        <v>1550</v>
      </c>
      <c r="B33" s="45">
        <v>1.08</v>
      </c>
      <c r="C33" s="45">
        <v>1.21</v>
      </c>
      <c r="D33" s="45">
        <v>1.35</v>
      </c>
      <c r="E33" s="45">
        <v>1.49</v>
      </c>
      <c r="F33" s="45">
        <v>1.62</v>
      </c>
      <c r="G33" s="45">
        <v>1.76</v>
      </c>
      <c r="H33" s="45">
        <v>1.9</v>
      </c>
      <c r="I33" s="45">
        <v>2.0299999999999998</v>
      </c>
      <c r="J33" s="45">
        <v>2.17</v>
      </c>
      <c r="K33" s="45">
        <v>2.2999999999999998</v>
      </c>
      <c r="L33" s="45">
        <v>2.44</v>
      </c>
      <c r="M33" s="45">
        <v>2.58</v>
      </c>
      <c r="N33" s="45">
        <v>2.71</v>
      </c>
      <c r="O33" s="45">
        <v>2.85</v>
      </c>
      <c r="P33" s="45">
        <v>2.98</v>
      </c>
      <c r="Q33" s="45">
        <v>3.12</v>
      </c>
      <c r="R33" s="45">
        <v>3.26</v>
      </c>
      <c r="S33" s="45">
        <v>3.39</v>
      </c>
      <c r="T33" s="45">
        <v>3.53</v>
      </c>
      <c r="U33" s="45">
        <v>3.67</v>
      </c>
      <c r="V33" s="45">
        <v>3.8</v>
      </c>
      <c r="W33" s="45">
        <v>3.94</v>
      </c>
      <c r="X33" s="45">
        <v>4.07</v>
      </c>
      <c r="Y33" s="45">
        <v>4.21</v>
      </c>
    </row>
    <row r="34" spans="1:25" ht="15" customHeight="1" x14ac:dyDescent="0.25">
      <c r="A34" s="43">
        <v>1650</v>
      </c>
      <c r="B34" s="45">
        <v>1.1599999999999999</v>
      </c>
      <c r="C34" s="45">
        <v>1.3</v>
      </c>
      <c r="D34" s="45">
        <v>1.45</v>
      </c>
      <c r="E34" s="45">
        <v>1.6</v>
      </c>
      <c r="F34" s="45">
        <v>1.74</v>
      </c>
      <c r="G34" s="45">
        <v>1.89</v>
      </c>
      <c r="H34" s="45">
        <v>2.0299999999999998</v>
      </c>
      <c r="I34" s="45">
        <v>2.1800000000000002</v>
      </c>
      <c r="J34" s="45">
        <v>2.33</v>
      </c>
      <c r="K34" s="45">
        <v>2.4700000000000002</v>
      </c>
      <c r="L34" s="45">
        <v>2.62</v>
      </c>
      <c r="M34" s="45">
        <v>2.77</v>
      </c>
      <c r="N34" s="45">
        <v>2.91</v>
      </c>
      <c r="O34" s="45">
        <v>3.06</v>
      </c>
      <c r="P34" s="45">
        <v>3.2</v>
      </c>
      <c r="Q34" s="45">
        <v>3.35</v>
      </c>
      <c r="R34" s="45">
        <v>3.5</v>
      </c>
      <c r="S34" s="45">
        <v>3.64</v>
      </c>
      <c r="T34" s="45">
        <v>3.79</v>
      </c>
      <c r="U34" s="45">
        <v>3.93</v>
      </c>
      <c r="V34" s="45">
        <v>4.08</v>
      </c>
      <c r="W34" s="45">
        <v>4.2300000000000004</v>
      </c>
      <c r="X34" s="45">
        <v>4.37</v>
      </c>
      <c r="Y34" s="45">
        <v>4.5199999999999996</v>
      </c>
    </row>
    <row r="35" spans="1:25" ht="15" customHeight="1" x14ac:dyDescent="0.25">
      <c r="A35" s="43">
        <v>1750</v>
      </c>
      <c r="B35" s="45">
        <v>1.24</v>
      </c>
      <c r="C35" s="45">
        <v>1.39</v>
      </c>
      <c r="D35" s="45">
        <v>1.55</v>
      </c>
      <c r="E35" s="45">
        <v>1.71</v>
      </c>
      <c r="F35" s="45">
        <v>1.86</v>
      </c>
      <c r="G35" s="45">
        <v>2.02</v>
      </c>
      <c r="H35" s="45">
        <v>2.17</v>
      </c>
      <c r="I35" s="45">
        <v>2.33</v>
      </c>
      <c r="J35" s="45">
        <v>2.4900000000000002</v>
      </c>
      <c r="K35" s="45">
        <v>2.64</v>
      </c>
      <c r="L35" s="45">
        <v>2.8</v>
      </c>
      <c r="M35" s="45">
        <v>2.95</v>
      </c>
      <c r="N35" s="45">
        <v>3.11</v>
      </c>
      <c r="O35" s="45">
        <v>3.27</v>
      </c>
      <c r="P35" s="45">
        <v>3.42</v>
      </c>
      <c r="Q35" s="45">
        <v>3.58</v>
      </c>
      <c r="R35" s="45">
        <v>3.74</v>
      </c>
      <c r="S35" s="45">
        <v>3.89</v>
      </c>
      <c r="T35" s="45">
        <v>4.05</v>
      </c>
      <c r="U35" s="45">
        <v>4.2</v>
      </c>
      <c r="V35" s="45">
        <v>4.3600000000000003</v>
      </c>
      <c r="W35" s="45">
        <v>4.5199999999999996</v>
      </c>
      <c r="X35" s="45">
        <v>4.67</v>
      </c>
      <c r="Y35" s="45">
        <v>4.83</v>
      </c>
    </row>
    <row r="36" spans="1:25" ht="15" customHeight="1" x14ac:dyDescent="0.25">
      <c r="A36" s="43">
        <v>1850</v>
      </c>
      <c r="B36" s="45">
        <v>1.32</v>
      </c>
      <c r="C36" s="45">
        <v>1.48</v>
      </c>
      <c r="D36" s="45">
        <v>1.65</v>
      </c>
      <c r="E36" s="45">
        <v>1.81</v>
      </c>
      <c r="F36" s="45">
        <v>1.98</v>
      </c>
      <c r="G36" s="45">
        <v>2.15</v>
      </c>
      <c r="H36" s="45">
        <v>2.31</v>
      </c>
      <c r="I36" s="45">
        <v>2.48</v>
      </c>
      <c r="J36" s="45">
        <v>2.65</v>
      </c>
      <c r="K36" s="45">
        <v>2.81</v>
      </c>
      <c r="L36" s="45">
        <v>2.98</v>
      </c>
      <c r="M36" s="45">
        <v>3.14</v>
      </c>
      <c r="N36" s="45">
        <v>3.31</v>
      </c>
      <c r="O36" s="45">
        <v>3.48</v>
      </c>
      <c r="P36" s="45">
        <v>3.64</v>
      </c>
      <c r="Q36" s="45">
        <v>3.81</v>
      </c>
      <c r="R36" s="45">
        <v>3.97</v>
      </c>
      <c r="S36" s="45">
        <v>4.1399999999999997</v>
      </c>
      <c r="T36" s="45">
        <v>4.3099999999999996</v>
      </c>
      <c r="U36" s="45">
        <v>4.47</v>
      </c>
      <c r="V36" s="45">
        <v>4.6399999999999997</v>
      </c>
      <c r="W36" s="45">
        <v>4.8099999999999996</v>
      </c>
      <c r="X36" s="45">
        <v>4.97</v>
      </c>
      <c r="Y36" s="45">
        <v>5.14</v>
      </c>
    </row>
    <row r="37" spans="1:25" ht="15" customHeight="1" x14ac:dyDescent="0.25">
      <c r="A37" s="43">
        <v>1950</v>
      </c>
      <c r="B37" s="45">
        <v>1.39</v>
      </c>
      <c r="C37" s="45">
        <v>1.57</v>
      </c>
      <c r="D37" s="45">
        <v>1.75</v>
      </c>
      <c r="E37" s="45">
        <v>1.92</v>
      </c>
      <c r="F37" s="45">
        <v>2.1</v>
      </c>
      <c r="G37" s="45">
        <v>2.2799999999999998</v>
      </c>
      <c r="H37" s="45">
        <v>2.4500000000000002</v>
      </c>
      <c r="I37" s="45">
        <v>2.63</v>
      </c>
      <c r="J37" s="45">
        <v>2.8</v>
      </c>
      <c r="K37" s="45">
        <v>2.98</v>
      </c>
      <c r="L37" s="45">
        <v>3.16</v>
      </c>
      <c r="M37" s="45">
        <v>3.33</v>
      </c>
      <c r="N37" s="45">
        <v>3.51</v>
      </c>
      <c r="O37" s="45">
        <v>3.69</v>
      </c>
      <c r="P37" s="45">
        <v>3.86</v>
      </c>
      <c r="Q37" s="45">
        <v>4.04</v>
      </c>
      <c r="R37" s="45">
        <v>4.21</v>
      </c>
      <c r="S37" s="45">
        <v>4.3899999999999997</v>
      </c>
      <c r="T37" s="45">
        <v>4.57</v>
      </c>
      <c r="U37" s="45">
        <v>4.74</v>
      </c>
      <c r="V37" s="45">
        <v>4.92</v>
      </c>
      <c r="W37" s="45">
        <v>5.09</v>
      </c>
      <c r="X37" s="45">
        <v>5.27</v>
      </c>
      <c r="Y37" s="45">
        <v>5.45</v>
      </c>
    </row>
    <row r="38" spans="1:25" ht="15" customHeight="1" x14ac:dyDescent="0.25">
      <c r="A38" s="43">
        <v>2050</v>
      </c>
      <c r="B38" s="45">
        <v>1.47</v>
      </c>
      <c r="C38" s="45">
        <v>1.66</v>
      </c>
      <c r="D38" s="45">
        <v>1.85</v>
      </c>
      <c r="E38" s="45">
        <v>2.0299999999999998</v>
      </c>
      <c r="F38" s="45">
        <v>2.2200000000000002</v>
      </c>
      <c r="G38" s="45">
        <v>2.41</v>
      </c>
      <c r="H38" s="45">
        <v>2.59</v>
      </c>
      <c r="I38" s="45">
        <v>2.78</v>
      </c>
      <c r="J38" s="45">
        <v>2.96</v>
      </c>
      <c r="K38" s="45">
        <v>3.15</v>
      </c>
      <c r="L38" s="45">
        <v>3.34</v>
      </c>
      <c r="M38" s="45">
        <v>3.52</v>
      </c>
      <c r="N38" s="45">
        <v>3.71</v>
      </c>
      <c r="O38" s="45">
        <v>3.89</v>
      </c>
      <c r="P38" s="45">
        <v>4.08</v>
      </c>
      <c r="Q38" s="45">
        <v>4.2699999999999996</v>
      </c>
      <c r="R38" s="45">
        <v>4.45</v>
      </c>
      <c r="S38" s="45">
        <v>4.6399999999999997</v>
      </c>
      <c r="T38" s="45">
        <v>4.83</v>
      </c>
      <c r="U38" s="45">
        <v>5.01</v>
      </c>
      <c r="V38" s="45">
        <v>5.2</v>
      </c>
      <c r="W38" s="45">
        <v>5.38</v>
      </c>
      <c r="X38" s="45">
        <v>5.57</v>
      </c>
      <c r="Y38" s="45">
        <v>5.76</v>
      </c>
    </row>
    <row r="39" spans="1:25" ht="15" customHeight="1" x14ac:dyDescent="0.25">
      <c r="A39" s="43">
        <v>2150</v>
      </c>
      <c r="B39" s="45">
        <v>1.55</v>
      </c>
      <c r="C39" s="45">
        <v>1.75</v>
      </c>
      <c r="D39" s="45">
        <v>1.95</v>
      </c>
      <c r="E39" s="45">
        <v>2.14</v>
      </c>
      <c r="F39" s="45">
        <v>2.34</v>
      </c>
      <c r="G39" s="45">
        <v>2.5299999999999998</v>
      </c>
      <c r="H39" s="45">
        <v>2.73</v>
      </c>
      <c r="I39" s="45">
        <v>2.93</v>
      </c>
      <c r="J39" s="45">
        <v>3.12</v>
      </c>
      <c r="K39" s="45">
        <v>3.32</v>
      </c>
      <c r="L39" s="45">
        <v>3.52</v>
      </c>
      <c r="M39" s="45">
        <v>3.71</v>
      </c>
      <c r="N39" s="45">
        <v>3.91</v>
      </c>
      <c r="O39" s="45">
        <v>4.0999999999999996</v>
      </c>
      <c r="P39" s="45">
        <v>4.3</v>
      </c>
      <c r="Q39" s="45">
        <v>4.5</v>
      </c>
      <c r="R39" s="45">
        <v>4.6900000000000004</v>
      </c>
      <c r="S39" s="45">
        <v>4.8899999999999997</v>
      </c>
      <c r="T39" s="45">
        <v>5.08</v>
      </c>
      <c r="U39" s="45">
        <v>5.28</v>
      </c>
      <c r="V39" s="45">
        <v>5.48</v>
      </c>
      <c r="W39" s="45">
        <v>5.67</v>
      </c>
      <c r="X39" s="45">
        <v>5.87</v>
      </c>
      <c r="Y39" s="45">
        <v>6.07</v>
      </c>
    </row>
    <row r="40" spans="1:25" ht="15" customHeight="1" x14ac:dyDescent="0.25">
      <c r="A40" s="43">
        <v>2250</v>
      </c>
      <c r="B40" s="45">
        <v>1.63</v>
      </c>
      <c r="C40" s="45">
        <v>1.84</v>
      </c>
      <c r="D40" s="45">
        <v>2.04</v>
      </c>
      <c r="E40" s="45">
        <v>2.25</v>
      </c>
      <c r="F40" s="45">
        <v>2.46</v>
      </c>
      <c r="G40" s="45">
        <v>2.66</v>
      </c>
      <c r="H40" s="45">
        <v>2.87</v>
      </c>
      <c r="I40" s="45">
        <v>3.08</v>
      </c>
      <c r="J40" s="45">
        <v>3.28</v>
      </c>
      <c r="K40" s="45">
        <v>3.49</v>
      </c>
      <c r="L40" s="45">
        <v>3.69</v>
      </c>
      <c r="M40" s="45">
        <v>3.9</v>
      </c>
      <c r="N40" s="45">
        <v>4.1100000000000003</v>
      </c>
      <c r="O40" s="45">
        <v>4.3099999999999996</v>
      </c>
      <c r="P40" s="45">
        <v>4.5199999999999996</v>
      </c>
      <c r="Q40" s="45">
        <v>4.7300000000000004</v>
      </c>
      <c r="R40" s="45">
        <v>4.93</v>
      </c>
      <c r="S40" s="45">
        <v>5.14</v>
      </c>
      <c r="T40" s="45">
        <v>5.34</v>
      </c>
      <c r="U40" s="45">
        <v>5.55</v>
      </c>
      <c r="V40" s="45">
        <v>5.76</v>
      </c>
      <c r="W40" s="45">
        <v>5.96</v>
      </c>
      <c r="X40" s="45">
        <v>6.17</v>
      </c>
      <c r="Y40" s="45">
        <v>6.37</v>
      </c>
    </row>
    <row r="41" spans="1:25" ht="15" customHeight="1" x14ac:dyDescent="0.25">
      <c r="A41" s="43">
        <v>2350</v>
      </c>
      <c r="B41" s="45">
        <v>1.71</v>
      </c>
      <c r="C41" s="45">
        <v>1.93</v>
      </c>
      <c r="D41" s="45">
        <v>2.14</v>
      </c>
      <c r="E41" s="45">
        <v>2.36</v>
      </c>
      <c r="F41" s="45">
        <v>2.58</v>
      </c>
      <c r="G41" s="45">
        <v>2.79</v>
      </c>
      <c r="H41" s="45">
        <v>3.01</v>
      </c>
      <c r="I41" s="45">
        <v>3.22</v>
      </c>
      <c r="J41" s="45">
        <v>3.44</v>
      </c>
      <c r="K41" s="45">
        <v>3.66</v>
      </c>
      <c r="L41" s="45">
        <v>3.87</v>
      </c>
      <c r="M41" s="45">
        <v>4.09</v>
      </c>
      <c r="N41" s="45">
        <v>4.3099999999999996</v>
      </c>
      <c r="O41" s="45">
        <v>4.5199999999999996</v>
      </c>
      <c r="P41" s="45">
        <v>4.74</v>
      </c>
      <c r="Q41" s="45">
        <v>4.95</v>
      </c>
      <c r="R41" s="45">
        <v>5.17</v>
      </c>
      <c r="S41" s="45">
        <v>5.39</v>
      </c>
      <c r="T41" s="45">
        <v>5.6</v>
      </c>
      <c r="U41" s="45">
        <v>5.82</v>
      </c>
      <c r="V41" s="45">
        <v>6.04</v>
      </c>
      <c r="W41" s="45">
        <v>6.25</v>
      </c>
      <c r="X41" s="45">
        <v>6.47</v>
      </c>
      <c r="Y41" s="45">
        <v>6.68</v>
      </c>
    </row>
    <row r="43" spans="1:25" ht="15" customHeight="1" x14ac:dyDescent="0.25">
      <c r="A43" s="46" t="s">
        <v>243</v>
      </c>
      <c r="B43" s="47">
        <v>285</v>
      </c>
      <c r="C43" s="47">
        <v>292</v>
      </c>
      <c r="D43" s="47">
        <v>298</v>
      </c>
      <c r="E43" s="47">
        <v>314</v>
      </c>
      <c r="F43" s="47">
        <v>321</v>
      </c>
      <c r="G43" s="47">
        <v>327</v>
      </c>
      <c r="H43" s="47">
        <v>334</v>
      </c>
      <c r="I43" s="47">
        <v>341</v>
      </c>
      <c r="J43" s="47">
        <v>348</v>
      </c>
      <c r="K43" s="47">
        <v>354</v>
      </c>
      <c r="L43" s="47">
        <v>363</v>
      </c>
      <c r="M43" s="47">
        <v>370</v>
      </c>
      <c r="N43" s="47">
        <v>375</v>
      </c>
      <c r="O43" s="47">
        <v>382</v>
      </c>
      <c r="P43" s="47">
        <v>399</v>
      </c>
      <c r="Q43" s="47">
        <v>406</v>
      </c>
      <c r="R43" s="47">
        <v>411</v>
      </c>
      <c r="S43" s="47">
        <v>418</v>
      </c>
      <c r="T43" s="47">
        <v>424</v>
      </c>
      <c r="U43" s="47">
        <v>430</v>
      </c>
      <c r="V43" s="47">
        <v>438</v>
      </c>
      <c r="W43" s="47">
        <v>449</v>
      </c>
      <c r="X43" s="47">
        <v>454</v>
      </c>
      <c r="Y43" s="47">
        <v>447</v>
      </c>
    </row>
    <row r="45" spans="1:25" ht="15" customHeight="1" x14ac:dyDescent="0.25">
      <c r="A45" s="121" t="s">
        <v>262</v>
      </c>
      <c r="B45" s="93"/>
      <c r="C45" s="93"/>
      <c r="D45" s="93"/>
      <c r="E45" s="93"/>
      <c r="F45" s="93"/>
      <c r="G45" s="93"/>
      <c r="H45" s="93"/>
      <c r="I45" s="93"/>
      <c r="J45" s="93"/>
      <c r="K45" s="93"/>
      <c r="L45" s="93"/>
      <c r="M45" s="93"/>
      <c r="N45" s="93"/>
      <c r="O45" s="93"/>
      <c r="P45" s="93"/>
      <c r="Q45" s="93"/>
      <c r="R45" s="93"/>
      <c r="S45" s="93"/>
      <c r="T45" s="93"/>
      <c r="U45" s="93"/>
      <c r="V45" s="93"/>
      <c r="W45" s="93"/>
      <c r="X45" s="93"/>
      <c r="Y45" s="93"/>
    </row>
    <row r="46" spans="1:25" ht="15" customHeight="1" x14ac:dyDescent="0.25">
      <c r="A46" s="48" t="s">
        <v>263</v>
      </c>
      <c r="B46" s="49">
        <f>Paramètres!$B$2</f>
        <v>0.51500000000000001</v>
      </c>
    </row>
    <row r="47" spans="1:25" ht="15" customHeight="1" x14ac:dyDescent="0.25">
      <c r="A47" s="43" t="s">
        <v>260</v>
      </c>
      <c r="B47" s="43">
        <v>1000</v>
      </c>
      <c r="C47" s="43">
        <v>1100</v>
      </c>
      <c r="D47" s="43">
        <v>1200</v>
      </c>
      <c r="E47" s="43">
        <v>1300</v>
      </c>
      <c r="F47" s="43">
        <v>1400</v>
      </c>
      <c r="G47" s="43">
        <v>1500</v>
      </c>
      <c r="H47" s="43">
        <v>1600</v>
      </c>
      <c r="I47" s="43">
        <v>1700</v>
      </c>
      <c r="J47" s="43">
        <v>1800</v>
      </c>
      <c r="K47" s="43">
        <v>1900</v>
      </c>
      <c r="L47" s="43">
        <v>2000</v>
      </c>
      <c r="M47" s="43">
        <v>2100</v>
      </c>
      <c r="N47" s="43">
        <v>2200</v>
      </c>
      <c r="O47" s="43">
        <v>2300</v>
      </c>
      <c r="P47" s="43">
        <v>2400</v>
      </c>
      <c r="Q47" s="43">
        <v>2500</v>
      </c>
      <c r="R47" s="43">
        <v>2600</v>
      </c>
      <c r="S47" s="43">
        <v>2700</v>
      </c>
      <c r="T47" s="43">
        <v>2800</v>
      </c>
      <c r="U47" s="43">
        <v>2900</v>
      </c>
      <c r="V47" s="43">
        <v>3000</v>
      </c>
      <c r="W47" s="43">
        <v>3100</v>
      </c>
      <c r="X47" s="43">
        <v>3200</v>
      </c>
      <c r="Y47" s="43">
        <v>3300</v>
      </c>
    </row>
    <row r="48" spans="1:25" ht="15" customHeight="1" x14ac:dyDescent="0.25">
      <c r="A48" s="43">
        <v>750</v>
      </c>
      <c r="B48" s="44">
        <f>B5*(1-Paramètres!$B$2)</f>
        <v>1114.0450000000001</v>
      </c>
      <c r="C48" s="44">
        <f>C5*(1-Paramètres!$B$2)</f>
        <v>1135.8699999999999</v>
      </c>
      <c r="D48" s="44">
        <f>D5*(1-Paramètres!$B$2)</f>
        <v>1157.21</v>
      </c>
      <c r="E48" s="44">
        <f>E5*(1-Paramètres!$B$2)</f>
        <v>1180.0049999999999</v>
      </c>
      <c r="F48" s="44">
        <f>F5*(1-Paramètres!$B$2)</f>
        <v>1203.2849999999999</v>
      </c>
      <c r="G48" s="44">
        <f>G5*(1-Paramètres!$B$2)</f>
        <v>1225.595</v>
      </c>
      <c r="H48" s="44">
        <f>H5*(1-Paramètres!$B$2)</f>
        <v>1247.905</v>
      </c>
      <c r="I48" s="44">
        <f>I5*(1-Paramètres!$B$2)</f>
        <v>1270.2149999999999</v>
      </c>
      <c r="J48" s="44">
        <f>J5*(1-Paramètres!$B$2)</f>
        <v>1292.04</v>
      </c>
      <c r="K48" s="44">
        <f>K5*(1-Paramètres!$B$2)</f>
        <v>1314.835</v>
      </c>
      <c r="L48" s="44">
        <f>L5*(1-Paramètres!$B$2)</f>
        <v>1336.6599999999999</v>
      </c>
      <c r="M48" s="44">
        <f>M5*(1-Paramètres!$B$2)</f>
        <v>1358.97</v>
      </c>
      <c r="N48" s="44">
        <f>N5*(1-Paramètres!$B$2)</f>
        <v>1381.7649999999999</v>
      </c>
      <c r="O48" s="44">
        <f>O5*(1-Paramètres!$B$2)</f>
        <v>1403.59</v>
      </c>
      <c r="P48" s="44">
        <f>P5*(1-Paramètres!$B$2)</f>
        <v>1426.385</v>
      </c>
      <c r="Q48" s="44">
        <f>Q5*(1-Paramètres!$B$2)</f>
        <v>1447.7249999999999</v>
      </c>
      <c r="R48" s="44">
        <f>R5*(1-Paramètres!$B$2)</f>
        <v>1470.52</v>
      </c>
      <c r="S48" s="44">
        <f>S5*(1-Paramètres!$B$2)</f>
        <v>1492.83</v>
      </c>
      <c r="T48" s="44">
        <f>T5*(1-Paramètres!$B$2)</f>
        <v>1516.595</v>
      </c>
      <c r="U48" s="44">
        <f>U5*(1-Paramètres!$B$2)</f>
        <v>1536.9649999999999</v>
      </c>
      <c r="V48" s="44">
        <f>V5*(1-Paramètres!$B$2)</f>
        <v>1559.2749999999999</v>
      </c>
      <c r="W48" s="44">
        <f>W5*(1-Paramètres!$B$2)</f>
        <v>1581.1</v>
      </c>
      <c r="X48" s="44">
        <f>X5*(1-Paramètres!$B$2)</f>
        <v>1604.865</v>
      </c>
      <c r="Y48" s="44">
        <f>Y5*(1-Paramètres!$B$2)</f>
        <v>1628.145</v>
      </c>
    </row>
    <row r="49" spans="1:25" ht="15" customHeight="1" x14ac:dyDescent="0.25">
      <c r="A49" s="43">
        <v>850</v>
      </c>
      <c r="B49" s="44">
        <f>B6*(1-Paramètres!$B$2)</f>
        <v>1171.76</v>
      </c>
      <c r="C49" s="44">
        <f>C6*(1-Paramètres!$B$2)</f>
        <v>1195.04</v>
      </c>
      <c r="D49" s="44">
        <f>D6*(1-Paramètres!$B$2)</f>
        <v>1217.3499999999999</v>
      </c>
      <c r="E49" s="44">
        <f>E6*(1-Paramètres!$B$2)</f>
        <v>1240.145</v>
      </c>
      <c r="F49" s="44">
        <f>F6*(1-Paramètres!$B$2)</f>
        <v>1263.9099999999999</v>
      </c>
      <c r="G49" s="44">
        <f>G6*(1-Paramètres!$B$2)</f>
        <v>1286.22</v>
      </c>
      <c r="H49" s="44">
        <f>H6*(1-Paramètres!$B$2)</f>
        <v>1310.47</v>
      </c>
      <c r="I49" s="44">
        <f>I6*(1-Paramètres!$B$2)</f>
        <v>1334.72</v>
      </c>
      <c r="J49" s="44">
        <f>J6*(1-Paramètres!$B$2)</f>
        <v>1357.03</v>
      </c>
      <c r="K49" s="44">
        <f>K6*(1-Paramètres!$B$2)</f>
        <v>1379.825</v>
      </c>
      <c r="L49" s="44">
        <f>L6*(1-Paramètres!$B$2)</f>
        <v>1402.62</v>
      </c>
      <c r="M49" s="44">
        <f>M6*(1-Paramètres!$B$2)</f>
        <v>1425.8999999999999</v>
      </c>
      <c r="N49" s="44">
        <f>N6*(1-Paramètres!$B$2)</f>
        <v>1449.18</v>
      </c>
      <c r="O49" s="44">
        <f>O6*(1-Paramètres!$B$2)</f>
        <v>1471.9749999999999</v>
      </c>
      <c r="P49" s="44">
        <f>P6*(1-Paramètres!$B$2)</f>
        <v>1494.77</v>
      </c>
      <c r="Q49" s="44">
        <f>Q6*(1-Paramètres!$B$2)</f>
        <v>1518.05</v>
      </c>
      <c r="R49" s="44">
        <f>R6*(1-Paramètres!$B$2)</f>
        <v>1540.845</v>
      </c>
      <c r="S49" s="44">
        <f>S6*(1-Paramètres!$B$2)</f>
        <v>1563.6399999999999</v>
      </c>
      <c r="T49" s="44">
        <f>T6*(1-Paramètres!$B$2)</f>
        <v>1588.375</v>
      </c>
      <c r="U49" s="44">
        <f>U6*(1-Paramètres!$B$2)</f>
        <v>1611.1699999999998</v>
      </c>
      <c r="V49" s="44">
        <f>V6*(1-Paramètres!$B$2)</f>
        <v>1633.48</v>
      </c>
      <c r="W49" s="44">
        <f>W6*(1-Paramètres!$B$2)</f>
        <v>1657.2449999999999</v>
      </c>
      <c r="X49" s="44">
        <f>X6*(1-Paramètres!$B$2)</f>
        <v>1680.04</v>
      </c>
      <c r="Y49" s="44">
        <f>Y6*(1-Paramètres!$B$2)</f>
        <v>1701.865</v>
      </c>
    </row>
    <row r="50" spans="1:25" ht="15" customHeight="1" x14ac:dyDescent="0.25">
      <c r="A50" s="43">
        <v>950</v>
      </c>
      <c r="B50" s="44">
        <f>B7*(1-Paramètres!$B$2)</f>
        <v>1229.96</v>
      </c>
      <c r="C50" s="44">
        <f>C7*(1-Paramètres!$B$2)</f>
        <v>1254.21</v>
      </c>
      <c r="D50" s="44">
        <f>D7*(1-Paramètres!$B$2)</f>
        <v>1277.9749999999999</v>
      </c>
      <c r="E50" s="44">
        <f>E7*(1-Paramètres!$B$2)</f>
        <v>1301.74</v>
      </c>
      <c r="F50" s="44">
        <f>F7*(1-Paramètres!$B$2)</f>
        <v>1325.02</v>
      </c>
      <c r="G50" s="44">
        <f>G7*(1-Paramètres!$B$2)</f>
        <v>1348.3</v>
      </c>
      <c r="H50" s="44">
        <f>H7*(1-Paramètres!$B$2)</f>
        <v>1373.0349999999999</v>
      </c>
      <c r="I50" s="44">
        <f>I7*(1-Paramètres!$B$2)</f>
        <v>1396.8</v>
      </c>
      <c r="J50" s="44">
        <f>J7*(1-Paramètres!$B$2)</f>
        <v>1420.5650000000001</v>
      </c>
      <c r="K50" s="44">
        <f>K7*(1-Paramètres!$B$2)</f>
        <v>1444.33</v>
      </c>
      <c r="L50" s="44">
        <f>L7*(1-Paramètres!$B$2)</f>
        <v>1469.0650000000001</v>
      </c>
      <c r="M50" s="44">
        <f>M7*(1-Paramètres!$B$2)</f>
        <v>1492.345</v>
      </c>
      <c r="N50" s="44">
        <f>N7*(1-Paramètres!$B$2)</f>
        <v>1517.08</v>
      </c>
      <c r="O50" s="44">
        <f>O7*(1-Paramètres!$B$2)</f>
        <v>1539.3899999999999</v>
      </c>
      <c r="P50" s="44">
        <f>P7*(1-Paramètres!$B$2)</f>
        <v>1563.6399999999999</v>
      </c>
      <c r="Q50" s="44">
        <f>Q7*(1-Paramètres!$B$2)</f>
        <v>1588.375</v>
      </c>
      <c r="R50" s="44">
        <f>R7*(1-Paramètres!$B$2)</f>
        <v>1612.1399999999999</v>
      </c>
      <c r="S50" s="44">
        <f>S7*(1-Paramètres!$B$2)</f>
        <v>1634.9349999999999</v>
      </c>
      <c r="T50" s="44">
        <f>T7*(1-Paramètres!$B$2)</f>
        <v>1659.1849999999999</v>
      </c>
      <c r="U50" s="44">
        <f>U7*(1-Paramètres!$B$2)</f>
        <v>1682.95</v>
      </c>
      <c r="V50" s="44">
        <f>V7*(1-Paramètres!$B$2)</f>
        <v>1707.6849999999999</v>
      </c>
      <c r="W50" s="44">
        <f>W7*(1-Paramètres!$B$2)</f>
        <v>1730.48</v>
      </c>
      <c r="X50" s="44">
        <f>X7*(1-Paramètres!$B$2)</f>
        <v>1755.2149999999999</v>
      </c>
      <c r="Y50" s="44">
        <f>Y7*(1-Paramètres!$B$2)</f>
        <v>1779.4649999999999</v>
      </c>
    </row>
    <row r="51" spans="1:25" ht="15" customHeight="1" x14ac:dyDescent="0.25">
      <c r="A51" s="43">
        <v>1050</v>
      </c>
      <c r="B51" s="44">
        <f>B8*(1-Paramètres!$B$2)</f>
        <v>1287.675</v>
      </c>
      <c r="C51" s="44">
        <f>C8*(1-Paramètres!$B$2)</f>
        <v>1312.895</v>
      </c>
      <c r="D51" s="44">
        <f>D8*(1-Paramètres!$B$2)</f>
        <v>1337.6299999999999</v>
      </c>
      <c r="E51" s="44">
        <f>E8*(1-Paramètres!$B$2)</f>
        <v>1361.395</v>
      </c>
      <c r="F51" s="44">
        <f>F8*(1-Paramètres!$B$2)</f>
        <v>1386.1299999999999</v>
      </c>
      <c r="G51" s="44">
        <f>G8*(1-Paramètres!$B$2)</f>
        <v>1411.35</v>
      </c>
      <c r="H51" s="44">
        <f>H8*(1-Paramètres!$B$2)</f>
        <v>1435.6</v>
      </c>
      <c r="I51" s="44">
        <f>I8*(1-Paramètres!$B$2)</f>
        <v>1460.335</v>
      </c>
      <c r="J51" s="44">
        <f>J8*(1-Paramètres!$B$2)</f>
        <v>1484.585</v>
      </c>
      <c r="K51" s="44">
        <f>K8*(1-Paramètres!$B$2)</f>
        <v>1510.29</v>
      </c>
      <c r="L51" s="44">
        <f>L8*(1-Paramètres!$B$2)</f>
        <v>1534.0550000000001</v>
      </c>
      <c r="M51" s="44">
        <f>M8*(1-Paramètres!$B$2)</f>
        <v>1558.3050000000001</v>
      </c>
      <c r="N51" s="44">
        <f>N8*(1-Paramètres!$B$2)</f>
        <v>1584.01</v>
      </c>
      <c r="O51" s="44">
        <f>O8*(1-Paramètres!$B$2)</f>
        <v>1607.7749999999999</v>
      </c>
      <c r="P51" s="44">
        <f>P8*(1-Paramètres!$B$2)</f>
        <v>1632.9949999999999</v>
      </c>
      <c r="Q51" s="44">
        <f>Q8*(1-Paramètres!$B$2)</f>
        <v>1657.73</v>
      </c>
      <c r="R51" s="44">
        <f>R8*(1-Paramètres!$B$2)</f>
        <v>1681.4949999999999</v>
      </c>
      <c r="S51" s="44">
        <f>S8*(1-Paramètres!$B$2)</f>
        <v>1706.23</v>
      </c>
      <c r="T51" s="44">
        <f>T8*(1-Paramètres!$B$2)</f>
        <v>1731.45</v>
      </c>
      <c r="U51" s="44">
        <f>U8*(1-Paramètres!$B$2)</f>
        <v>1756.1849999999999</v>
      </c>
      <c r="V51" s="44">
        <f>V8*(1-Paramètres!$B$2)</f>
        <v>1780.4349999999999</v>
      </c>
      <c r="W51" s="44">
        <f>W8*(1-Paramètres!$B$2)</f>
        <v>1805.1699999999998</v>
      </c>
      <c r="X51" s="44">
        <f>X8*(1-Paramètres!$B$2)</f>
        <v>1830.3899999999999</v>
      </c>
      <c r="Y51" s="44">
        <f>Y8*(1-Paramètres!$B$2)</f>
        <v>1855.125</v>
      </c>
    </row>
    <row r="52" spans="1:25" ht="15" customHeight="1" x14ac:dyDescent="0.25">
      <c r="A52" s="43">
        <v>1150</v>
      </c>
      <c r="B52" s="44">
        <f>B9*(1-Paramètres!$B$2)</f>
        <v>1345.3899999999999</v>
      </c>
      <c r="C52" s="44">
        <f>C9*(1-Paramètres!$B$2)</f>
        <v>1370.125</v>
      </c>
      <c r="D52" s="44">
        <f>D9*(1-Paramètres!$B$2)</f>
        <v>1396.8</v>
      </c>
      <c r="E52" s="44">
        <f>E9*(1-Paramètres!$B$2)</f>
        <v>1422.02</v>
      </c>
      <c r="F52" s="44">
        <f>F9*(1-Paramètres!$B$2)</f>
        <v>1447.24</v>
      </c>
      <c r="G52" s="44">
        <f>G9*(1-Paramètres!$B$2)</f>
        <v>1472.46</v>
      </c>
      <c r="H52" s="44">
        <f>H9*(1-Paramètres!$B$2)</f>
        <v>1497.1949999999999</v>
      </c>
      <c r="I52" s="44">
        <f>I9*(1-Paramètres!$B$2)</f>
        <v>1523.385</v>
      </c>
      <c r="J52" s="44">
        <f>J9*(1-Paramètres!$B$2)</f>
        <v>1549.575</v>
      </c>
      <c r="K52" s="44">
        <f>K9*(1-Paramètres!$B$2)</f>
        <v>1574.31</v>
      </c>
      <c r="L52" s="44">
        <f>L9*(1-Paramètres!$B$2)</f>
        <v>1599.53</v>
      </c>
      <c r="M52" s="44">
        <f>M9*(1-Paramètres!$B$2)</f>
        <v>1625.2349999999999</v>
      </c>
      <c r="N52" s="44">
        <f>N9*(1-Paramètres!$B$2)</f>
        <v>1651.425</v>
      </c>
      <c r="O52" s="44">
        <f>O9*(1-Paramètres!$B$2)</f>
        <v>1675.19</v>
      </c>
      <c r="P52" s="44">
        <f>P9*(1-Paramètres!$B$2)</f>
        <v>1700.895</v>
      </c>
      <c r="Q52" s="44">
        <f>Q9*(1-Paramètres!$B$2)</f>
        <v>1725.6299999999999</v>
      </c>
      <c r="R52" s="44">
        <f>R9*(1-Paramètres!$B$2)</f>
        <v>1751.82</v>
      </c>
      <c r="S52" s="44">
        <f>S9*(1-Paramètres!$B$2)</f>
        <v>1777.5249999999999</v>
      </c>
      <c r="T52" s="44">
        <f>T9*(1-Paramètres!$B$2)</f>
        <v>1802.7449999999999</v>
      </c>
      <c r="U52" s="44">
        <f>U9*(1-Paramètres!$B$2)</f>
        <v>1828.45</v>
      </c>
      <c r="V52" s="44">
        <f>V9*(1-Paramètres!$B$2)</f>
        <v>1855.125</v>
      </c>
      <c r="W52" s="44">
        <f>W9*(1-Paramètres!$B$2)</f>
        <v>1880.345</v>
      </c>
      <c r="X52" s="44">
        <f>X9*(1-Paramètres!$B$2)</f>
        <v>1904.11</v>
      </c>
      <c r="Y52" s="44">
        <f>Y9*(1-Paramètres!$B$2)</f>
        <v>1928.36</v>
      </c>
    </row>
    <row r="53" spans="1:25" ht="15" customHeight="1" x14ac:dyDescent="0.25">
      <c r="A53" s="43">
        <v>1250</v>
      </c>
      <c r="B53" s="44">
        <f>B10*(1-Paramètres!$B$2)</f>
        <v>1403.59</v>
      </c>
      <c r="C53" s="44">
        <f>C10*(1-Paramètres!$B$2)</f>
        <v>1430.2649999999999</v>
      </c>
      <c r="D53" s="44">
        <f>D10*(1-Paramètres!$B$2)</f>
        <v>1456.4549999999999</v>
      </c>
      <c r="E53" s="44">
        <f>E10*(1-Paramètres!$B$2)</f>
        <v>1482.645</v>
      </c>
      <c r="F53" s="44">
        <f>F10*(1-Paramètres!$B$2)</f>
        <v>1508.835</v>
      </c>
      <c r="G53" s="44">
        <f>G10*(1-Paramètres!$B$2)</f>
        <v>1534.54</v>
      </c>
      <c r="H53" s="44">
        <f>H10*(1-Paramètres!$B$2)</f>
        <v>1560.2449999999999</v>
      </c>
      <c r="I53" s="44">
        <f>I10*(1-Paramètres!$B$2)</f>
        <v>1587.8899999999999</v>
      </c>
      <c r="J53" s="44">
        <f>J10*(1-Paramètres!$B$2)</f>
        <v>1613.11</v>
      </c>
      <c r="K53" s="44">
        <f>K10*(1-Paramètres!$B$2)</f>
        <v>1639.3</v>
      </c>
      <c r="L53" s="44">
        <f>L10*(1-Paramètres!$B$2)</f>
        <v>1666.46</v>
      </c>
      <c r="M53" s="44">
        <f>M10*(1-Paramètres!$B$2)</f>
        <v>1692.165</v>
      </c>
      <c r="N53" s="44">
        <f>N10*(1-Paramètres!$B$2)</f>
        <v>1719.325</v>
      </c>
      <c r="O53" s="44">
        <f>O10*(1-Paramètres!$B$2)</f>
        <v>1744.5449999999998</v>
      </c>
      <c r="P53" s="44">
        <f>P10*(1-Paramètres!$B$2)</f>
        <v>1771.22</v>
      </c>
      <c r="Q53" s="44">
        <f>Q10*(1-Paramètres!$B$2)</f>
        <v>1796.925</v>
      </c>
      <c r="R53" s="44">
        <f>R10*(1-Paramètres!$B$2)</f>
        <v>1823.115</v>
      </c>
      <c r="S53" s="44">
        <f>S10*(1-Paramètres!$B$2)</f>
        <v>1849.79</v>
      </c>
      <c r="T53" s="44">
        <f>T10*(1-Paramètres!$B$2)</f>
        <v>1875.4949999999999</v>
      </c>
      <c r="U53" s="44">
        <f>U10*(1-Paramètres!$B$2)</f>
        <v>1901.6849999999999</v>
      </c>
      <c r="V53" s="44">
        <f>V10*(1-Paramètres!$B$2)</f>
        <v>1927.3899999999999</v>
      </c>
      <c r="W53" s="44">
        <f>W10*(1-Paramètres!$B$2)</f>
        <v>1954.0650000000001</v>
      </c>
      <c r="X53" s="44">
        <f>X10*(1-Paramètres!$B$2)</f>
        <v>1980.74</v>
      </c>
      <c r="Y53" s="44">
        <f>Y10*(1-Paramètres!$B$2)</f>
        <v>2007.415</v>
      </c>
    </row>
    <row r="54" spans="1:25" ht="15" customHeight="1" x14ac:dyDescent="0.25">
      <c r="A54" s="43">
        <v>1350</v>
      </c>
      <c r="B54" s="44">
        <f>B11*(1-Paramètres!$B$2)</f>
        <v>1462.2749999999999</v>
      </c>
      <c r="C54" s="44">
        <f>C11*(1-Paramètres!$B$2)</f>
        <v>1489.92</v>
      </c>
      <c r="D54" s="44">
        <f>D11*(1-Paramètres!$B$2)</f>
        <v>1516.595</v>
      </c>
      <c r="E54" s="44">
        <f>E11*(1-Paramètres!$B$2)</f>
        <v>1542.7849999999999</v>
      </c>
      <c r="F54" s="44">
        <f>F11*(1-Paramètres!$B$2)</f>
        <v>1570.43</v>
      </c>
      <c r="G54" s="44">
        <f>G11*(1-Paramètres!$B$2)</f>
        <v>1597.105</v>
      </c>
      <c r="H54" s="44">
        <f>H11*(1-Paramètres!$B$2)</f>
        <v>1623.2949999999998</v>
      </c>
      <c r="I54" s="44">
        <f>I11*(1-Paramètres!$B$2)</f>
        <v>1650.4549999999999</v>
      </c>
      <c r="J54" s="44">
        <f>J11*(1-Paramètres!$B$2)</f>
        <v>1679.07</v>
      </c>
      <c r="K54" s="44">
        <f>K11*(1-Paramètres!$B$2)</f>
        <v>1704.7749999999999</v>
      </c>
      <c r="L54" s="44">
        <f>L11*(1-Paramètres!$B$2)</f>
        <v>1731.45</v>
      </c>
      <c r="M54" s="44">
        <f>M11*(1-Paramètres!$B$2)</f>
        <v>1759.095</v>
      </c>
      <c r="N54" s="44">
        <f>N11*(1-Paramètres!$B$2)</f>
        <v>1785.2849999999999</v>
      </c>
      <c r="O54" s="44">
        <f>O11*(1-Paramètres!$B$2)</f>
        <v>1812.93</v>
      </c>
      <c r="P54" s="44">
        <f>P11*(1-Paramètres!$B$2)</f>
        <v>1839.605</v>
      </c>
      <c r="Q54" s="44">
        <f>Q11*(1-Paramètres!$B$2)</f>
        <v>1864.34</v>
      </c>
      <c r="R54" s="44">
        <f>R11*(1-Paramètres!$B$2)</f>
        <v>1893.925</v>
      </c>
      <c r="S54" s="44">
        <f>S11*(1-Paramètres!$B$2)</f>
        <v>1921.085</v>
      </c>
      <c r="T54" s="44">
        <f>T11*(1-Paramètres!$B$2)</f>
        <v>1946.3049999999998</v>
      </c>
      <c r="U54" s="44">
        <f>U11*(1-Paramètres!$B$2)</f>
        <v>1973.4649999999999</v>
      </c>
      <c r="V54" s="44">
        <f>V11*(1-Paramètres!$B$2)</f>
        <v>2000.625</v>
      </c>
      <c r="W54" s="44">
        <f>W11*(1-Paramètres!$B$2)</f>
        <v>2027.3</v>
      </c>
      <c r="X54" s="44">
        <f>X11*(1-Paramètres!$B$2)</f>
        <v>2053.9749999999999</v>
      </c>
      <c r="Y54" s="44">
        <f>Y11*(1-Paramètres!$B$2)</f>
        <v>2080.165</v>
      </c>
    </row>
    <row r="55" spans="1:25" ht="15" customHeight="1" x14ac:dyDescent="0.25">
      <c r="A55" s="43">
        <v>1450</v>
      </c>
      <c r="B55" s="44">
        <f>B12*(1-Paramètres!$B$2)</f>
        <v>1519.99</v>
      </c>
      <c r="C55" s="44">
        <f>C12*(1-Paramètres!$B$2)</f>
        <v>1548.12</v>
      </c>
      <c r="D55" s="44">
        <f>D12*(1-Paramètres!$B$2)</f>
        <v>1575.28</v>
      </c>
      <c r="E55" s="44">
        <f>E12*(1-Paramètres!$B$2)</f>
        <v>1603.4099999999999</v>
      </c>
      <c r="F55" s="44">
        <f>F12*(1-Paramètres!$B$2)</f>
        <v>1631.0550000000001</v>
      </c>
      <c r="G55" s="44">
        <f>G12*(1-Paramètres!$B$2)</f>
        <v>1659.1849999999999</v>
      </c>
      <c r="H55" s="44">
        <f>H12*(1-Paramètres!$B$2)</f>
        <v>1685.375</v>
      </c>
      <c r="I55" s="44">
        <f>I12*(1-Paramètres!$B$2)</f>
        <v>1713.5049999999999</v>
      </c>
      <c r="J55" s="44">
        <f>J12*(1-Paramètres!$B$2)</f>
        <v>1742.12</v>
      </c>
      <c r="K55" s="44">
        <f>K12*(1-Paramètres!$B$2)</f>
        <v>1769.7649999999999</v>
      </c>
      <c r="L55" s="44">
        <f>L12*(1-Paramètres!$B$2)</f>
        <v>1797.4099999999999</v>
      </c>
      <c r="M55" s="44">
        <f>M12*(1-Paramètres!$B$2)</f>
        <v>1824.57</v>
      </c>
      <c r="N55" s="44">
        <f>N12*(1-Paramètres!$B$2)</f>
        <v>1853.1849999999999</v>
      </c>
      <c r="O55" s="44">
        <f>O12*(1-Paramètres!$B$2)</f>
        <v>1880.83</v>
      </c>
      <c r="P55" s="44">
        <f>P12*(1-Paramètres!$B$2)</f>
        <v>1907.5049999999999</v>
      </c>
      <c r="Q55" s="44">
        <f>Q12*(1-Paramètres!$B$2)</f>
        <v>1936.12</v>
      </c>
      <c r="R55" s="44">
        <f>R12*(1-Paramètres!$B$2)</f>
        <v>1963.28</v>
      </c>
      <c r="S55" s="44">
        <f>S12*(1-Paramètres!$B$2)</f>
        <v>1990.925</v>
      </c>
      <c r="T55" s="44">
        <f>T12*(1-Paramètres!$B$2)</f>
        <v>2019.0549999999998</v>
      </c>
      <c r="U55" s="44">
        <f>U12*(1-Paramètres!$B$2)</f>
        <v>2046.2149999999999</v>
      </c>
      <c r="V55" s="44">
        <f>V12*(1-Paramètres!$B$2)</f>
        <v>2073.86</v>
      </c>
      <c r="W55" s="44">
        <f>W12*(1-Paramètres!$B$2)</f>
        <v>2102.4749999999999</v>
      </c>
      <c r="X55" s="44">
        <f>X12*(1-Paramètres!$B$2)</f>
        <v>2129.15</v>
      </c>
      <c r="Y55" s="44">
        <f>Y12*(1-Paramètres!$B$2)</f>
        <v>2157.2799999999997</v>
      </c>
    </row>
    <row r="56" spans="1:25" ht="15" customHeight="1" x14ac:dyDescent="0.25">
      <c r="A56" s="43">
        <v>1550</v>
      </c>
      <c r="B56" s="44">
        <f>B13*(1-Paramètres!$B$2)</f>
        <v>1578.19</v>
      </c>
      <c r="C56" s="44">
        <f>C13*(1-Paramètres!$B$2)</f>
        <v>1606.32</v>
      </c>
      <c r="D56" s="44">
        <f>D13*(1-Paramètres!$B$2)</f>
        <v>1634.9349999999999</v>
      </c>
      <c r="E56" s="44">
        <f>E13*(1-Paramètres!$B$2)</f>
        <v>1663.0650000000001</v>
      </c>
      <c r="F56" s="44">
        <f>F13*(1-Paramètres!$B$2)</f>
        <v>1692.165</v>
      </c>
      <c r="G56" s="44">
        <f>G13*(1-Paramètres!$B$2)</f>
        <v>1721.2649999999999</v>
      </c>
      <c r="H56" s="44">
        <f>H13*(1-Paramètres!$B$2)</f>
        <v>1749.395</v>
      </c>
      <c r="I56" s="44">
        <f>I13*(1-Paramètres!$B$2)</f>
        <v>1777.5249999999999</v>
      </c>
      <c r="J56" s="44">
        <f>J13*(1-Paramètres!$B$2)</f>
        <v>1805.655</v>
      </c>
      <c r="K56" s="44">
        <f>K13*(1-Paramètres!$B$2)</f>
        <v>1834.7549999999999</v>
      </c>
      <c r="L56" s="44">
        <f>L13*(1-Paramètres!$B$2)</f>
        <v>1861.915</v>
      </c>
      <c r="M56" s="44">
        <f>M13*(1-Paramètres!$B$2)</f>
        <v>1891.0149999999999</v>
      </c>
      <c r="N56" s="44">
        <f>N13*(1-Paramètres!$B$2)</f>
        <v>1921.085</v>
      </c>
      <c r="O56" s="44">
        <f>O13*(1-Paramètres!$B$2)</f>
        <v>1947.76</v>
      </c>
      <c r="P56" s="44">
        <f>P13*(1-Paramètres!$B$2)</f>
        <v>1977.345</v>
      </c>
      <c r="Q56" s="44">
        <f>Q13*(1-Paramètres!$B$2)</f>
        <v>2005.96</v>
      </c>
      <c r="R56" s="44">
        <f>R13*(1-Paramètres!$B$2)</f>
        <v>2034.09</v>
      </c>
      <c r="S56" s="44">
        <f>S13*(1-Paramètres!$B$2)</f>
        <v>2063.6749999999997</v>
      </c>
      <c r="T56" s="44">
        <f>T13*(1-Paramètres!$B$2)</f>
        <v>2090.35</v>
      </c>
      <c r="U56" s="44">
        <f>U13*(1-Paramètres!$B$2)</f>
        <v>2119.4499999999998</v>
      </c>
      <c r="V56" s="44">
        <f>V13*(1-Paramètres!$B$2)</f>
        <v>2147.58</v>
      </c>
      <c r="W56" s="44">
        <f>W13*(1-Paramètres!$B$2)</f>
        <v>2176.6799999999998</v>
      </c>
      <c r="X56" s="44">
        <f>X13*(1-Paramètres!$B$2)</f>
        <v>2204.3249999999998</v>
      </c>
      <c r="Y56" s="44">
        <f>Y13*(1-Paramètres!$B$2)</f>
        <v>2231.9699999999998</v>
      </c>
    </row>
    <row r="57" spans="1:25" ht="15" customHeight="1" x14ac:dyDescent="0.25">
      <c r="A57" s="43">
        <v>1650</v>
      </c>
      <c r="B57" s="44">
        <f>B14*(1-Paramètres!$B$2)</f>
        <v>1636.875</v>
      </c>
      <c r="C57" s="44">
        <f>C14*(1-Paramètres!$B$2)</f>
        <v>1665.9749999999999</v>
      </c>
      <c r="D57" s="44">
        <f>D14*(1-Paramètres!$B$2)</f>
        <v>1695.075</v>
      </c>
      <c r="E57" s="44">
        <f>E14*(1-Paramètres!$B$2)</f>
        <v>1723.69</v>
      </c>
      <c r="F57" s="44">
        <f>F14*(1-Paramètres!$B$2)</f>
        <v>1753.76</v>
      </c>
      <c r="G57" s="44">
        <f>G14*(1-Paramètres!$B$2)</f>
        <v>1782.375</v>
      </c>
      <c r="H57" s="44">
        <f>H14*(1-Paramètres!$B$2)</f>
        <v>1811.96</v>
      </c>
      <c r="I57" s="44">
        <f>I14*(1-Paramètres!$B$2)</f>
        <v>1840.575</v>
      </c>
      <c r="J57" s="44">
        <f>J14*(1-Paramètres!$B$2)</f>
        <v>1871.1299999999999</v>
      </c>
      <c r="K57" s="44">
        <f>K14*(1-Paramètres!$B$2)</f>
        <v>1900.23</v>
      </c>
      <c r="L57" s="44">
        <f>L14*(1-Paramètres!$B$2)</f>
        <v>1928.36</v>
      </c>
      <c r="M57" s="44">
        <f>M14*(1-Paramètres!$B$2)</f>
        <v>1958.4299999999998</v>
      </c>
      <c r="N57" s="44">
        <f>N14*(1-Paramètres!$B$2)</f>
        <v>1987.53</v>
      </c>
      <c r="O57" s="44">
        <f>O14*(1-Paramètres!$B$2)</f>
        <v>2016.145</v>
      </c>
      <c r="P57" s="44">
        <f>P14*(1-Paramètres!$B$2)</f>
        <v>2045.73</v>
      </c>
      <c r="Q57" s="44">
        <f>Q14*(1-Paramètres!$B$2)</f>
        <v>2074.3449999999998</v>
      </c>
      <c r="R57" s="44">
        <f>R14*(1-Paramètres!$B$2)</f>
        <v>2104.415</v>
      </c>
      <c r="S57" s="44">
        <f>S14*(1-Paramètres!$B$2)</f>
        <v>2133.0299999999997</v>
      </c>
      <c r="T57" s="44">
        <f>T14*(1-Paramètres!$B$2)</f>
        <v>2162.13</v>
      </c>
      <c r="U57" s="44">
        <f>U14*(1-Paramètres!$B$2)</f>
        <v>2193.17</v>
      </c>
      <c r="V57" s="44">
        <f>V14*(1-Paramètres!$B$2)</f>
        <v>2221.7849999999999</v>
      </c>
      <c r="W57" s="44">
        <f>W14*(1-Paramètres!$B$2)</f>
        <v>2250.4</v>
      </c>
      <c r="X57" s="44">
        <f>X14*(1-Paramètres!$B$2)</f>
        <v>2279.5</v>
      </c>
      <c r="Y57" s="44">
        <f>Y14*(1-Paramètres!$B$2)</f>
        <v>2310.0549999999998</v>
      </c>
    </row>
    <row r="58" spans="1:25" ht="15" customHeight="1" x14ac:dyDescent="0.25">
      <c r="A58" s="43">
        <v>1750</v>
      </c>
      <c r="B58" s="44">
        <f>B15*(1-Paramètres!$B$2)</f>
        <v>1694.59</v>
      </c>
      <c r="C58" s="44">
        <f>C15*(1-Paramètres!$B$2)</f>
        <v>1723.69</v>
      </c>
      <c r="D58" s="44">
        <f>D15*(1-Paramètres!$B$2)</f>
        <v>1754.73</v>
      </c>
      <c r="E58" s="44">
        <f>E15*(1-Paramètres!$B$2)</f>
        <v>1783.83</v>
      </c>
      <c r="F58" s="44">
        <f>F15*(1-Paramètres!$B$2)</f>
        <v>1814.385</v>
      </c>
      <c r="G58" s="44">
        <f>G15*(1-Paramètres!$B$2)</f>
        <v>1844.4549999999999</v>
      </c>
      <c r="H58" s="44">
        <f>H15*(1-Paramètres!$B$2)</f>
        <v>1875.01</v>
      </c>
      <c r="I58" s="44">
        <f>I15*(1-Paramètres!$B$2)</f>
        <v>1904.11</v>
      </c>
      <c r="J58" s="44">
        <f>J15*(1-Paramètres!$B$2)</f>
        <v>1934.665</v>
      </c>
      <c r="K58" s="44">
        <f>K15*(1-Paramètres!$B$2)</f>
        <v>1964.25</v>
      </c>
      <c r="L58" s="44">
        <f>L15*(1-Paramètres!$B$2)</f>
        <v>1994.8049999999998</v>
      </c>
      <c r="M58" s="44">
        <f>M15*(1-Paramètres!$B$2)</f>
        <v>2024.3899999999999</v>
      </c>
      <c r="N58" s="44">
        <f>N15*(1-Paramètres!$B$2)</f>
        <v>2053.9749999999999</v>
      </c>
      <c r="O58" s="44">
        <f>O15*(1-Paramètres!$B$2)</f>
        <v>2085.5</v>
      </c>
      <c r="P58" s="44">
        <f>P15*(1-Paramètres!$B$2)</f>
        <v>2115.085</v>
      </c>
      <c r="Q58" s="44">
        <f>Q15*(1-Paramètres!$B$2)</f>
        <v>2145.1549999999997</v>
      </c>
      <c r="R58" s="44">
        <f>R15*(1-Paramètres!$B$2)</f>
        <v>2174.7399999999998</v>
      </c>
      <c r="S58" s="44">
        <f>S15*(1-Paramètres!$B$2)</f>
        <v>2204.3249999999998</v>
      </c>
      <c r="T58" s="44">
        <f>T15*(1-Paramètres!$B$2)</f>
        <v>2234.88</v>
      </c>
      <c r="U58" s="44">
        <f>U15*(1-Paramètres!$B$2)</f>
        <v>2263.98</v>
      </c>
      <c r="V58" s="44">
        <f>V15*(1-Paramètres!$B$2)</f>
        <v>2294.5349999999999</v>
      </c>
      <c r="W58" s="44">
        <f>W15*(1-Paramètres!$B$2)</f>
        <v>2325.09</v>
      </c>
      <c r="X58" s="44">
        <f>X15*(1-Paramètres!$B$2)</f>
        <v>2355.16</v>
      </c>
      <c r="Y58" s="44">
        <f>Y15*(1-Paramètres!$B$2)</f>
        <v>2385.7150000000001</v>
      </c>
    </row>
    <row r="59" spans="1:25" ht="15" customHeight="1" x14ac:dyDescent="0.25">
      <c r="A59" s="43">
        <v>1850</v>
      </c>
      <c r="B59" s="44">
        <f>B16*(1-Paramètres!$B$2)</f>
        <v>1751.82</v>
      </c>
      <c r="C59" s="44">
        <f>C16*(1-Paramètres!$B$2)</f>
        <v>1782.86</v>
      </c>
      <c r="D59" s="44">
        <f>D16*(1-Paramètres!$B$2)</f>
        <v>1814.385</v>
      </c>
      <c r="E59" s="44">
        <f>E16*(1-Paramètres!$B$2)</f>
        <v>1844.94</v>
      </c>
      <c r="F59" s="44">
        <f>F16*(1-Paramètres!$B$2)</f>
        <v>1876.4649999999999</v>
      </c>
      <c r="G59" s="44">
        <f>G16*(1-Paramètres!$B$2)</f>
        <v>1906.5349999999999</v>
      </c>
      <c r="H59" s="44">
        <f>H16*(1-Paramètres!$B$2)</f>
        <v>1937.575</v>
      </c>
      <c r="I59" s="44">
        <f>I16*(1-Paramètres!$B$2)</f>
        <v>1967.1599999999999</v>
      </c>
      <c r="J59" s="44">
        <f>J16*(1-Paramètres!$B$2)</f>
        <v>1998.6849999999999</v>
      </c>
      <c r="K59" s="44">
        <f>K16*(1-Paramètres!$B$2)</f>
        <v>2028.7549999999999</v>
      </c>
      <c r="L59" s="44">
        <f>L16*(1-Paramètres!$B$2)</f>
        <v>2061.7350000000001</v>
      </c>
      <c r="M59" s="44">
        <f>M16*(1-Paramètres!$B$2)</f>
        <v>2091.3200000000002</v>
      </c>
      <c r="N59" s="44">
        <f>N16*(1-Paramètres!$B$2)</f>
        <v>2122.36</v>
      </c>
      <c r="O59" s="44">
        <f>O16*(1-Paramètres!$B$2)</f>
        <v>2152.4299999999998</v>
      </c>
      <c r="P59" s="44">
        <f>P16*(1-Paramètres!$B$2)</f>
        <v>2183.4699999999998</v>
      </c>
      <c r="Q59" s="44">
        <f>Q16*(1-Paramètres!$B$2)</f>
        <v>2214.0250000000001</v>
      </c>
      <c r="R59" s="44">
        <f>R16*(1-Paramètres!$B$2)</f>
        <v>2245.5499999999997</v>
      </c>
      <c r="S59" s="44">
        <f>S16*(1-Paramètres!$B$2)</f>
        <v>2276.59</v>
      </c>
      <c r="T59" s="44">
        <f>T16*(1-Paramètres!$B$2)</f>
        <v>2306.1749999999997</v>
      </c>
      <c r="U59" s="44">
        <f>U16*(1-Paramètres!$B$2)</f>
        <v>2338.67</v>
      </c>
      <c r="V59" s="44">
        <f>V16*(1-Paramètres!$B$2)</f>
        <v>2367.77</v>
      </c>
      <c r="W59" s="44">
        <f>W16*(1-Paramètres!$B$2)</f>
        <v>2398.81</v>
      </c>
      <c r="X59" s="44">
        <f>X16*(1-Paramètres!$B$2)</f>
        <v>2651.0099999999998</v>
      </c>
      <c r="Y59" s="44">
        <f>Y16*(1-Paramètres!$B$2)</f>
        <v>2903.21</v>
      </c>
    </row>
    <row r="60" spans="1:25" ht="15" customHeight="1" x14ac:dyDescent="0.25">
      <c r="A60" s="43">
        <v>1950</v>
      </c>
      <c r="B60" s="44">
        <f>B17*(1-Paramètres!$B$2)</f>
        <v>1810.02</v>
      </c>
      <c r="C60" s="44">
        <f>C17*(1-Paramètres!$B$2)</f>
        <v>1841.06</v>
      </c>
      <c r="D60" s="44">
        <f>D17*(1-Paramètres!$B$2)</f>
        <v>1874.5249999999999</v>
      </c>
      <c r="E60" s="44">
        <f>E17*(1-Paramètres!$B$2)</f>
        <v>1905.08</v>
      </c>
      <c r="F60" s="44">
        <f>F17*(1-Paramètres!$B$2)</f>
        <v>1936.605</v>
      </c>
      <c r="G60" s="44">
        <f>G17*(1-Paramètres!$B$2)</f>
        <v>1968.1299999999999</v>
      </c>
      <c r="H60" s="44">
        <f>H17*(1-Paramètres!$B$2)</f>
        <v>1999.655</v>
      </c>
      <c r="I60" s="44">
        <f>I17*(1-Paramètres!$B$2)</f>
        <v>2032.1499999999999</v>
      </c>
      <c r="J60" s="44">
        <f>J17*(1-Paramètres!$B$2)</f>
        <v>2063.6749999999997</v>
      </c>
      <c r="K60" s="44">
        <f>K17*(1-Paramètres!$B$2)</f>
        <v>2094.7150000000001</v>
      </c>
      <c r="L60" s="44">
        <f>L17*(1-Paramètres!$B$2)</f>
        <v>2126.2399999999998</v>
      </c>
      <c r="M60" s="44">
        <f>M17*(1-Paramètres!$B$2)</f>
        <v>2157.2799999999997</v>
      </c>
      <c r="N60" s="44">
        <f>N17*(1-Paramètres!$B$2)</f>
        <v>2188.8049999999998</v>
      </c>
      <c r="O60" s="44">
        <f>O17*(1-Paramètres!$B$2)</f>
        <v>2221.2999999999997</v>
      </c>
      <c r="P60" s="44">
        <f>P17*(1-Paramètres!$B$2)</f>
        <v>2252.8249999999998</v>
      </c>
      <c r="Q60" s="44">
        <f>Q17*(1-Paramètres!$B$2)</f>
        <v>2284.35</v>
      </c>
      <c r="R60" s="44">
        <f>R17*(1-Paramètres!$B$2)</f>
        <v>2315.39</v>
      </c>
      <c r="S60" s="44">
        <f>S17*(1-Paramètres!$B$2)</f>
        <v>2346.4299999999998</v>
      </c>
      <c r="T60" s="44">
        <f>T17*(1-Paramètres!$B$2)</f>
        <v>2377.9549999999999</v>
      </c>
      <c r="U60" s="44">
        <f>U17*(1-Paramètres!$B$2)</f>
        <v>2410.4499999999998</v>
      </c>
      <c r="V60" s="44">
        <f>V17*(1-Paramètres!$B$2)</f>
        <v>2659.74</v>
      </c>
      <c r="W60" s="44">
        <f>W17*(1-Paramètres!$B$2)</f>
        <v>2698.0549999999998</v>
      </c>
      <c r="X60" s="44">
        <f>X17*(1-Paramètres!$B$2)</f>
        <v>2737.8249999999998</v>
      </c>
      <c r="Y60" s="44">
        <f>Y17*(1-Paramètres!$B$2)</f>
        <v>2776.625</v>
      </c>
    </row>
    <row r="61" spans="1:25" ht="15" customHeight="1" x14ac:dyDescent="0.25">
      <c r="A61" s="43">
        <v>2050</v>
      </c>
      <c r="B61" s="44">
        <f>B18*(1-Paramètres!$B$2)</f>
        <v>1868.7049999999999</v>
      </c>
      <c r="C61" s="44">
        <f>C18*(1-Paramètres!$B$2)</f>
        <v>1901.6849999999999</v>
      </c>
      <c r="D61" s="44">
        <f>D18*(1-Paramètres!$B$2)</f>
        <v>1933.6949999999999</v>
      </c>
      <c r="E61" s="44">
        <f>E18*(1-Paramètres!$B$2)</f>
        <v>1965.22</v>
      </c>
      <c r="F61" s="44">
        <f>F18*(1-Paramètres!$B$2)</f>
        <v>1997.23</v>
      </c>
      <c r="G61" s="44">
        <f>G18*(1-Paramètres!$B$2)</f>
        <v>2029.24</v>
      </c>
      <c r="H61" s="44">
        <f>H18*(1-Paramètres!$B$2)</f>
        <v>2063.6749999999997</v>
      </c>
      <c r="I61" s="44">
        <f>I18*(1-Paramètres!$B$2)</f>
        <v>2094.7150000000001</v>
      </c>
      <c r="J61" s="44">
        <f>J18*(1-Paramètres!$B$2)</f>
        <v>2127.21</v>
      </c>
      <c r="K61" s="44">
        <f>K18*(1-Paramètres!$B$2)</f>
        <v>2158.7350000000001</v>
      </c>
      <c r="L61" s="44">
        <f>L18*(1-Paramètres!$B$2)</f>
        <v>2193.17</v>
      </c>
      <c r="M61" s="44">
        <f>M18*(1-Paramètres!$B$2)</f>
        <v>2224.21</v>
      </c>
      <c r="N61" s="44">
        <f>N18*(1-Paramètres!$B$2)</f>
        <v>2256.7049999999999</v>
      </c>
      <c r="O61" s="44">
        <f>O18*(1-Paramètres!$B$2)</f>
        <v>2288.23</v>
      </c>
      <c r="P61" s="44">
        <f>P18*(1-Paramètres!$B$2)</f>
        <v>2321.6949999999997</v>
      </c>
      <c r="Q61" s="44">
        <f>Q18*(1-Paramètres!$B$2)</f>
        <v>2354.19</v>
      </c>
      <c r="R61" s="44">
        <f>R18*(1-Paramètres!$B$2)</f>
        <v>2386.1999999999998</v>
      </c>
      <c r="S61" s="44">
        <f>S18*(1-Paramètres!$B$2)</f>
        <v>2417.7249999999999</v>
      </c>
      <c r="T61" s="44">
        <f>T18*(1-Paramètres!$B$2)</f>
        <v>2449.7350000000001</v>
      </c>
      <c r="U61" s="44">
        <f>U18*(1-Paramètres!$B$2)</f>
        <v>2704.36</v>
      </c>
      <c r="V61" s="44">
        <f>V18*(1-Paramètres!$B$2)</f>
        <v>2744.6149999999998</v>
      </c>
      <c r="W61" s="44">
        <f>W18*(1-Paramètres!$B$2)</f>
        <v>2783.415</v>
      </c>
      <c r="X61" s="44">
        <f>X18*(1-Paramètres!$B$2)</f>
        <v>2824.1549999999997</v>
      </c>
      <c r="Y61" s="44">
        <f>Y18*(1-Paramètres!$B$2)</f>
        <v>2865.8649999999998</v>
      </c>
    </row>
    <row r="62" spans="1:25" ht="15" customHeight="1" x14ac:dyDescent="0.25">
      <c r="A62" s="43">
        <v>2150</v>
      </c>
      <c r="B62" s="44">
        <f>B19*(1-Paramètres!$B$2)</f>
        <v>1926.905</v>
      </c>
      <c r="C62" s="44">
        <f>C19*(1-Paramètres!$B$2)</f>
        <v>1960.855</v>
      </c>
      <c r="D62" s="44">
        <f>D19*(1-Paramètres!$B$2)</f>
        <v>1991.895</v>
      </c>
      <c r="E62" s="44">
        <f>E19*(1-Paramètres!$B$2)</f>
        <v>2025.36</v>
      </c>
      <c r="F62" s="44">
        <f>F19*(1-Paramètres!$B$2)</f>
        <v>2060.2799999999997</v>
      </c>
      <c r="G62" s="44">
        <f>G19*(1-Paramètres!$B$2)</f>
        <v>2091.8049999999998</v>
      </c>
      <c r="H62" s="44">
        <f>H19*(1-Paramètres!$B$2)</f>
        <v>2125.27</v>
      </c>
      <c r="I62" s="44">
        <f>I19*(1-Paramètres!$B$2)</f>
        <v>2157.7649999999999</v>
      </c>
      <c r="J62" s="44">
        <f>J19*(1-Paramètres!$B$2)</f>
        <v>2192.6849999999999</v>
      </c>
      <c r="K62" s="44">
        <f>K19*(1-Paramètres!$B$2)</f>
        <v>2224.6950000000002</v>
      </c>
      <c r="L62" s="44">
        <f>L19*(1-Paramètres!$B$2)</f>
        <v>2257.19</v>
      </c>
      <c r="M62" s="44">
        <f>M19*(1-Paramètres!$B$2)</f>
        <v>2290.17</v>
      </c>
      <c r="N62" s="44">
        <f>N19*(1-Paramètres!$B$2)</f>
        <v>2324.12</v>
      </c>
      <c r="O62" s="44">
        <f>O19*(1-Paramètres!$B$2)</f>
        <v>2356.6149999999998</v>
      </c>
      <c r="P62" s="44">
        <f>P19*(1-Paramètres!$B$2)</f>
        <v>2389.5949999999998</v>
      </c>
      <c r="Q62" s="44">
        <f>Q19*(1-Paramètres!$B$2)</f>
        <v>2423.5450000000001</v>
      </c>
      <c r="R62" s="44">
        <f>R19*(1-Paramètres!$B$2)</f>
        <v>2456.04</v>
      </c>
      <c r="S62" s="44">
        <f>S19*(1-Paramètres!$B$2)</f>
        <v>2706.2999999999997</v>
      </c>
      <c r="T62" s="44">
        <f>T19*(1-Paramètres!$B$2)</f>
        <v>2748.0099999999998</v>
      </c>
      <c r="U62" s="44">
        <f>U19*(1-Paramètres!$B$2)</f>
        <v>2789.2350000000001</v>
      </c>
      <c r="V62" s="44">
        <f>V19*(1-Paramètres!$B$2)</f>
        <v>2829.0050000000001</v>
      </c>
      <c r="W62" s="44">
        <f>W19*(1-Paramètres!$B$2)</f>
        <v>2870.23</v>
      </c>
      <c r="X62" s="44">
        <f>X19*(1-Paramètres!$B$2)</f>
        <v>2910.97</v>
      </c>
      <c r="Y62" s="44">
        <f>Y19*(1-Paramètres!$B$2)</f>
        <v>2952.1949999999997</v>
      </c>
    </row>
    <row r="63" spans="1:25" ht="15" customHeight="1" x14ac:dyDescent="0.25">
      <c r="A63" s="43">
        <v>2250</v>
      </c>
      <c r="B63" s="44">
        <f>B20*(1-Paramètres!$B$2)</f>
        <v>1985.105</v>
      </c>
      <c r="C63" s="44">
        <f>C20*(1-Paramètres!$B$2)</f>
        <v>2019.0549999999998</v>
      </c>
      <c r="D63" s="44">
        <f>D20*(1-Paramètres!$B$2)</f>
        <v>2051.5499999999997</v>
      </c>
      <c r="E63" s="44">
        <f>E20*(1-Paramètres!$B$2)</f>
        <v>2086.4699999999998</v>
      </c>
      <c r="F63" s="44">
        <f>F20*(1-Paramètres!$B$2)</f>
        <v>2119.9349999999999</v>
      </c>
      <c r="G63" s="44">
        <f>G20*(1-Paramètres!$B$2)</f>
        <v>2154.37</v>
      </c>
      <c r="H63" s="44">
        <f>H20*(1-Paramètres!$B$2)</f>
        <v>2187.835</v>
      </c>
      <c r="I63" s="44">
        <f>I20*(1-Paramètres!$B$2)</f>
        <v>2222.7550000000001</v>
      </c>
      <c r="J63" s="44">
        <f>J20*(1-Paramètres!$B$2)</f>
        <v>2255.7350000000001</v>
      </c>
      <c r="K63" s="44">
        <f>K20*(1-Paramètres!$B$2)</f>
        <v>2288.7150000000001</v>
      </c>
      <c r="L63" s="44">
        <f>L20*(1-Paramètres!$B$2)</f>
        <v>2323.6349999999998</v>
      </c>
      <c r="M63" s="44">
        <f>M20*(1-Paramètres!$B$2)</f>
        <v>2357.1</v>
      </c>
      <c r="N63" s="44">
        <f>N20*(1-Paramètres!$B$2)</f>
        <v>2390.5650000000001</v>
      </c>
      <c r="O63" s="44">
        <f>O20*(1-Paramètres!$B$2)</f>
        <v>2425</v>
      </c>
      <c r="P63" s="44">
        <f>P20*(1-Paramètres!$B$2)</f>
        <v>2458.9499999999998</v>
      </c>
      <c r="Q63" s="44">
        <f>Q20*(1-Paramètres!$B$2)</f>
        <v>2490.96</v>
      </c>
      <c r="R63" s="44">
        <f>R20*(1-Paramètres!$B$2)</f>
        <v>2745.1</v>
      </c>
      <c r="S63" s="44">
        <f>S20*(1-Paramètres!$B$2)</f>
        <v>2786.81</v>
      </c>
      <c r="T63" s="44">
        <f>T20*(1-Paramètres!$B$2)</f>
        <v>2829.0050000000001</v>
      </c>
      <c r="U63" s="44">
        <f>U20*(1-Paramètres!$B$2)</f>
        <v>2870.7150000000001</v>
      </c>
      <c r="V63" s="44">
        <f>V20*(1-Paramètres!$B$2)</f>
        <v>2911.94</v>
      </c>
      <c r="W63" s="44">
        <f>W20*(1-Paramètres!$B$2)</f>
        <v>2956.0749999999998</v>
      </c>
      <c r="X63" s="44">
        <f>X20*(1-Paramètres!$B$2)</f>
        <v>2997.7849999999999</v>
      </c>
      <c r="Y63" s="44">
        <f>Y20*(1-Paramètres!$B$2)</f>
        <v>3039.0099999999998</v>
      </c>
    </row>
    <row r="64" spans="1:25" ht="15" customHeight="1" x14ac:dyDescent="0.25">
      <c r="A64" s="43">
        <v>2350</v>
      </c>
      <c r="B64" s="44">
        <f>B21*(1-Paramètres!$B$2)</f>
        <v>2055.4299999999998</v>
      </c>
      <c r="C64" s="44">
        <f>C21*(1-Paramètres!$B$2)</f>
        <v>2090.35</v>
      </c>
      <c r="D64" s="44">
        <f>D21*(1-Paramètres!$B$2)</f>
        <v>2126.7249999999999</v>
      </c>
      <c r="E64" s="44">
        <f>E21*(1-Paramètres!$B$2)</f>
        <v>2160.19</v>
      </c>
      <c r="F64" s="44">
        <f>F21*(1-Paramètres!$B$2)</f>
        <v>2195.5949999999998</v>
      </c>
      <c r="G64" s="44">
        <f>G21*(1-Paramètres!$B$2)</f>
        <v>2230.0299999999997</v>
      </c>
      <c r="H64" s="44">
        <f>H21*(1-Paramètres!$B$2)</f>
        <v>2263.98</v>
      </c>
      <c r="I64" s="44">
        <f>I21*(1-Paramètres!$B$2)</f>
        <v>2298.9</v>
      </c>
      <c r="J64" s="44">
        <f>J21*(1-Paramètres!$B$2)</f>
        <v>2332.85</v>
      </c>
      <c r="K64" s="44">
        <f>K21*(1-Paramètres!$B$2)</f>
        <v>2368.2550000000001</v>
      </c>
      <c r="L64" s="44">
        <f>L21*(1-Paramètres!$B$2)</f>
        <v>2402.69</v>
      </c>
      <c r="M64" s="44">
        <f>M21*(1-Paramètres!$B$2)</f>
        <v>2437.61</v>
      </c>
      <c r="N64" s="44">
        <f>N21*(1-Paramètres!$B$2)</f>
        <v>2471.56</v>
      </c>
      <c r="O64" s="44">
        <f>O21*(1-Paramètres!$B$2)</f>
        <v>2506.48</v>
      </c>
      <c r="P64" s="44">
        <f>P21*(1-Paramètres!$B$2)</f>
        <v>2539.9449999999997</v>
      </c>
      <c r="Q64" s="44">
        <f>Q21*(1-Paramètres!$B$2)</f>
        <v>2794.5699999999997</v>
      </c>
      <c r="R64" s="44">
        <f>R21*(1-Paramètres!$B$2)</f>
        <v>2838.7049999999999</v>
      </c>
      <c r="S64" s="44">
        <f>S21*(1-Paramètres!$B$2)</f>
        <v>2882.355</v>
      </c>
      <c r="T64" s="44">
        <f>T21*(1-Paramètres!$B$2)</f>
        <v>2925.0349999999999</v>
      </c>
      <c r="U64" s="44">
        <f>U21*(1-Paramètres!$B$2)</f>
        <v>2967.7150000000001</v>
      </c>
      <c r="V64" s="44">
        <f>V21*(1-Paramètres!$B$2)</f>
        <v>2967.7150000000001</v>
      </c>
      <c r="W64" s="44">
        <f>W21*(1-Paramètres!$B$2)</f>
        <v>3055.0149999999999</v>
      </c>
      <c r="X64" s="44">
        <f>X21*(1-Paramètres!$B$2)</f>
        <v>3098.665</v>
      </c>
      <c r="Y64" s="44">
        <f>Y21*(1-Paramètres!$B$2)</f>
        <v>3143.2849999999999</v>
      </c>
    </row>
  </sheetData>
  <mergeCells count="4">
    <mergeCell ref="A23:Y23"/>
    <mergeCell ref="A1:Y1"/>
    <mergeCell ref="A3:Y3"/>
    <mergeCell ref="A45:Y45"/>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64"/>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25" width="9" customWidth="1"/>
  </cols>
  <sheetData>
    <row r="1" spans="1:25" ht="24" customHeight="1" x14ac:dyDescent="0.25">
      <c r="A1" s="126" t="s">
        <v>271</v>
      </c>
      <c r="B1" s="93"/>
      <c r="C1" s="93"/>
      <c r="D1" s="93"/>
      <c r="E1" s="93"/>
      <c r="F1" s="93"/>
      <c r="G1" s="93"/>
      <c r="H1" s="93"/>
      <c r="I1" s="93"/>
      <c r="J1" s="93"/>
      <c r="K1" s="93"/>
      <c r="L1" s="93"/>
      <c r="M1" s="93"/>
      <c r="N1" s="93"/>
      <c r="O1" s="93"/>
      <c r="P1" s="93"/>
      <c r="Q1" s="93"/>
      <c r="R1" s="93"/>
      <c r="S1" s="93"/>
      <c r="T1" s="93"/>
      <c r="U1" s="93"/>
      <c r="V1" s="93"/>
      <c r="W1" s="93"/>
      <c r="X1" s="93"/>
      <c r="Y1" s="93"/>
    </row>
    <row r="3" spans="1:25" ht="15" customHeight="1" x14ac:dyDescent="0.25">
      <c r="A3" s="121" t="s">
        <v>259</v>
      </c>
      <c r="B3" s="93"/>
      <c r="C3" s="93"/>
      <c r="D3" s="93"/>
      <c r="E3" s="93"/>
      <c r="F3" s="93"/>
      <c r="G3" s="93"/>
      <c r="H3" s="93"/>
      <c r="I3" s="93"/>
      <c r="J3" s="93"/>
      <c r="K3" s="93"/>
      <c r="L3" s="93"/>
      <c r="M3" s="93"/>
      <c r="N3" s="93"/>
      <c r="O3" s="93"/>
      <c r="P3" s="93"/>
      <c r="Q3" s="93"/>
      <c r="R3" s="93"/>
      <c r="S3" s="93"/>
      <c r="T3" s="93"/>
      <c r="U3" s="93"/>
      <c r="V3" s="93"/>
      <c r="W3" s="93"/>
      <c r="X3" s="93"/>
      <c r="Y3" s="93"/>
    </row>
    <row r="4" spans="1:25" ht="15" customHeight="1" x14ac:dyDescent="0.25">
      <c r="A4" s="43" t="s">
        <v>260</v>
      </c>
      <c r="B4" s="43">
        <v>1800</v>
      </c>
      <c r="C4" s="43">
        <v>1900</v>
      </c>
      <c r="D4" s="43">
        <v>2000</v>
      </c>
      <c r="E4" s="43">
        <v>2100</v>
      </c>
      <c r="F4" s="43">
        <v>2200</v>
      </c>
      <c r="G4" s="43">
        <v>2300</v>
      </c>
      <c r="H4" s="43">
        <v>2400</v>
      </c>
      <c r="I4" s="43">
        <v>2500</v>
      </c>
      <c r="J4" s="43">
        <v>2600</v>
      </c>
      <c r="K4" s="43">
        <v>2700</v>
      </c>
      <c r="L4" s="43">
        <v>2800</v>
      </c>
      <c r="M4" s="43">
        <v>2900</v>
      </c>
      <c r="N4" s="43">
        <v>3000</v>
      </c>
      <c r="O4" s="43">
        <v>3100</v>
      </c>
      <c r="P4" s="43">
        <v>3200</v>
      </c>
      <c r="Q4" s="43">
        <v>3300</v>
      </c>
      <c r="R4" s="43">
        <v>3400</v>
      </c>
      <c r="S4" s="43">
        <v>3500</v>
      </c>
      <c r="T4" s="43">
        <v>3600</v>
      </c>
      <c r="U4" s="43">
        <v>3700</v>
      </c>
      <c r="V4" s="43">
        <v>3800</v>
      </c>
      <c r="W4" s="43">
        <v>3900</v>
      </c>
      <c r="X4" s="43">
        <v>4000</v>
      </c>
      <c r="Y4" s="43">
        <v>4100</v>
      </c>
    </row>
    <row r="5" spans="1:25" ht="15" customHeight="1" x14ac:dyDescent="0.25">
      <c r="A5" s="43">
        <v>750</v>
      </c>
      <c r="B5" s="44">
        <v>3602</v>
      </c>
      <c r="C5" s="44">
        <v>3686</v>
      </c>
      <c r="D5" s="44">
        <v>3770</v>
      </c>
      <c r="E5" s="44">
        <v>3855</v>
      </c>
      <c r="F5" s="44">
        <v>3939</v>
      </c>
      <c r="G5" s="44">
        <v>4024</v>
      </c>
      <c r="H5" s="44">
        <v>4082</v>
      </c>
      <c r="I5" s="44">
        <v>4196</v>
      </c>
      <c r="J5" s="44">
        <v>4238</v>
      </c>
      <c r="K5" s="44">
        <v>4268</v>
      </c>
      <c r="L5" s="44">
        <v>4327</v>
      </c>
      <c r="M5" s="44">
        <v>4413</v>
      </c>
      <c r="N5" s="44">
        <v>4471</v>
      </c>
      <c r="O5" s="44">
        <v>4536</v>
      </c>
      <c r="P5" s="44">
        <v>4630</v>
      </c>
      <c r="Q5" s="44">
        <v>4657</v>
      </c>
      <c r="R5" s="44">
        <v>4713</v>
      </c>
      <c r="S5" s="44">
        <v>4801</v>
      </c>
      <c r="T5" s="44">
        <v>4859</v>
      </c>
      <c r="U5" s="44">
        <v>4973</v>
      </c>
      <c r="V5" s="44">
        <v>5015</v>
      </c>
      <c r="W5" s="44">
        <v>5046</v>
      </c>
      <c r="X5" s="44">
        <v>5101</v>
      </c>
      <c r="Y5" s="44">
        <v>5233</v>
      </c>
    </row>
    <row r="6" spans="1:25" ht="15" customHeight="1" x14ac:dyDescent="0.25">
      <c r="A6" s="43">
        <v>850</v>
      </c>
      <c r="B6" s="44">
        <v>3789</v>
      </c>
      <c r="C6" s="44">
        <v>3873</v>
      </c>
      <c r="D6" s="44">
        <v>3956</v>
      </c>
      <c r="E6" s="44">
        <v>4042</v>
      </c>
      <c r="F6" s="44">
        <v>4123</v>
      </c>
      <c r="G6" s="44">
        <v>4215</v>
      </c>
      <c r="H6" s="44">
        <v>4273</v>
      </c>
      <c r="I6" s="44">
        <v>4390</v>
      </c>
      <c r="J6" s="44">
        <v>4435</v>
      </c>
      <c r="K6" s="44">
        <v>4467</v>
      </c>
      <c r="L6" s="44">
        <v>4527</v>
      </c>
      <c r="M6" s="44">
        <v>4614</v>
      </c>
      <c r="N6" s="44">
        <v>4671</v>
      </c>
      <c r="O6" s="44">
        <v>4792</v>
      </c>
      <c r="P6" s="44">
        <v>4836</v>
      </c>
      <c r="Q6" s="44">
        <v>4867</v>
      </c>
      <c r="R6" s="44">
        <v>4929</v>
      </c>
      <c r="S6" s="44">
        <v>5014</v>
      </c>
      <c r="T6" s="44">
        <v>5076</v>
      </c>
      <c r="U6" s="44">
        <v>5194</v>
      </c>
      <c r="V6" s="44">
        <v>5238</v>
      </c>
      <c r="W6" s="44">
        <v>5267</v>
      </c>
      <c r="X6" s="44">
        <v>5326</v>
      </c>
      <c r="Y6" s="44">
        <v>5460</v>
      </c>
    </row>
    <row r="7" spans="1:25" ht="15" customHeight="1" x14ac:dyDescent="0.25">
      <c r="A7" s="43">
        <v>950</v>
      </c>
      <c r="B7" s="44">
        <v>3975</v>
      </c>
      <c r="C7" s="44">
        <v>4058</v>
      </c>
      <c r="D7" s="44">
        <v>4142</v>
      </c>
      <c r="E7" s="44">
        <v>4225</v>
      </c>
      <c r="F7" s="44">
        <v>4309</v>
      </c>
      <c r="G7" s="44">
        <v>4400</v>
      </c>
      <c r="H7" s="44">
        <v>4464</v>
      </c>
      <c r="I7" s="44">
        <v>4576</v>
      </c>
      <c r="J7" s="44">
        <v>4631</v>
      </c>
      <c r="K7" s="44">
        <v>4661</v>
      </c>
      <c r="L7" s="44">
        <v>4722</v>
      </c>
      <c r="M7" s="44">
        <v>4815</v>
      </c>
      <c r="N7" s="44">
        <v>4877</v>
      </c>
      <c r="O7" s="44">
        <v>5000</v>
      </c>
      <c r="P7" s="44">
        <v>5046</v>
      </c>
      <c r="Q7" s="44">
        <v>5077</v>
      </c>
      <c r="R7" s="44">
        <v>5137</v>
      </c>
      <c r="S7" s="44">
        <v>5231</v>
      </c>
      <c r="T7" s="44">
        <v>5291</v>
      </c>
      <c r="U7" s="44">
        <v>5416</v>
      </c>
      <c r="V7" s="44">
        <v>5460</v>
      </c>
      <c r="W7" s="44">
        <v>5489</v>
      </c>
      <c r="X7" s="44">
        <v>5552</v>
      </c>
      <c r="Y7" s="44">
        <v>5690</v>
      </c>
    </row>
    <row r="8" spans="1:25" ht="15" customHeight="1" x14ac:dyDescent="0.25">
      <c r="A8" s="43">
        <v>1050</v>
      </c>
      <c r="B8" s="44">
        <v>4159</v>
      </c>
      <c r="C8" s="44">
        <v>4245</v>
      </c>
      <c r="D8" s="44">
        <v>4327</v>
      </c>
      <c r="E8" s="44">
        <v>4411</v>
      </c>
      <c r="F8" s="44">
        <v>4493</v>
      </c>
      <c r="G8" s="44">
        <v>4588</v>
      </c>
      <c r="H8" s="44">
        <v>4653</v>
      </c>
      <c r="I8" s="44">
        <v>4779</v>
      </c>
      <c r="J8" s="44">
        <v>4824</v>
      </c>
      <c r="K8" s="44">
        <v>4859</v>
      </c>
      <c r="L8" s="44">
        <v>4923</v>
      </c>
      <c r="M8" s="44">
        <v>5017</v>
      </c>
      <c r="N8" s="44">
        <v>5080</v>
      </c>
      <c r="O8" s="44">
        <v>5208</v>
      </c>
      <c r="P8" s="44">
        <v>5255</v>
      </c>
      <c r="Q8" s="44">
        <v>5286</v>
      </c>
      <c r="R8" s="44">
        <v>5349</v>
      </c>
      <c r="S8" s="44">
        <v>5445</v>
      </c>
      <c r="T8" s="44">
        <v>5508</v>
      </c>
      <c r="U8" s="44">
        <v>5635</v>
      </c>
      <c r="V8" s="44">
        <v>5681</v>
      </c>
      <c r="W8" s="44">
        <v>5715</v>
      </c>
      <c r="X8" s="44">
        <v>5777</v>
      </c>
      <c r="Y8" s="44">
        <v>5919</v>
      </c>
    </row>
    <row r="9" spans="1:25" ht="15" customHeight="1" x14ac:dyDescent="0.25">
      <c r="A9" s="43">
        <v>1150</v>
      </c>
      <c r="B9" s="44">
        <v>4345</v>
      </c>
      <c r="C9" s="44">
        <v>4430</v>
      </c>
      <c r="D9" s="44">
        <v>4512</v>
      </c>
      <c r="E9" s="44">
        <v>4595</v>
      </c>
      <c r="F9" s="44">
        <v>4679</v>
      </c>
      <c r="G9" s="44">
        <v>4778</v>
      </c>
      <c r="H9" s="44">
        <v>4843</v>
      </c>
      <c r="I9" s="44">
        <v>4973</v>
      </c>
      <c r="J9" s="44">
        <v>5023</v>
      </c>
      <c r="K9" s="44">
        <v>5054</v>
      </c>
      <c r="L9" s="44">
        <v>5120</v>
      </c>
      <c r="M9" s="44">
        <v>5217</v>
      </c>
      <c r="N9" s="44">
        <v>5284</v>
      </c>
      <c r="O9" s="44">
        <v>5416</v>
      </c>
      <c r="P9" s="44">
        <v>5465</v>
      </c>
      <c r="Q9" s="44">
        <v>5496</v>
      </c>
      <c r="R9" s="44">
        <v>5559</v>
      </c>
      <c r="S9" s="44">
        <v>5659</v>
      </c>
      <c r="T9" s="44">
        <v>5724</v>
      </c>
      <c r="U9" s="44">
        <v>5856</v>
      </c>
      <c r="V9" s="44">
        <v>5902</v>
      </c>
      <c r="W9" s="44">
        <v>5938</v>
      </c>
      <c r="X9" s="44">
        <v>6001</v>
      </c>
      <c r="Y9" s="44">
        <v>6150</v>
      </c>
    </row>
    <row r="10" spans="1:25" ht="15" customHeight="1" x14ac:dyDescent="0.25">
      <c r="A10" s="43">
        <v>1250</v>
      </c>
      <c r="B10" s="44">
        <v>4533</v>
      </c>
      <c r="C10" s="44">
        <v>4615</v>
      </c>
      <c r="D10" s="44">
        <v>4699</v>
      </c>
      <c r="E10" s="44">
        <v>4781</v>
      </c>
      <c r="F10" s="44">
        <v>4867</v>
      </c>
      <c r="G10" s="44">
        <v>4968</v>
      </c>
      <c r="H10" s="44">
        <v>5033</v>
      </c>
      <c r="I10" s="44">
        <v>5168</v>
      </c>
      <c r="J10" s="44">
        <v>5217</v>
      </c>
      <c r="K10" s="44">
        <v>5251</v>
      </c>
      <c r="L10" s="44">
        <v>5319</v>
      </c>
      <c r="M10" s="44">
        <v>5420</v>
      </c>
      <c r="N10" s="44">
        <v>5486</v>
      </c>
      <c r="O10" s="44">
        <v>5623</v>
      </c>
      <c r="P10" s="44">
        <v>5673</v>
      </c>
      <c r="Q10" s="44">
        <v>5705</v>
      </c>
      <c r="R10" s="44">
        <v>5774</v>
      </c>
      <c r="S10" s="44">
        <v>5874</v>
      </c>
      <c r="T10" s="44">
        <v>5942</v>
      </c>
      <c r="U10" s="44">
        <v>6075</v>
      </c>
      <c r="V10" s="44">
        <v>6125</v>
      </c>
      <c r="W10" s="44">
        <v>6159</v>
      </c>
      <c r="X10" s="44">
        <v>6226</v>
      </c>
      <c r="Y10" s="44">
        <v>6379</v>
      </c>
    </row>
    <row r="11" spans="1:25" ht="15" customHeight="1" x14ac:dyDescent="0.25">
      <c r="A11" s="43">
        <v>1350</v>
      </c>
      <c r="B11" s="44">
        <v>4714</v>
      </c>
      <c r="C11" s="44">
        <v>4800</v>
      </c>
      <c r="D11" s="44">
        <v>4882</v>
      </c>
      <c r="E11" s="44">
        <v>4968</v>
      </c>
      <c r="F11" s="44">
        <v>5050</v>
      </c>
      <c r="G11" s="44">
        <v>5155</v>
      </c>
      <c r="H11" s="44">
        <v>5223</v>
      </c>
      <c r="I11" s="44">
        <v>5364</v>
      </c>
      <c r="J11" s="44">
        <v>5416</v>
      </c>
      <c r="K11" s="44">
        <v>5450</v>
      </c>
      <c r="L11" s="44">
        <v>5517</v>
      </c>
      <c r="M11" s="44">
        <v>5623</v>
      </c>
      <c r="N11" s="44">
        <v>5690</v>
      </c>
      <c r="O11" s="44">
        <v>5829</v>
      </c>
      <c r="P11" s="44">
        <v>5883</v>
      </c>
      <c r="Q11" s="44">
        <v>5915</v>
      </c>
      <c r="R11" s="44">
        <v>5987</v>
      </c>
      <c r="S11" s="44">
        <v>6087</v>
      </c>
      <c r="T11" s="44">
        <v>6158</v>
      </c>
      <c r="U11" s="44">
        <v>6296</v>
      </c>
      <c r="V11" s="44">
        <v>6347</v>
      </c>
      <c r="W11" s="44">
        <v>6382</v>
      </c>
      <c r="X11" s="44">
        <v>6451</v>
      </c>
      <c r="Y11" s="44">
        <v>6609</v>
      </c>
    </row>
    <row r="12" spans="1:25" ht="15" customHeight="1" x14ac:dyDescent="0.25">
      <c r="A12" s="43">
        <v>1450</v>
      </c>
      <c r="B12" s="44">
        <v>4902</v>
      </c>
      <c r="C12" s="44">
        <v>4985</v>
      </c>
      <c r="D12" s="44">
        <v>5070</v>
      </c>
      <c r="E12" s="44">
        <v>5154</v>
      </c>
      <c r="F12" s="44">
        <v>5237</v>
      </c>
      <c r="G12" s="44">
        <v>5342</v>
      </c>
      <c r="H12" s="44">
        <v>5416</v>
      </c>
      <c r="I12" s="44">
        <v>5556</v>
      </c>
      <c r="J12" s="44">
        <v>5610</v>
      </c>
      <c r="K12" s="44">
        <v>5646</v>
      </c>
      <c r="L12" s="44">
        <v>5717</v>
      </c>
      <c r="M12" s="44">
        <v>5823</v>
      </c>
      <c r="N12" s="44">
        <v>5896</v>
      </c>
      <c r="O12" s="44">
        <v>6037</v>
      </c>
      <c r="P12" s="44">
        <v>6091</v>
      </c>
      <c r="Q12" s="44">
        <v>6125</v>
      </c>
      <c r="R12" s="44">
        <v>6199</v>
      </c>
      <c r="S12" s="44">
        <v>6303</v>
      </c>
      <c r="T12" s="44">
        <v>6377</v>
      </c>
      <c r="U12" s="44">
        <v>6515</v>
      </c>
      <c r="V12" s="44">
        <v>6570</v>
      </c>
      <c r="W12" s="44">
        <v>6607</v>
      </c>
      <c r="X12" s="44">
        <v>6675</v>
      </c>
      <c r="Y12" s="44">
        <v>6835</v>
      </c>
    </row>
    <row r="13" spans="1:25" ht="15" customHeight="1" x14ac:dyDescent="0.25">
      <c r="A13" s="43">
        <v>1550</v>
      </c>
      <c r="B13" s="44">
        <v>5088</v>
      </c>
      <c r="C13" s="44">
        <v>5170</v>
      </c>
      <c r="D13" s="44">
        <v>5255</v>
      </c>
      <c r="E13" s="44">
        <v>5338</v>
      </c>
      <c r="F13" s="44">
        <v>5421</v>
      </c>
      <c r="G13" s="44">
        <v>5531</v>
      </c>
      <c r="H13" s="44">
        <v>5605</v>
      </c>
      <c r="I13" s="44">
        <v>5753</v>
      </c>
      <c r="J13" s="44">
        <v>5806</v>
      </c>
      <c r="K13" s="44">
        <v>5842</v>
      </c>
      <c r="L13" s="44">
        <v>5915</v>
      </c>
      <c r="M13" s="44">
        <v>6025</v>
      </c>
      <c r="N13" s="44">
        <v>6098</v>
      </c>
      <c r="O13" s="44">
        <v>6244</v>
      </c>
      <c r="P13" s="44">
        <v>6299</v>
      </c>
      <c r="Q13" s="44">
        <v>6335</v>
      </c>
      <c r="R13" s="44">
        <v>6407</v>
      </c>
      <c r="S13" s="44">
        <v>6515</v>
      </c>
      <c r="T13" s="44">
        <v>6592</v>
      </c>
      <c r="U13" s="44">
        <v>6737</v>
      </c>
      <c r="V13" s="44">
        <v>6791</v>
      </c>
      <c r="W13" s="44">
        <v>6827</v>
      </c>
      <c r="X13" s="44">
        <v>6901</v>
      </c>
      <c r="Y13" s="44">
        <v>7064</v>
      </c>
    </row>
    <row r="14" spans="1:25" ht="15" customHeight="1" x14ac:dyDescent="0.25">
      <c r="A14" s="43">
        <v>1650</v>
      </c>
      <c r="B14" s="44">
        <v>5272</v>
      </c>
      <c r="C14" s="44">
        <v>5358</v>
      </c>
      <c r="D14" s="44">
        <v>5441</v>
      </c>
      <c r="E14" s="44">
        <v>5523</v>
      </c>
      <c r="F14" s="44">
        <v>5606</v>
      </c>
      <c r="G14" s="44">
        <v>5719</v>
      </c>
      <c r="H14" s="44">
        <v>5795</v>
      </c>
      <c r="I14" s="44">
        <v>5945</v>
      </c>
      <c r="J14" s="44">
        <v>6000</v>
      </c>
      <c r="K14" s="44">
        <v>6038</v>
      </c>
      <c r="L14" s="44">
        <v>6114</v>
      </c>
      <c r="M14" s="44">
        <v>6226</v>
      </c>
      <c r="N14" s="44">
        <v>6301</v>
      </c>
      <c r="O14" s="44">
        <v>6451</v>
      </c>
      <c r="P14" s="44">
        <v>6507</v>
      </c>
      <c r="Q14" s="44">
        <v>6546</v>
      </c>
      <c r="R14" s="44">
        <v>6619</v>
      </c>
      <c r="S14" s="44">
        <v>6732</v>
      </c>
      <c r="T14" s="44">
        <v>6809</v>
      </c>
      <c r="U14" s="44">
        <v>6959</v>
      </c>
      <c r="V14" s="44">
        <v>7013</v>
      </c>
      <c r="W14" s="44">
        <v>7052</v>
      </c>
      <c r="X14" s="44">
        <v>7128</v>
      </c>
      <c r="Y14" s="44">
        <v>7296</v>
      </c>
    </row>
    <row r="15" spans="1:25" ht="15" customHeight="1" x14ac:dyDescent="0.25">
      <c r="A15" s="43">
        <v>1750</v>
      </c>
      <c r="B15" s="44">
        <v>5459</v>
      </c>
      <c r="C15" s="44">
        <v>5544</v>
      </c>
      <c r="D15" s="44">
        <v>5627</v>
      </c>
      <c r="E15" s="44">
        <v>5712</v>
      </c>
      <c r="F15" s="44">
        <v>5794</v>
      </c>
      <c r="G15" s="44">
        <v>5907</v>
      </c>
      <c r="H15" s="44">
        <v>5987</v>
      </c>
      <c r="I15" s="44">
        <v>6139</v>
      </c>
      <c r="J15" s="44">
        <v>6197</v>
      </c>
      <c r="K15" s="44">
        <v>6235</v>
      </c>
      <c r="L15" s="44">
        <v>6313</v>
      </c>
      <c r="M15" s="44">
        <v>6428</v>
      </c>
      <c r="N15" s="44">
        <v>6505</v>
      </c>
      <c r="O15" s="44">
        <v>6659</v>
      </c>
      <c r="P15" s="44">
        <v>6715</v>
      </c>
      <c r="Q15" s="44">
        <v>6755</v>
      </c>
      <c r="R15" s="44">
        <v>6833</v>
      </c>
      <c r="S15" s="44">
        <v>6947</v>
      </c>
      <c r="T15" s="44">
        <v>7025</v>
      </c>
      <c r="U15" s="44">
        <v>7179</v>
      </c>
      <c r="V15" s="44">
        <v>7237</v>
      </c>
      <c r="W15" s="44">
        <v>7274</v>
      </c>
      <c r="X15" s="44">
        <v>7352</v>
      </c>
      <c r="Y15" s="44">
        <v>7526</v>
      </c>
    </row>
    <row r="16" spans="1:25" ht="15" customHeight="1" x14ac:dyDescent="0.25">
      <c r="A16" s="43">
        <v>1850</v>
      </c>
      <c r="B16" s="44">
        <v>5645</v>
      </c>
      <c r="C16" s="44">
        <v>5728</v>
      </c>
      <c r="D16" s="44">
        <v>5811</v>
      </c>
      <c r="E16" s="44">
        <v>5896</v>
      </c>
      <c r="F16" s="44">
        <v>5979</v>
      </c>
      <c r="G16" s="44">
        <v>6097</v>
      </c>
      <c r="H16" s="44">
        <v>6174</v>
      </c>
      <c r="I16" s="44">
        <v>6334</v>
      </c>
      <c r="J16" s="44">
        <v>6391</v>
      </c>
      <c r="K16" s="44">
        <v>6432</v>
      </c>
      <c r="L16" s="44">
        <v>6509</v>
      </c>
      <c r="M16" s="44">
        <v>6627</v>
      </c>
      <c r="N16" s="44">
        <v>6708</v>
      </c>
      <c r="O16" s="44">
        <v>6868</v>
      </c>
      <c r="P16" s="44">
        <v>6926</v>
      </c>
      <c r="Q16" s="44">
        <v>6965</v>
      </c>
      <c r="R16" s="44">
        <v>7045</v>
      </c>
      <c r="S16" s="44">
        <v>7161</v>
      </c>
      <c r="T16" s="44">
        <v>7240</v>
      </c>
      <c r="U16" s="44">
        <v>7399</v>
      </c>
      <c r="V16" s="44">
        <v>7457</v>
      </c>
      <c r="W16" s="44">
        <v>7496</v>
      </c>
      <c r="X16" s="44">
        <v>7576</v>
      </c>
      <c r="Y16" s="44">
        <v>7754</v>
      </c>
    </row>
    <row r="17" spans="1:25" ht="15" customHeight="1" x14ac:dyDescent="0.25">
      <c r="A17" s="43">
        <v>1950</v>
      </c>
      <c r="B17" s="44">
        <v>5829</v>
      </c>
      <c r="C17" s="44">
        <v>5912</v>
      </c>
      <c r="D17" s="44">
        <v>5995</v>
      </c>
      <c r="E17" s="44">
        <v>6079</v>
      </c>
      <c r="F17" s="44">
        <v>6162</v>
      </c>
      <c r="G17" s="44">
        <v>6284</v>
      </c>
      <c r="H17" s="44">
        <v>6367</v>
      </c>
      <c r="I17" s="44">
        <v>6530</v>
      </c>
      <c r="J17" s="44">
        <v>6589</v>
      </c>
      <c r="K17" s="44">
        <v>6627</v>
      </c>
      <c r="L17" s="44">
        <v>6711</v>
      </c>
      <c r="M17" s="44">
        <v>6832</v>
      </c>
      <c r="N17" s="44">
        <v>6915</v>
      </c>
      <c r="O17" s="44">
        <v>7075</v>
      </c>
      <c r="P17" s="44">
        <v>7135</v>
      </c>
      <c r="Q17" s="44">
        <v>7173</v>
      </c>
      <c r="R17" s="44">
        <v>7257</v>
      </c>
      <c r="S17" s="44">
        <v>7376</v>
      </c>
      <c r="T17" s="44">
        <v>7457</v>
      </c>
      <c r="U17" s="44">
        <v>7618</v>
      </c>
      <c r="V17" s="44">
        <v>7680</v>
      </c>
      <c r="W17" s="44">
        <v>7719</v>
      </c>
      <c r="X17" s="44">
        <v>7799</v>
      </c>
      <c r="Y17" s="44">
        <v>7984</v>
      </c>
    </row>
    <row r="18" spans="1:25" ht="15" customHeight="1" x14ac:dyDescent="0.25">
      <c r="A18" s="43">
        <v>2050</v>
      </c>
      <c r="B18" s="44">
        <v>6015</v>
      </c>
      <c r="C18" s="44">
        <v>6098</v>
      </c>
      <c r="D18" s="44">
        <v>6181</v>
      </c>
      <c r="E18" s="44">
        <v>6265</v>
      </c>
      <c r="F18" s="44">
        <v>6347</v>
      </c>
      <c r="G18" s="44">
        <v>6473</v>
      </c>
      <c r="H18" s="44">
        <v>6555</v>
      </c>
      <c r="I18" s="44">
        <v>6722</v>
      </c>
      <c r="J18" s="44">
        <v>6783</v>
      </c>
      <c r="K18" s="44">
        <v>6825</v>
      </c>
      <c r="L18" s="44">
        <v>6908</v>
      </c>
      <c r="M18" s="44">
        <v>7033</v>
      </c>
      <c r="N18" s="44">
        <v>7115</v>
      </c>
      <c r="O18" s="44">
        <v>7280</v>
      </c>
      <c r="P18" s="44">
        <v>7343</v>
      </c>
      <c r="Q18" s="44">
        <v>7384</v>
      </c>
      <c r="R18" s="44">
        <v>7467</v>
      </c>
      <c r="S18" s="44">
        <v>7591</v>
      </c>
      <c r="T18" s="44">
        <v>7674</v>
      </c>
      <c r="U18" s="44">
        <v>7840</v>
      </c>
      <c r="V18" s="44">
        <v>7902</v>
      </c>
      <c r="W18" s="44">
        <v>7945</v>
      </c>
      <c r="X18" s="44">
        <v>8027</v>
      </c>
      <c r="Y18" s="44">
        <v>8213</v>
      </c>
    </row>
    <row r="19" spans="1:25" ht="15" customHeight="1" x14ac:dyDescent="0.25">
      <c r="A19" s="43">
        <v>2150</v>
      </c>
      <c r="B19" s="44">
        <v>6201</v>
      </c>
      <c r="C19" s="44">
        <v>6284</v>
      </c>
      <c r="D19" s="44">
        <v>6369</v>
      </c>
      <c r="E19" s="44">
        <v>6451</v>
      </c>
      <c r="F19" s="44">
        <v>6536</v>
      </c>
      <c r="G19" s="44">
        <v>6662</v>
      </c>
      <c r="H19" s="44">
        <v>6748</v>
      </c>
      <c r="I19" s="44">
        <v>6919</v>
      </c>
      <c r="J19" s="44">
        <v>6979</v>
      </c>
      <c r="K19" s="44">
        <v>7023</v>
      </c>
      <c r="L19" s="44">
        <v>7107</v>
      </c>
      <c r="M19" s="44">
        <v>7235</v>
      </c>
      <c r="N19" s="44">
        <v>7319</v>
      </c>
      <c r="O19" s="44">
        <v>7488</v>
      </c>
      <c r="P19" s="44">
        <v>7551</v>
      </c>
      <c r="Q19" s="44">
        <v>7595</v>
      </c>
      <c r="R19" s="44">
        <v>7677</v>
      </c>
      <c r="S19" s="44">
        <v>7806</v>
      </c>
      <c r="T19" s="44">
        <v>7890</v>
      </c>
      <c r="U19" s="44">
        <v>8062</v>
      </c>
      <c r="V19" s="44">
        <v>8125</v>
      </c>
      <c r="W19" s="44">
        <v>8167</v>
      </c>
      <c r="X19" s="44">
        <v>8253</v>
      </c>
      <c r="Y19" s="44">
        <v>8442</v>
      </c>
    </row>
    <row r="20" spans="1:25" ht="15" customHeight="1" x14ac:dyDescent="0.25">
      <c r="A20" s="43">
        <v>2250</v>
      </c>
      <c r="B20" s="44">
        <v>6384</v>
      </c>
      <c r="C20" s="44">
        <v>6468</v>
      </c>
      <c r="D20" s="44">
        <v>6551</v>
      </c>
      <c r="E20" s="44">
        <v>6636</v>
      </c>
      <c r="F20" s="44">
        <v>6720</v>
      </c>
      <c r="G20" s="44">
        <v>6848</v>
      </c>
      <c r="H20" s="44">
        <v>6936</v>
      </c>
      <c r="I20" s="44">
        <v>7109</v>
      </c>
      <c r="J20" s="44">
        <v>7175</v>
      </c>
      <c r="K20" s="44">
        <v>7218</v>
      </c>
      <c r="L20" s="44">
        <v>7305</v>
      </c>
      <c r="M20" s="44">
        <v>7436</v>
      </c>
      <c r="N20" s="44">
        <v>7523</v>
      </c>
      <c r="O20" s="44">
        <v>7696</v>
      </c>
      <c r="P20" s="44">
        <v>7761</v>
      </c>
      <c r="Q20" s="44">
        <v>7805</v>
      </c>
      <c r="R20" s="44">
        <v>7890</v>
      </c>
      <c r="S20" s="44">
        <v>8020</v>
      </c>
      <c r="T20" s="44">
        <v>8109</v>
      </c>
      <c r="U20" s="44">
        <v>8281</v>
      </c>
      <c r="V20" s="44">
        <v>8345</v>
      </c>
      <c r="W20" s="44">
        <v>8389</v>
      </c>
      <c r="X20" s="44">
        <v>8475</v>
      </c>
      <c r="Y20" s="44">
        <v>8671</v>
      </c>
    </row>
    <row r="21" spans="1:25" ht="15" customHeight="1" x14ac:dyDescent="0.25">
      <c r="A21" s="43">
        <v>2350</v>
      </c>
      <c r="B21" s="44">
        <v>6626</v>
      </c>
      <c r="C21" s="44">
        <v>6711</v>
      </c>
      <c r="D21" s="44">
        <v>6793</v>
      </c>
      <c r="E21" s="44">
        <v>6879</v>
      </c>
      <c r="F21" s="44">
        <v>6962</v>
      </c>
      <c r="G21" s="44">
        <v>7093</v>
      </c>
      <c r="H21" s="44">
        <v>7182</v>
      </c>
      <c r="I21" s="44">
        <v>7361</v>
      </c>
      <c r="J21" s="44">
        <v>7428</v>
      </c>
      <c r="K21" s="44">
        <v>7473</v>
      </c>
      <c r="L21" s="44">
        <v>7560</v>
      </c>
      <c r="M21" s="44">
        <v>7693</v>
      </c>
      <c r="N21" s="44">
        <v>7783</v>
      </c>
      <c r="O21" s="44">
        <v>7960</v>
      </c>
      <c r="P21" s="44">
        <v>8027</v>
      </c>
      <c r="Q21" s="44">
        <v>8070</v>
      </c>
      <c r="R21" s="44">
        <v>8159</v>
      </c>
      <c r="S21" s="44">
        <v>8292</v>
      </c>
      <c r="T21" s="44">
        <v>8381</v>
      </c>
      <c r="U21" s="44">
        <v>8557</v>
      </c>
      <c r="V21" s="44">
        <v>8624</v>
      </c>
      <c r="W21" s="44">
        <v>8669</v>
      </c>
      <c r="X21" s="44">
        <v>8758</v>
      </c>
      <c r="Y21" s="44">
        <v>8955</v>
      </c>
    </row>
    <row r="23" spans="1:25" ht="15" customHeight="1" x14ac:dyDescent="0.25">
      <c r="A23" s="121" t="s">
        <v>261</v>
      </c>
      <c r="B23" s="93"/>
      <c r="C23" s="93"/>
      <c r="D23" s="93"/>
      <c r="E23" s="93"/>
      <c r="F23" s="93"/>
      <c r="G23" s="93"/>
      <c r="H23" s="93"/>
      <c r="I23" s="93"/>
      <c r="J23" s="93"/>
      <c r="K23" s="93"/>
      <c r="L23" s="93"/>
      <c r="M23" s="93"/>
      <c r="N23" s="93"/>
      <c r="O23" s="93"/>
      <c r="P23" s="93"/>
      <c r="Q23" s="93"/>
      <c r="R23" s="93"/>
      <c r="S23" s="93"/>
      <c r="T23" s="93"/>
      <c r="U23" s="93"/>
      <c r="V23" s="93"/>
      <c r="W23" s="93"/>
      <c r="X23" s="93"/>
      <c r="Y23" s="93"/>
    </row>
    <row r="24" spans="1:25" ht="15" customHeight="1" x14ac:dyDescent="0.25">
      <c r="A24" s="43" t="s">
        <v>260</v>
      </c>
      <c r="B24" s="43">
        <v>1800</v>
      </c>
      <c r="C24" s="43">
        <v>1900</v>
      </c>
      <c r="D24" s="43">
        <v>2000</v>
      </c>
      <c r="E24" s="43">
        <v>2100</v>
      </c>
      <c r="F24" s="43">
        <v>2200</v>
      </c>
      <c r="G24" s="43">
        <v>2300</v>
      </c>
      <c r="H24" s="43">
        <v>2400</v>
      </c>
      <c r="I24" s="43">
        <v>2500</v>
      </c>
      <c r="J24" s="43">
        <v>2600</v>
      </c>
      <c r="K24" s="43">
        <v>2700</v>
      </c>
      <c r="L24" s="43">
        <v>2800</v>
      </c>
      <c r="M24" s="43">
        <v>2900</v>
      </c>
      <c r="N24" s="43">
        <v>3000</v>
      </c>
      <c r="O24" s="43">
        <v>3100</v>
      </c>
      <c r="P24" s="43">
        <v>3200</v>
      </c>
      <c r="Q24" s="43">
        <v>3300</v>
      </c>
      <c r="R24" s="43">
        <v>3400</v>
      </c>
      <c r="S24" s="43">
        <v>3500</v>
      </c>
      <c r="T24" s="43">
        <v>3600</v>
      </c>
      <c r="U24" s="43">
        <v>3700</v>
      </c>
      <c r="V24" s="43">
        <v>3800</v>
      </c>
      <c r="W24" s="43">
        <v>3900</v>
      </c>
      <c r="X24" s="43">
        <v>4000</v>
      </c>
      <c r="Y24" s="43">
        <v>4100</v>
      </c>
    </row>
    <row r="25" spans="1:25" ht="15" customHeight="1" x14ac:dyDescent="0.25">
      <c r="A25" s="43">
        <v>750</v>
      </c>
      <c r="B25" s="45">
        <v>0.89</v>
      </c>
      <c r="C25" s="45">
        <v>0.95</v>
      </c>
      <c r="D25" s="45">
        <v>1.01</v>
      </c>
      <c r="E25" s="45">
        <v>1.06</v>
      </c>
      <c r="F25" s="45">
        <v>1.1200000000000001</v>
      </c>
      <c r="G25" s="45">
        <v>1.18</v>
      </c>
      <c r="H25" s="45">
        <v>1.23</v>
      </c>
      <c r="I25" s="45">
        <v>1.29</v>
      </c>
      <c r="J25" s="45">
        <v>1.34</v>
      </c>
      <c r="K25" s="45">
        <v>1.4</v>
      </c>
      <c r="L25" s="45">
        <v>1.46</v>
      </c>
      <c r="M25" s="45">
        <v>1.51</v>
      </c>
      <c r="N25" s="45">
        <v>1.57</v>
      </c>
      <c r="O25" s="45">
        <v>1.62</v>
      </c>
      <c r="P25" s="45">
        <v>1.68</v>
      </c>
      <c r="Q25" s="45">
        <v>1.74</v>
      </c>
      <c r="R25" s="45">
        <v>1.79</v>
      </c>
      <c r="S25" s="45">
        <v>1.85</v>
      </c>
      <c r="T25" s="45">
        <v>1.91</v>
      </c>
      <c r="U25" s="45">
        <v>1.96</v>
      </c>
      <c r="V25" s="45">
        <v>2.02</v>
      </c>
      <c r="W25" s="45">
        <v>2.0699999999999998</v>
      </c>
      <c r="X25" s="45">
        <v>2.13</v>
      </c>
      <c r="Y25" s="45">
        <v>2.19</v>
      </c>
    </row>
    <row r="26" spans="1:25" ht="15" customHeight="1" x14ac:dyDescent="0.25">
      <c r="A26" s="43">
        <v>850</v>
      </c>
      <c r="B26" s="45">
        <v>1.05</v>
      </c>
      <c r="C26" s="45">
        <v>1.1200000000000001</v>
      </c>
      <c r="D26" s="45">
        <v>1.19</v>
      </c>
      <c r="E26" s="45">
        <v>1.25</v>
      </c>
      <c r="F26" s="45">
        <v>1.32</v>
      </c>
      <c r="G26" s="45">
        <v>1.38</v>
      </c>
      <c r="H26" s="45">
        <v>1.45</v>
      </c>
      <c r="I26" s="45">
        <v>1.52</v>
      </c>
      <c r="J26" s="45">
        <v>1.58</v>
      </c>
      <c r="K26" s="45">
        <v>1.65</v>
      </c>
      <c r="L26" s="45">
        <v>1.72</v>
      </c>
      <c r="M26" s="45">
        <v>1.78</v>
      </c>
      <c r="N26" s="45">
        <v>1.85</v>
      </c>
      <c r="O26" s="45">
        <v>1.91</v>
      </c>
      <c r="P26" s="45">
        <v>1.98</v>
      </c>
      <c r="Q26" s="45">
        <v>2.0499999999999998</v>
      </c>
      <c r="R26" s="45">
        <v>2.11</v>
      </c>
      <c r="S26" s="45">
        <v>2.1800000000000002</v>
      </c>
      <c r="T26" s="45">
        <v>2.2400000000000002</v>
      </c>
      <c r="U26" s="45">
        <v>2.31</v>
      </c>
      <c r="V26" s="45">
        <v>2.38</v>
      </c>
      <c r="W26" s="45">
        <v>2.44</v>
      </c>
      <c r="X26" s="45">
        <v>2.5099999999999998</v>
      </c>
      <c r="Y26" s="45">
        <v>2.58</v>
      </c>
    </row>
    <row r="27" spans="1:25" ht="15" customHeight="1" x14ac:dyDescent="0.25">
      <c r="A27" s="43">
        <v>950</v>
      </c>
      <c r="B27" s="45">
        <v>1.21</v>
      </c>
      <c r="C27" s="45">
        <v>1.29</v>
      </c>
      <c r="D27" s="45">
        <v>1.36</v>
      </c>
      <c r="E27" s="45">
        <v>1.44</v>
      </c>
      <c r="F27" s="45">
        <v>1.52</v>
      </c>
      <c r="G27" s="45">
        <v>1.59</v>
      </c>
      <c r="H27" s="45">
        <v>1.67</v>
      </c>
      <c r="I27" s="45">
        <v>1.75</v>
      </c>
      <c r="J27" s="45">
        <v>1.82</v>
      </c>
      <c r="K27" s="45">
        <v>1.9</v>
      </c>
      <c r="L27" s="45">
        <v>1.97</v>
      </c>
      <c r="M27" s="45">
        <v>2.0499999999999998</v>
      </c>
      <c r="N27" s="45">
        <v>2.13</v>
      </c>
      <c r="O27" s="45">
        <v>2.2000000000000002</v>
      </c>
      <c r="P27" s="45">
        <v>2.2799999999999998</v>
      </c>
      <c r="Q27" s="45">
        <v>2.36</v>
      </c>
      <c r="R27" s="45">
        <v>2.4300000000000002</v>
      </c>
      <c r="S27" s="45">
        <v>2.5099999999999998</v>
      </c>
      <c r="T27" s="45">
        <v>2.58</v>
      </c>
      <c r="U27" s="45">
        <v>2.66</v>
      </c>
      <c r="V27" s="45">
        <v>2.74</v>
      </c>
      <c r="W27" s="45">
        <v>2.81</v>
      </c>
      <c r="X27" s="45">
        <v>2.89</v>
      </c>
      <c r="Y27" s="45">
        <v>2.96</v>
      </c>
    </row>
    <row r="28" spans="1:25" ht="15" customHeight="1" x14ac:dyDescent="0.25">
      <c r="A28" s="43">
        <v>1050</v>
      </c>
      <c r="B28" s="45">
        <v>1.37</v>
      </c>
      <c r="C28" s="45">
        <v>1.46</v>
      </c>
      <c r="D28" s="45">
        <v>1.54</v>
      </c>
      <c r="E28" s="45">
        <v>1.63</v>
      </c>
      <c r="F28" s="45">
        <v>1.72</v>
      </c>
      <c r="G28" s="45">
        <v>1.8</v>
      </c>
      <c r="H28" s="45">
        <v>1.89</v>
      </c>
      <c r="I28" s="45">
        <v>1.98</v>
      </c>
      <c r="J28" s="45">
        <v>2.06</v>
      </c>
      <c r="K28" s="45">
        <v>2.15</v>
      </c>
      <c r="L28" s="45">
        <v>2.23</v>
      </c>
      <c r="M28" s="45">
        <v>2.3199999999999998</v>
      </c>
      <c r="N28" s="45">
        <v>2.41</v>
      </c>
      <c r="O28" s="45">
        <v>2.4900000000000002</v>
      </c>
      <c r="P28" s="45">
        <v>2.58</v>
      </c>
      <c r="Q28" s="45">
        <v>2.66</v>
      </c>
      <c r="R28" s="45">
        <v>2.75</v>
      </c>
      <c r="S28" s="45">
        <v>2.84</v>
      </c>
      <c r="T28" s="45">
        <v>2.92</v>
      </c>
      <c r="U28" s="45">
        <v>3.01</v>
      </c>
      <c r="V28" s="45">
        <v>3.1</v>
      </c>
      <c r="W28" s="45">
        <v>3.18</v>
      </c>
      <c r="X28" s="45">
        <v>3.27</v>
      </c>
      <c r="Y28" s="45">
        <v>3.35</v>
      </c>
    </row>
    <row r="29" spans="1:25" ht="15" customHeight="1" x14ac:dyDescent="0.25">
      <c r="A29" s="43">
        <v>1150</v>
      </c>
      <c r="B29" s="45">
        <v>1.53</v>
      </c>
      <c r="C29" s="45">
        <v>1.63</v>
      </c>
      <c r="D29" s="45">
        <v>1.72</v>
      </c>
      <c r="E29" s="45">
        <v>1.82</v>
      </c>
      <c r="F29" s="45">
        <v>1.92</v>
      </c>
      <c r="G29" s="45">
        <v>2.0099999999999998</v>
      </c>
      <c r="H29" s="45">
        <v>2.11</v>
      </c>
      <c r="I29" s="45">
        <v>2.2000000000000002</v>
      </c>
      <c r="J29" s="45">
        <v>2.2999999999999998</v>
      </c>
      <c r="K29" s="45">
        <v>2.4</v>
      </c>
      <c r="L29" s="45">
        <v>2.4900000000000002</v>
      </c>
      <c r="M29" s="45">
        <v>2.59</v>
      </c>
      <c r="N29" s="45">
        <v>2.69</v>
      </c>
      <c r="O29" s="45">
        <v>2.78</v>
      </c>
      <c r="P29" s="45">
        <v>2.88</v>
      </c>
      <c r="Q29" s="45">
        <v>2.97</v>
      </c>
      <c r="R29" s="45">
        <v>3.07</v>
      </c>
      <c r="S29" s="45">
        <v>3.17</v>
      </c>
      <c r="T29" s="45">
        <v>3.26</v>
      </c>
      <c r="U29" s="45">
        <v>3.36</v>
      </c>
      <c r="V29" s="45">
        <v>3.45</v>
      </c>
      <c r="W29" s="45">
        <v>3.55</v>
      </c>
      <c r="X29" s="45">
        <v>3.65</v>
      </c>
      <c r="Y29" s="45">
        <v>3.74</v>
      </c>
    </row>
    <row r="30" spans="1:25" ht="15" customHeight="1" x14ac:dyDescent="0.25">
      <c r="A30" s="43">
        <v>1250</v>
      </c>
      <c r="B30" s="45">
        <v>1.69</v>
      </c>
      <c r="C30" s="45">
        <v>1.8</v>
      </c>
      <c r="D30" s="45">
        <v>1.9</v>
      </c>
      <c r="E30" s="45">
        <v>2.0099999999999998</v>
      </c>
      <c r="F30" s="45">
        <v>2.11</v>
      </c>
      <c r="G30" s="45">
        <v>2.2200000000000002</v>
      </c>
      <c r="H30" s="45">
        <v>2.33</v>
      </c>
      <c r="I30" s="45">
        <v>2.4300000000000002</v>
      </c>
      <c r="J30" s="45">
        <v>2.54</v>
      </c>
      <c r="K30" s="45">
        <v>2.65</v>
      </c>
      <c r="L30" s="45">
        <v>2.75</v>
      </c>
      <c r="M30" s="45">
        <v>2.86</v>
      </c>
      <c r="N30" s="45">
        <v>2.96</v>
      </c>
      <c r="O30" s="45">
        <v>3.07</v>
      </c>
      <c r="P30" s="45">
        <v>3.18</v>
      </c>
      <c r="Q30" s="45">
        <v>3.28</v>
      </c>
      <c r="R30" s="45">
        <v>3.39</v>
      </c>
      <c r="S30" s="45">
        <v>3.5</v>
      </c>
      <c r="T30" s="45">
        <v>3.6</v>
      </c>
      <c r="U30" s="45">
        <v>3.71</v>
      </c>
      <c r="V30" s="45">
        <v>3.81</v>
      </c>
      <c r="W30" s="45">
        <v>3.92</v>
      </c>
      <c r="X30" s="45">
        <v>4.03</v>
      </c>
      <c r="Y30" s="45">
        <v>4.13</v>
      </c>
    </row>
    <row r="31" spans="1:25" ht="15" customHeight="1" x14ac:dyDescent="0.25">
      <c r="A31" s="43">
        <v>1350</v>
      </c>
      <c r="B31" s="45">
        <v>1.85</v>
      </c>
      <c r="C31" s="45">
        <v>1.97</v>
      </c>
      <c r="D31" s="45">
        <v>2.08</v>
      </c>
      <c r="E31" s="45">
        <v>2.2000000000000002</v>
      </c>
      <c r="F31" s="45">
        <v>2.31</v>
      </c>
      <c r="G31" s="45">
        <v>2.4300000000000002</v>
      </c>
      <c r="H31" s="45">
        <v>2.5499999999999998</v>
      </c>
      <c r="I31" s="45">
        <v>2.66</v>
      </c>
      <c r="J31" s="45">
        <v>2.78</v>
      </c>
      <c r="K31" s="45">
        <v>2.89</v>
      </c>
      <c r="L31" s="45">
        <v>3.01</v>
      </c>
      <c r="M31" s="45">
        <v>3.13</v>
      </c>
      <c r="N31" s="45">
        <v>3.24</v>
      </c>
      <c r="O31" s="45">
        <v>3.36</v>
      </c>
      <c r="P31" s="45">
        <v>3.48</v>
      </c>
      <c r="Q31" s="45">
        <v>3.59</v>
      </c>
      <c r="R31" s="45">
        <v>3.71</v>
      </c>
      <c r="S31" s="45">
        <v>3.82</v>
      </c>
      <c r="T31" s="45">
        <v>3.94</v>
      </c>
      <c r="U31" s="45">
        <v>4.0599999999999996</v>
      </c>
      <c r="V31" s="45">
        <v>4.17</v>
      </c>
      <c r="W31" s="45">
        <v>4.29</v>
      </c>
      <c r="X31" s="45">
        <v>4.41</v>
      </c>
      <c r="Y31" s="45">
        <v>4.5199999999999996</v>
      </c>
    </row>
    <row r="32" spans="1:25" ht="15" customHeight="1" x14ac:dyDescent="0.25">
      <c r="A32" s="43">
        <v>1450</v>
      </c>
      <c r="B32" s="45">
        <v>2.0099999999999998</v>
      </c>
      <c r="C32" s="45">
        <v>2.13</v>
      </c>
      <c r="D32" s="45">
        <v>2.2599999999999998</v>
      </c>
      <c r="E32" s="45">
        <v>2.39</v>
      </c>
      <c r="F32" s="45">
        <v>2.5099999999999998</v>
      </c>
      <c r="G32" s="45">
        <v>2.64</v>
      </c>
      <c r="H32" s="45">
        <v>2.77</v>
      </c>
      <c r="I32" s="45">
        <v>2.89</v>
      </c>
      <c r="J32" s="45">
        <v>3.02</v>
      </c>
      <c r="K32" s="45">
        <v>3.14</v>
      </c>
      <c r="L32" s="45">
        <v>3.27</v>
      </c>
      <c r="M32" s="45">
        <v>3.4</v>
      </c>
      <c r="N32" s="45">
        <v>3.52</v>
      </c>
      <c r="O32" s="45">
        <v>3.65</v>
      </c>
      <c r="P32" s="45">
        <v>3.78</v>
      </c>
      <c r="Q32" s="45">
        <v>3.9</v>
      </c>
      <c r="R32" s="45">
        <v>4.03</v>
      </c>
      <c r="S32" s="45">
        <v>4.1500000000000004</v>
      </c>
      <c r="T32" s="45">
        <v>4.28</v>
      </c>
      <c r="U32" s="45">
        <v>4.41</v>
      </c>
      <c r="V32" s="45">
        <v>4.53</v>
      </c>
      <c r="W32" s="45">
        <v>4.66</v>
      </c>
      <c r="X32" s="45">
        <v>4.78</v>
      </c>
      <c r="Y32" s="45">
        <v>4.91</v>
      </c>
    </row>
    <row r="33" spans="1:25" ht="15" customHeight="1" x14ac:dyDescent="0.25">
      <c r="A33" s="43">
        <v>1550</v>
      </c>
      <c r="B33" s="45">
        <v>2.17</v>
      </c>
      <c r="C33" s="45">
        <v>2.2999999999999998</v>
      </c>
      <c r="D33" s="45">
        <v>2.44</v>
      </c>
      <c r="E33" s="45">
        <v>2.58</v>
      </c>
      <c r="F33" s="45">
        <v>2.71</v>
      </c>
      <c r="G33" s="45">
        <v>2.85</v>
      </c>
      <c r="H33" s="45">
        <v>2.98</v>
      </c>
      <c r="I33" s="45">
        <v>3.12</v>
      </c>
      <c r="J33" s="45">
        <v>3.26</v>
      </c>
      <c r="K33" s="45">
        <v>3.39</v>
      </c>
      <c r="L33" s="45">
        <v>3.53</v>
      </c>
      <c r="M33" s="45">
        <v>3.67</v>
      </c>
      <c r="N33" s="45">
        <v>3.8</v>
      </c>
      <c r="O33" s="45">
        <v>3.94</v>
      </c>
      <c r="P33" s="45">
        <v>4.07</v>
      </c>
      <c r="Q33" s="45">
        <v>4.21</v>
      </c>
      <c r="R33" s="45">
        <v>4.3499999999999996</v>
      </c>
      <c r="S33" s="45">
        <v>4.4800000000000004</v>
      </c>
      <c r="T33" s="45">
        <v>4.62</v>
      </c>
      <c r="U33" s="45">
        <v>4.76</v>
      </c>
      <c r="V33" s="45">
        <v>4.8899999999999997</v>
      </c>
      <c r="W33" s="45">
        <v>5.03</v>
      </c>
      <c r="X33" s="45">
        <v>5.16</v>
      </c>
      <c r="Y33" s="45">
        <v>5.3</v>
      </c>
    </row>
    <row r="34" spans="1:25" ht="15" customHeight="1" x14ac:dyDescent="0.25">
      <c r="A34" s="43">
        <v>1650</v>
      </c>
      <c r="B34" s="45">
        <v>2.33</v>
      </c>
      <c r="C34" s="45">
        <v>2.4700000000000002</v>
      </c>
      <c r="D34" s="45">
        <v>2.62</v>
      </c>
      <c r="E34" s="45">
        <v>2.77</v>
      </c>
      <c r="F34" s="45">
        <v>2.91</v>
      </c>
      <c r="G34" s="45">
        <v>3.06</v>
      </c>
      <c r="H34" s="45">
        <v>3.2</v>
      </c>
      <c r="I34" s="45">
        <v>3.35</v>
      </c>
      <c r="J34" s="45">
        <v>3.5</v>
      </c>
      <c r="K34" s="45">
        <v>3.64</v>
      </c>
      <c r="L34" s="45">
        <v>3.79</v>
      </c>
      <c r="M34" s="45">
        <v>3.93</v>
      </c>
      <c r="N34" s="45">
        <v>4.08</v>
      </c>
      <c r="O34" s="45">
        <v>4.2300000000000004</v>
      </c>
      <c r="P34" s="45">
        <v>4.37</v>
      </c>
      <c r="Q34" s="45">
        <v>4.5199999999999996</v>
      </c>
      <c r="R34" s="45">
        <v>4.67</v>
      </c>
      <c r="S34" s="45">
        <v>4.8099999999999996</v>
      </c>
      <c r="T34" s="45">
        <v>4.96</v>
      </c>
      <c r="U34" s="45">
        <v>5.0999999999999996</v>
      </c>
      <c r="V34" s="45">
        <v>5.25</v>
      </c>
      <c r="W34" s="45">
        <v>5.4</v>
      </c>
      <c r="X34" s="45">
        <v>5.54</v>
      </c>
      <c r="Y34" s="45">
        <v>5.69</v>
      </c>
    </row>
    <row r="35" spans="1:25" ht="15" customHeight="1" x14ac:dyDescent="0.25">
      <c r="A35" s="43">
        <v>1750</v>
      </c>
      <c r="B35" s="45">
        <v>2.4900000000000002</v>
      </c>
      <c r="C35" s="45">
        <v>2.64</v>
      </c>
      <c r="D35" s="45">
        <v>2.8</v>
      </c>
      <c r="E35" s="45">
        <v>2.95</v>
      </c>
      <c r="F35" s="45">
        <v>3.11</v>
      </c>
      <c r="G35" s="45">
        <v>3.27</v>
      </c>
      <c r="H35" s="45">
        <v>3.42</v>
      </c>
      <c r="I35" s="45">
        <v>3.58</v>
      </c>
      <c r="J35" s="45">
        <v>3.74</v>
      </c>
      <c r="K35" s="45">
        <v>3.89</v>
      </c>
      <c r="L35" s="45">
        <v>4.05</v>
      </c>
      <c r="M35" s="45">
        <v>4.2</v>
      </c>
      <c r="N35" s="45">
        <v>4.3600000000000003</v>
      </c>
      <c r="O35" s="45">
        <v>4.5199999999999996</v>
      </c>
      <c r="P35" s="45">
        <v>4.67</v>
      </c>
      <c r="Q35" s="45">
        <v>4.83</v>
      </c>
      <c r="R35" s="45">
        <v>4.9800000000000004</v>
      </c>
      <c r="S35" s="45">
        <v>5.14</v>
      </c>
      <c r="T35" s="45">
        <v>5.3</v>
      </c>
      <c r="U35" s="45">
        <v>5.45</v>
      </c>
      <c r="V35" s="45">
        <v>5.61</v>
      </c>
      <c r="W35" s="45">
        <v>5.77</v>
      </c>
      <c r="X35" s="45">
        <v>5.92</v>
      </c>
      <c r="Y35" s="45">
        <v>6.08</v>
      </c>
    </row>
    <row r="36" spans="1:25" ht="15" customHeight="1" x14ac:dyDescent="0.25">
      <c r="A36" s="43">
        <v>1850</v>
      </c>
      <c r="B36" s="45">
        <v>2.65</v>
      </c>
      <c r="C36" s="45">
        <v>2.81</v>
      </c>
      <c r="D36" s="45">
        <v>2.98</v>
      </c>
      <c r="E36" s="45">
        <v>3.14</v>
      </c>
      <c r="F36" s="45">
        <v>3.31</v>
      </c>
      <c r="G36" s="45">
        <v>3.48</v>
      </c>
      <c r="H36" s="45">
        <v>3.64</v>
      </c>
      <c r="I36" s="45">
        <v>3.81</v>
      </c>
      <c r="J36" s="45">
        <v>3.97</v>
      </c>
      <c r="K36" s="45">
        <v>4.1399999999999997</v>
      </c>
      <c r="L36" s="45">
        <v>4.3099999999999996</v>
      </c>
      <c r="M36" s="45">
        <v>4.47</v>
      </c>
      <c r="N36" s="45">
        <v>4.6399999999999997</v>
      </c>
      <c r="O36" s="45">
        <v>4.8099999999999996</v>
      </c>
      <c r="P36" s="45">
        <v>4.97</v>
      </c>
      <c r="Q36" s="45">
        <v>5.14</v>
      </c>
      <c r="R36" s="45">
        <v>5.3</v>
      </c>
      <c r="S36" s="45">
        <v>5.47</v>
      </c>
      <c r="T36" s="45">
        <v>5.64</v>
      </c>
      <c r="U36" s="45">
        <v>5.8</v>
      </c>
      <c r="V36" s="45">
        <v>5.97</v>
      </c>
      <c r="W36" s="45">
        <v>6.14</v>
      </c>
      <c r="X36" s="45">
        <v>6.3</v>
      </c>
      <c r="Y36" s="45">
        <v>6.47</v>
      </c>
    </row>
    <row r="37" spans="1:25" ht="15" customHeight="1" x14ac:dyDescent="0.25">
      <c r="A37" s="43">
        <v>1950</v>
      </c>
      <c r="B37" s="45">
        <v>2.8</v>
      </c>
      <c r="C37" s="45">
        <v>2.98</v>
      </c>
      <c r="D37" s="45">
        <v>3.16</v>
      </c>
      <c r="E37" s="45">
        <v>3.34</v>
      </c>
      <c r="F37" s="45">
        <v>3.51</v>
      </c>
      <c r="G37" s="45">
        <v>3.69</v>
      </c>
      <c r="H37" s="45">
        <v>3.86</v>
      </c>
      <c r="I37" s="45">
        <v>4.04</v>
      </c>
      <c r="J37" s="45">
        <v>4.21</v>
      </c>
      <c r="K37" s="45">
        <v>4.3899999999999997</v>
      </c>
      <c r="L37" s="45">
        <v>4.57</v>
      </c>
      <c r="M37" s="45">
        <v>4.74</v>
      </c>
      <c r="N37" s="45">
        <v>4.92</v>
      </c>
      <c r="O37" s="45">
        <v>5.09</v>
      </c>
      <c r="P37" s="45">
        <v>5.27</v>
      </c>
      <c r="Q37" s="45">
        <v>5.45</v>
      </c>
      <c r="R37" s="45">
        <v>5.62</v>
      </c>
      <c r="S37" s="45">
        <v>5.8</v>
      </c>
      <c r="T37" s="45">
        <v>5.98</v>
      </c>
      <c r="U37" s="45">
        <v>6.15</v>
      </c>
      <c r="V37" s="45">
        <v>6.33</v>
      </c>
      <c r="W37" s="45">
        <v>6.5</v>
      </c>
      <c r="X37" s="45">
        <v>6.68</v>
      </c>
      <c r="Y37" s="45">
        <v>6.86</v>
      </c>
    </row>
    <row r="38" spans="1:25" ht="15" customHeight="1" x14ac:dyDescent="0.25">
      <c r="A38" s="43">
        <v>2050</v>
      </c>
      <c r="B38" s="45">
        <v>2.96</v>
      </c>
      <c r="C38" s="45">
        <v>3.15</v>
      </c>
      <c r="D38" s="45">
        <v>3.34</v>
      </c>
      <c r="E38" s="45">
        <v>3.52</v>
      </c>
      <c r="F38" s="45">
        <v>3.71</v>
      </c>
      <c r="G38" s="45">
        <v>3.89</v>
      </c>
      <c r="H38" s="45">
        <v>4.08</v>
      </c>
      <c r="I38" s="45">
        <v>4.2699999999999996</v>
      </c>
      <c r="J38" s="45">
        <v>4.45</v>
      </c>
      <c r="K38" s="45">
        <v>4.6399999999999997</v>
      </c>
      <c r="L38" s="45">
        <v>4.83</v>
      </c>
      <c r="M38" s="45">
        <v>5.01</v>
      </c>
      <c r="N38" s="45">
        <v>5.2</v>
      </c>
      <c r="O38" s="45">
        <v>5.38</v>
      </c>
      <c r="P38" s="45">
        <v>5.57</v>
      </c>
      <c r="Q38" s="45">
        <v>5.76</v>
      </c>
      <c r="R38" s="45">
        <v>5.94</v>
      </c>
      <c r="S38" s="45">
        <v>6.13</v>
      </c>
      <c r="T38" s="45">
        <v>6.31</v>
      </c>
      <c r="U38" s="45">
        <v>6.5</v>
      </c>
      <c r="V38" s="45">
        <v>6.69</v>
      </c>
      <c r="W38" s="45">
        <v>6.87</v>
      </c>
      <c r="X38" s="45">
        <v>7.06</v>
      </c>
      <c r="Y38" s="45">
        <v>7.25</v>
      </c>
    </row>
    <row r="39" spans="1:25" ht="15" customHeight="1" x14ac:dyDescent="0.25">
      <c r="A39" s="43">
        <v>2150</v>
      </c>
      <c r="B39" s="45">
        <v>3.12</v>
      </c>
      <c r="C39" s="45">
        <v>3.32</v>
      </c>
      <c r="D39" s="45">
        <v>3.52</v>
      </c>
      <c r="E39" s="45">
        <v>3.71</v>
      </c>
      <c r="F39" s="45">
        <v>3.91</v>
      </c>
      <c r="G39" s="45">
        <v>4.0999999999999996</v>
      </c>
      <c r="H39" s="45">
        <v>4.3</v>
      </c>
      <c r="I39" s="45">
        <v>4.5</v>
      </c>
      <c r="J39" s="45">
        <v>4.6900000000000004</v>
      </c>
      <c r="K39" s="45">
        <v>4.8899999999999997</v>
      </c>
      <c r="L39" s="45">
        <v>5.08</v>
      </c>
      <c r="M39" s="45">
        <v>5.28</v>
      </c>
      <c r="N39" s="45">
        <v>5.48</v>
      </c>
      <c r="O39" s="45">
        <v>5.67</v>
      </c>
      <c r="P39" s="45">
        <v>5.87</v>
      </c>
      <c r="Q39" s="45">
        <v>6.07</v>
      </c>
      <c r="R39" s="45">
        <v>6.26</v>
      </c>
      <c r="S39" s="45">
        <v>6.46</v>
      </c>
      <c r="T39" s="45">
        <v>6.65</v>
      </c>
      <c r="U39" s="45">
        <v>6.85</v>
      </c>
      <c r="V39" s="45">
        <v>7.04</v>
      </c>
      <c r="W39" s="45">
        <v>7.24</v>
      </c>
      <c r="X39" s="45">
        <v>7.44</v>
      </c>
      <c r="Y39" s="45">
        <v>7.63</v>
      </c>
    </row>
    <row r="40" spans="1:25" ht="15" customHeight="1" x14ac:dyDescent="0.25">
      <c r="A40" s="43">
        <v>2250</v>
      </c>
      <c r="B40" s="45">
        <v>3.28</v>
      </c>
      <c r="C40" s="45">
        <v>3.49</v>
      </c>
      <c r="D40" s="45">
        <v>3.69</v>
      </c>
      <c r="E40" s="45">
        <v>3.9</v>
      </c>
      <c r="F40" s="45">
        <v>4.1100000000000003</v>
      </c>
      <c r="G40" s="45">
        <v>4.3099999999999996</v>
      </c>
      <c r="H40" s="45">
        <v>4.5199999999999996</v>
      </c>
      <c r="I40" s="45">
        <v>4.7300000000000004</v>
      </c>
      <c r="J40" s="45">
        <v>4.93</v>
      </c>
      <c r="K40" s="45">
        <v>5.14</v>
      </c>
      <c r="L40" s="45">
        <v>5.34</v>
      </c>
      <c r="M40" s="45">
        <v>5.55</v>
      </c>
      <c r="N40" s="45">
        <v>5.76</v>
      </c>
      <c r="O40" s="45">
        <v>5.96</v>
      </c>
      <c r="P40" s="45">
        <v>6.17</v>
      </c>
      <c r="Q40" s="45">
        <v>6.37</v>
      </c>
      <c r="R40" s="45">
        <v>6.58</v>
      </c>
      <c r="S40" s="45">
        <v>6.79</v>
      </c>
      <c r="T40" s="45">
        <v>6.99</v>
      </c>
      <c r="U40" s="45">
        <v>7.2</v>
      </c>
      <c r="V40" s="45">
        <v>7.41</v>
      </c>
      <c r="W40" s="45">
        <v>7.61</v>
      </c>
      <c r="X40" s="45">
        <v>7.82</v>
      </c>
      <c r="Y40" s="45">
        <v>8.02</v>
      </c>
    </row>
    <row r="41" spans="1:25" ht="15" customHeight="1" x14ac:dyDescent="0.25">
      <c r="A41" s="43">
        <v>2350</v>
      </c>
      <c r="B41" s="45">
        <v>3.44</v>
      </c>
      <c r="C41" s="45">
        <v>3.66</v>
      </c>
      <c r="D41" s="45">
        <v>3.87</v>
      </c>
      <c r="E41" s="45">
        <v>4.09</v>
      </c>
      <c r="F41" s="45">
        <v>4.3099999999999996</v>
      </c>
      <c r="G41" s="45">
        <v>4.5199999999999996</v>
      </c>
      <c r="H41" s="45">
        <v>4.74</v>
      </c>
      <c r="I41" s="45">
        <v>4.95</v>
      </c>
      <c r="J41" s="45">
        <v>5.17</v>
      </c>
      <c r="K41" s="45">
        <v>5.39</v>
      </c>
      <c r="L41" s="45">
        <v>5.6</v>
      </c>
      <c r="M41" s="45">
        <v>5.82</v>
      </c>
      <c r="N41" s="45">
        <v>6.04</v>
      </c>
      <c r="O41" s="45">
        <v>6.25</v>
      </c>
      <c r="P41" s="45">
        <v>6.47</v>
      </c>
      <c r="Q41" s="45">
        <v>6.68</v>
      </c>
      <c r="R41" s="45">
        <v>6.9</v>
      </c>
      <c r="S41" s="45">
        <v>7.12</v>
      </c>
      <c r="T41" s="45">
        <v>7.33</v>
      </c>
      <c r="U41" s="45">
        <v>7.55</v>
      </c>
      <c r="V41" s="45">
        <v>7.76</v>
      </c>
      <c r="W41" s="45">
        <v>7.98</v>
      </c>
      <c r="X41" s="45">
        <v>8.1999999999999993</v>
      </c>
      <c r="Y41" s="45">
        <v>8.41</v>
      </c>
    </row>
    <row r="43" spans="1:25" ht="15" customHeight="1" x14ac:dyDescent="0.25">
      <c r="A43" s="46" t="s">
        <v>243</v>
      </c>
      <c r="B43" s="47">
        <v>558</v>
      </c>
      <c r="C43" s="47">
        <v>566</v>
      </c>
      <c r="D43" s="47">
        <v>572</v>
      </c>
      <c r="E43" s="47">
        <v>580</v>
      </c>
      <c r="F43" s="47">
        <v>587</v>
      </c>
      <c r="G43" s="47">
        <v>593</v>
      </c>
      <c r="H43" s="47">
        <v>609</v>
      </c>
      <c r="I43" s="47">
        <v>615</v>
      </c>
      <c r="J43" s="47">
        <v>622</v>
      </c>
      <c r="K43" s="47">
        <v>629</v>
      </c>
      <c r="L43" s="47">
        <v>636</v>
      </c>
      <c r="M43" s="47">
        <v>641</v>
      </c>
      <c r="N43" s="47">
        <v>649</v>
      </c>
      <c r="O43" s="47">
        <v>656</v>
      </c>
      <c r="P43" s="47">
        <v>663</v>
      </c>
      <c r="Q43" s="47">
        <v>672</v>
      </c>
      <c r="R43" s="47">
        <v>679</v>
      </c>
      <c r="S43" s="47">
        <v>684</v>
      </c>
      <c r="T43" s="47">
        <v>697</v>
      </c>
      <c r="U43" s="47">
        <v>705</v>
      </c>
      <c r="V43" s="47">
        <v>715</v>
      </c>
      <c r="W43" s="47">
        <v>720</v>
      </c>
      <c r="X43" s="47">
        <v>726</v>
      </c>
      <c r="Y43" s="47">
        <v>735</v>
      </c>
    </row>
    <row r="45" spans="1:25" ht="15" customHeight="1" x14ac:dyDescent="0.25">
      <c r="A45" s="121" t="s">
        <v>262</v>
      </c>
      <c r="B45" s="93"/>
      <c r="C45" s="93"/>
      <c r="D45" s="93"/>
      <c r="E45" s="93"/>
      <c r="F45" s="93"/>
      <c r="G45" s="93"/>
      <c r="H45" s="93"/>
      <c r="I45" s="93"/>
      <c r="J45" s="93"/>
      <c r="K45" s="93"/>
      <c r="L45" s="93"/>
      <c r="M45" s="93"/>
      <c r="N45" s="93"/>
      <c r="O45" s="93"/>
      <c r="P45" s="93"/>
      <c r="Q45" s="93"/>
      <c r="R45" s="93"/>
      <c r="S45" s="93"/>
      <c r="T45" s="93"/>
      <c r="U45" s="93"/>
      <c r="V45" s="93"/>
      <c r="W45" s="93"/>
      <c r="X45" s="93"/>
      <c r="Y45" s="93"/>
    </row>
    <row r="46" spans="1:25" ht="15" customHeight="1" x14ac:dyDescent="0.25">
      <c r="A46" s="48" t="s">
        <v>263</v>
      </c>
      <c r="B46" s="49">
        <f>Paramètres!$B$2</f>
        <v>0.51500000000000001</v>
      </c>
    </row>
    <row r="47" spans="1:25" ht="15" customHeight="1" x14ac:dyDescent="0.25">
      <c r="A47" s="43" t="s">
        <v>260</v>
      </c>
      <c r="B47" s="43">
        <v>1800</v>
      </c>
      <c r="C47" s="43">
        <v>1900</v>
      </c>
      <c r="D47" s="43">
        <v>2000</v>
      </c>
      <c r="E47" s="43">
        <v>2100</v>
      </c>
      <c r="F47" s="43">
        <v>2200</v>
      </c>
      <c r="G47" s="43">
        <v>2300</v>
      </c>
      <c r="H47" s="43">
        <v>2400</v>
      </c>
      <c r="I47" s="43">
        <v>2500</v>
      </c>
      <c r="J47" s="43">
        <v>2600</v>
      </c>
      <c r="K47" s="43">
        <v>2700</v>
      </c>
      <c r="L47" s="43">
        <v>2800</v>
      </c>
      <c r="M47" s="43">
        <v>2900</v>
      </c>
      <c r="N47" s="43">
        <v>3000</v>
      </c>
      <c r="O47" s="43">
        <v>3100</v>
      </c>
      <c r="P47" s="43">
        <v>3200</v>
      </c>
      <c r="Q47" s="43">
        <v>3300</v>
      </c>
      <c r="R47" s="43">
        <v>3400</v>
      </c>
      <c r="S47" s="43">
        <v>3500</v>
      </c>
      <c r="T47" s="43">
        <v>3600</v>
      </c>
      <c r="U47" s="43">
        <v>3700</v>
      </c>
      <c r="V47" s="43">
        <v>3800</v>
      </c>
      <c r="W47" s="43">
        <v>3900</v>
      </c>
      <c r="X47" s="43">
        <v>4000</v>
      </c>
      <c r="Y47" s="43">
        <v>4100</v>
      </c>
    </row>
    <row r="48" spans="1:25" ht="15" customHeight="1" x14ac:dyDescent="0.25">
      <c r="A48" s="43">
        <v>750</v>
      </c>
      <c r="B48" s="44">
        <f>B5*(1-Paramètres!$B$2)</f>
        <v>1746.97</v>
      </c>
      <c r="C48" s="44">
        <f>C5*(1-Paramètres!$B$2)</f>
        <v>1787.71</v>
      </c>
      <c r="D48" s="44">
        <f>D5*(1-Paramètres!$B$2)</f>
        <v>1828.45</v>
      </c>
      <c r="E48" s="44">
        <f>E5*(1-Paramètres!$B$2)</f>
        <v>1869.675</v>
      </c>
      <c r="F48" s="44">
        <f>F5*(1-Paramètres!$B$2)</f>
        <v>1910.415</v>
      </c>
      <c r="G48" s="44">
        <f>G5*(1-Paramètres!$B$2)</f>
        <v>1951.6399999999999</v>
      </c>
      <c r="H48" s="44">
        <f>H5*(1-Paramètres!$B$2)</f>
        <v>1979.77</v>
      </c>
      <c r="I48" s="44">
        <f>I5*(1-Paramètres!$B$2)</f>
        <v>2035.06</v>
      </c>
      <c r="J48" s="44">
        <f>J5*(1-Paramètres!$B$2)</f>
        <v>2055.4299999999998</v>
      </c>
      <c r="K48" s="44">
        <f>K5*(1-Paramètres!$B$2)</f>
        <v>2069.98</v>
      </c>
      <c r="L48" s="44">
        <f>L5*(1-Paramètres!$B$2)</f>
        <v>2098.5949999999998</v>
      </c>
      <c r="M48" s="44">
        <f>M5*(1-Paramètres!$B$2)</f>
        <v>2140.3049999999998</v>
      </c>
      <c r="N48" s="44">
        <f>N5*(1-Paramètres!$B$2)</f>
        <v>2168.4349999999999</v>
      </c>
      <c r="O48" s="44">
        <f>O5*(1-Paramètres!$B$2)</f>
        <v>2199.96</v>
      </c>
      <c r="P48" s="44">
        <f>P5*(1-Paramètres!$B$2)</f>
        <v>2245.5499999999997</v>
      </c>
      <c r="Q48" s="44">
        <f>Q5*(1-Paramètres!$B$2)</f>
        <v>2258.645</v>
      </c>
      <c r="R48" s="44">
        <f>R5*(1-Paramètres!$B$2)</f>
        <v>2285.8049999999998</v>
      </c>
      <c r="S48" s="44">
        <f>S5*(1-Paramètres!$B$2)</f>
        <v>2328.4850000000001</v>
      </c>
      <c r="T48" s="44">
        <f>T5*(1-Paramètres!$B$2)</f>
        <v>2356.6149999999998</v>
      </c>
      <c r="U48" s="44">
        <f>U5*(1-Paramètres!$B$2)</f>
        <v>2411.9049999999997</v>
      </c>
      <c r="V48" s="44">
        <f>V5*(1-Paramètres!$B$2)</f>
        <v>2432.2750000000001</v>
      </c>
      <c r="W48" s="44">
        <f>W5*(1-Paramètres!$B$2)</f>
        <v>2447.31</v>
      </c>
      <c r="X48" s="44">
        <f>X5*(1-Paramètres!$B$2)</f>
        <v>2473.9850000000001</v>
      </c>
      <c r="Y48" s="44">
        <f>Y5*(1-Paramètres!$B$2)</f>
        <v>2538.0050000000001</v>
      </c>
    </row>
    <row r="49" spans="1:25" ht="15" customHeight="1" x14ac:dyDescent="0.25">
      <c r="A49" s="43">
        <v>850</v>
      </c>
      <c r="B49" s="44">
        <f>B6*(1-Paramètres!$B$2)</f>
        <v>1837.665</v>
      </c>
      <c r="C49" s="44">
        <f>C6*(1-Paramètres!$B$2)</f>
        <v>1878.405</v>
      </c>
      <c r="D49" s="44">
        <f>D6*(1-Paramètres!$B$2)</f>
        <v>1918.6599999999999</v>
      </c>
      <c r="E49" s="44">
        <f>E6*(1-Paramètres!$B$2)</f>
        <v>1960.37</v>
      </c>
      <c r="F49" s="44">
        <f>F6*(1-Paramètres!$B$2)</f>
        <v>1999.655</v>
      </c>
      <c r="G49" s="44">
        <f>G6*(1-Paramètres!$B$2)</f>
        <v>2044.2749999999999</v>
      </c>
      <c r="H49" s="44">
        <f>H6*(1-Paramètres!$B$2)</f>
        <v>2072.4049999999997</v>
      </c>
      <c r="I49" s="44">
        <f>I6*(1-Paramètres!$B$2)</f>
        <v>2129.15</v>
      </c>
      <c r="J49" s="44">
        <f>J6*(1-Paramètres!$B$2)</f>
        <v>2150.9749999999999</v>
      </c>
      <c r="K49" s="44">
        <f>K6*(1-Paramètres!$B$2)</f>
        <v>2166.4949999999999</v>
      </c>
      <c r="L49" s="44">
        <f>L6*(1-Paramètres!$B$2)</f>
        <v>2195.5949999999998</v>
      </c>
      <c r="M49" s="44">
        <f>M6*(1-Paramètres!$B$2)</f>
        <v>2237.79</v>
      </c>
      <c r="N49" s="44">
        <f>N6*(1-Paramètres!$B$2)</f>
        <v>2265.4349999999999</v>
      </c>
      <c r="O49" s="44">
        <f>O6*(1-Paramètres!$B$2)</f>
        <v>2324.12</v>
      </c>
      <c r="P49" s="44">
        <f>P6*(1-Paramètres!$B$2)</f>
        <v>2345.46</v>
      </c>
      <c r="Q49" s="44">
        <f>Q6*(1-Paramètres!$B$2)</f>
        <v>2360.4949999999999</v>
      </c>
      <c r="R49" s="44">
        <f>R6*(1-Paramètres!$B$2)</f>
        <v>2390.5650000000001</v>
      </c>
      <c r="S49" s="44">
        <f>S6*(1-Paramètres!$B$2)</f>
        <v>2431.79</v>
      </c>
      <c r="T49" s="44">
        <f>T6*(1-Paramètres!$B$2)</f>
        <v>2461.86</v>
      </c>
      <c r="U49" s="44">
        <f>U6*(1-Paramètres!$B$2)</f>
        <v>2519.09</v>
      </c>
      <c r="V49" s="44">
        <f>V6*(1-Paramètres!$B$2)</f>
        <v>2540.4299999999998</v>
      </c>
      <c r="W49" s="44">
        <f>W6*(1-Paramètres!$B$2)</f>
        <v>2554.4949999999999</v>
      </c>
      <c r="X49" s="44">
        <f>X6*(1-Paramètres!$B$2)</f>
        <v>2583.11</v>
      </c>
      <c r="Y49" s="44">
        <f>Y6*(1-Paramètres!$B$2)</f>
        <v>2648.1</v>
      </c>
    </row>
    <row r="50" spans="1:25" ht="15" customHeight="1" x14ac:dyDescent="0.25">
      <c r="A50" s="43">
        <v>950</v>
      </c>
      <c r="B50" s="44">
        <f>B7*(1-Paramètres!$B$2)</f>
        <v>1927.875</v>
      </c>
      <c r="C50" s="44">
        <f>C7*(1-Paramètres!$B$2)</f>
        <v>1968.1299999999999</v>
      </c>
      <c r="D50" s="44">
        <f>D7*(1-Paramètres!$B$2)</f>
        <v>2008.87</v>
      </c>
      <c r="E50" s="44">
        <f>E7*(1-Paramètres!$B$2)</f>
        <v>2049.125</v>
      </c>
      <c r="F50" s="44">
        <f>F7*(1-Paramètres!$B$2)</f>
        <v>2089.8649999999998</v>
      </c>
      <c r="G50" s="44">
        <f>G7*(1-Paramètres!$B$2)</f>
        <v>2134</v>
      </c>
      <c r="H50" s="44">
        <f>H7*(1-Paramètres!$B$2)</f>
        <v>2165.04</v>
      </c>
      <c r="I50" s="44">
        <f>I7*(1-Paramètres!$B$2)</f>
        <v>2219.36</v>
      </c>
      <c r="J50" s="44">
        <f>J7*(1-Paramètres!$B$2)</f>
        <v>2246.0349999999999</v>
      </c>
      <c r="K50" s="44">
        <f>K7*(1-Paramètres!$B$2)</f>
        <v>2260.585</v>
      </c>
      <c r="L50" s="44">
        <f>L7*(1-Paramètres!$B$2)</f>
        <v>2290.17</v>
      </c>
      <c r="M50" s="44">
        <f>M7*(1-Paramètres!$B$2)</f>
        <v>2335.2750000000001</v>
      </c>
      <c r="N50" s="44">
        <f>N7*(1-Paramètres!$B$2)</f>
        <v>2365.3449999999998</v>
      </c>
      <c r="O50" s="44">
        <f>O7*(1-Paramètres!$B$2)</f>
        <v>2425</v>
      </c>
      <c r="P50" s="44">
        <f>P7*(1-Paramètres!$B$2)</f>
        <v>2447.31</v>
      </c>
      <c r="Q50" s="44">
        <f>Q7*(1-Paramètres!$B$2)</f>
        <v>2462.3449999999998</v>
      </c>
      <c r="R50" s="44">
        <f>R7*(1-Paramètres!$B$2)</f>
        <v>2491.4449999999997</v>
      </c>
      <c r="S50" s="44">
        <f>S7*(1-Paramètres!$B$2)</f>
        <v>2537.0349999999999</v>
      </c>
      <c r="T50" s="44">
        <f>T7*(1-Paramètres!$B$2)</f>
        <v>2566.1349999999998</v>
      </c>
      <c r="U50" s="44">
        <f>U7*(1-Paramètres!$B$2)</f>
        <v>2626.7599999999998</v>
      </c>
      <c r="V50" s="44">
        <f>V7*(1-Paramètres!$B$2)</f>
        <v>2648.1</v>
      </c>
      <c r="W50" s="44">
        <f>W7*(1-Paramètres!$B$2)</f>
        <v>2662.165</v>
      </c>
      <c r="X50" s="44">
        <f>X7*(1-Paramètres!$B$2)</f>
        <v>2692.72</v>
      </c>
      <c r="Y50" s="44">
        <f>Y7*(1-Paramètres!$B$2)</f>
        <v>2759.65</v>
      </c>
    </row>
    <row r="51" spans="1:25" ht="15" customHeight="1" x14ac:dyDescent="0.25">
      <c r="A51" s="43">
        <v>1050</v>
      </c>
      <c r="B51" s="44">
        <f>B8*(1-Paramètres!$B$2)</f>
        <v>2017.115</v>
      </c>
      <c r="C51" s="44">
        <f>C8*(1-Paramètres!$B$2)</f>
        <v>2058.8249999999998</v>
      </c>
      <c r="D51" s="44">
        <f>D8*(1-Paramètres!$B$2)</f>
        <v>2098.5949999999998</v>
      </c>
      <c r="E51" s="44">
        <f>E8*(1-Paramètres!$B$2)</f>
        <v>2139.335</v>
      </c>
      <c r="F51" s="44">
        <f>F8*(1-Paramètres!$B$2)</f>
        <v>2179.105</v>
      </c>
      <c r="G51" s="44">
        <f>G8*(1-Paramètres!$B$2)</f>
        <v>2225.1799999999998</v>
      </c>
      <c r="H51" s="44">
        <f>H8*(1-Paramètres!$B$2)</f>
        <v>2256.7049999999999</v>
      </c>
      <c r="I51" s="44">
        <f>I8*(1-Paramètres!$B$2)</f>
        <v>2317.8150000000001</v>
      </c>
      <c r="J51" s="44">
        <f>J8*(1-Paramètres!$B$2)</f>
        <v>2339.64</v>
      </c>
      <c r="K51" s="44">
        <f>K8*(1-Paramètres!$B$2)</f>
        <v>2356.6149999999998</v>
      </c>
      <c r="L51" s="44">
        <f>L8*(1-Paramètres!$B$2)</f>
        <v>2387.6549999999997</v>
      </c>
      <c r="M51" s="44">
        <f>M8*(1-Paramètres!$B$2)</f>
        <v>2433.2449999999999</v>
      </c>
      <c r="N51" s="44">
        <f>N8*(1-Paramètres!$B$2)</f>
        <v>2463.7999999999997</v>
      </c>
      <c r="O51" s="44">
        <f>O8*(1-Paramètres!$B$2)</f>
        <v>2525.88</v>
      </c>
      <c r="P51" s="44">
        <f>P8*(1-Paramètres!$B$2)</f>
        <v>2548.6749999999997</v>
      </c>
      <c r="Q51" s="44">
        <f>Q8*(1-Paramètres!$B$2)</f>
        <v>2563.71</v>
      </c>
      <c r="R51" s="44">
        <f>R8*(1-Paramètres!$B$2)</f>
        <v>2594.2649999999999</v>
      </c>
      <c r="S51" s="44">
        <f>S8*(1-Paramètres!$B$2)</f>
        <v>2640.8249999999998</v>
      </c>
      <c r="T51" s="44">
        <f>T8*(1-Paramètres!$B$2)</f>
        <v>2671.38</v>
      </c>
      <c r="U51" s="44">
        <f>U8*(1-Paramètres!$B$2)</f>
        <v>2732.9749999999999</v>
      </c>
      <c r="V51" s="44">
        <f>V8*(1-Paramètres!$B$2)</f>
        <v>2755.2849999999999</v>
      </c>
      <c r="W51" s="44">
        <f>W8*(1-Paramètres!$B$2)</f>
        <v>2771.7750000000001</v>
      </c>
      <c r="X51" s="44">
        <f>X8*(1-Paramètres!$B$2)</f>
        <v>2801.8449999999998</v>
      </c>
      <c r="Y51" s="44">
        <f>Y8*(1-Paramètres!$B$2)</f>
        <v>2870.7150000000001</v>
      </c>
    </row>
    <row r="52" spans="1:25" ht="15" customHeight="1" x14ac:dyDescent="0.25">
      <c r="A52" s="43">
        <v>1150</v>
      </c>
      <c r="B52" s="44">
        <f>B9*(1-Paramètres!$B$2)</f>
        <v>2107.3249999999998</v>
      </c>
      <c r="C52" s="44">
        <f>C9*(1-Paramètres!$B$2)</f>
        <v>2148.5499999999997</v>
      </c>
      <c r="D52" s="44">
        <f>D9*(1-Paramètres!$B$2)</f>
        <v>2188.3200000000002</v>
      </c>
      <c r="E52" s="44">
        <f>E9*(1-Paramètres!$B$2)</f>
        <v>2228.5749999999998</v>
      </c>
      <c r="F52" s="44">
        <f>F9*(1-Paramètres!$B$2)</f>
        <v>2269.3150000000001</v>
      </c>
      <c r="G52" s="44">
        <f>G9*(1-Paramètres!$B$2)</f>
        <v>2317.33</v>
      </c>
      <c r="H52" s="44">
        <f>H9*(1-Paramètres!$B$2)</f>
        <v>2348.855</v>
      </c>
      <c r="I52" s="44">
        <f>I9*(1-Paramètres!$B$2)</f>
        <v>2411.9049999999997</v>
      </c>
      <c r="J52" s="44">
        <f>J9*(1-Paramètres!$B$2)</f>
        <v>2436.1549999999997</v>
      </c>
      <c r="K52" s="44">
        <f>K9*(1-Paramètres!$B$2)</f>
        <v>2451.19</v>
      </c>
      <c r="L52" s="44">
        <f>L9*(1-Paramètres!$B$2)</f>
        <v>2483.1999999999998</v>
      </c>
      <c r="M52" s="44">
        <f>M9*(1-Paramètres!$B$2)</f>
        <v>2530.2449999999999</v>
      </c>
      <c r="N52" s="44">
        <f>N9*(1-Paramètres!$B$2)</f>
        <v>2562.7399999999998</v>
      </c>
      <c r="O52" s="44">
        <f>O9*(1-Paramètres!$B$2)</f>
        <v>2626.7599999999998</v>
      </c>
      <c r="P52" s="44">
        <f>P9*(1-Paramètres!$B$2)</f>
        <v>2650.5250000000001</v>
      </c>
      <c r="Q52" s="44">
        <f>Q9*(1-Paramètres!$B$2)</f>
        <v>2665.56</v>
      </c>
      <c r="R52" s="44">
        <f>R9*(1-Paramètres!$B$2)</f>
        <v>2696.1149999999998</v>
      </c>
      <c r="S52" s="44">
        <f>S9*(1-Paramètres!$B$2)</f>
        <v>2744.6149999999998</v>
      </c>
      <c r="T52" s="44">
        <f>T9*(1-Paramètres!$B$2)</f>
        <v>2776.14</v>
      </c>
      <c r="U52" s="44">
        <f>U9*(1-Paramètres!$B$2)</f>
        <v>2840.16</v>
      </c>
      <c r="V52" s="44">
        <f>V9*(1-Paramètres!$B$2)</f>
        <v>2862.47</v>
      </c>
      <c r="W52" s="44">
        <f>W9*(1-Paramètres!$B$2)</f>
        <v>2879.93</v>
      </c>
      <c r="X52" s="44">
        <f>X9*(1-Paramètres!$B$2)</f>
        <v>2910.4850000000001</v>
      </c>
      <c r="Y52" s="44">
        <f>Y9*(1-Paramètres!$B$2)</f>
        <v>2982.75</v>
      </c>
    </row>
    <row r="53" spans="1:25" ht="15" customHeight="1" x14ac:dyDescent="0.25">
      <c r="A53" s="43">
        <v>1250</v>
      </c>
      <c r="B53" s="44">
        <f>B10*(1-Paramètres!$B$2)</f>
        <v>2198.5050000000001</v>
      </c>
      <c r="C53" s="44">
        <f>C10*(1-Paramètres!$B$2)</f>
        <v>2238.2750000000001</v>
      </c>
      <c r="D53" s="44">
        <f>D10*(1-Paramètres!$B$2)</f>
        <v>2279.0149999999999</v>
      </c>
      <c r="E53" s="44">
        <f>E10*(1-Paramètres!$B$2)</f>
        <v>2318.7849999999999</v>
      </c>
      <c r="F53" s="44">
        <f>F10*(1-Paramètres!$B$2)</f>
        <v>2360.4949999999999</v>
      </c>
      <c r="G53" s="44">
        <f>G10*(1-Paramètres!$B$2)</f>
        <v>2409.48</v>
      </c>
      <c r="H53" s="44">
        <f>H10*(1-Paramètres!$B$2)</f>
        <v>2441.0050000000001</v>
      </c>
      <c r="I53" s="44">
        <f>I10*(1-Paramètres!$B$2)</f>
        <v>2506.48</v>
      </c>
      <c r="J53" s="44">
        <f>J10*(1-Paramètres!$B$2)</f>
        <v>2530.2449999999999</v>
      </c>
      <c r="K53" s="44">
        <f>K10*(1-Paramètres!$B$2)</f>
        <v>2546.7350000000001</v>
      </c>
      <c r="L53" s="44">
        <f>L10*(1-Paramètres!$B$2)</f>
        <v>2579.7150000000001</v>
      </c>
      <c r="M53" s="44">
        <f>M10*(1-Paramètres!$B$2)</f>
        <v>2628.7</v>
      </c>
      <c r="N53" s="44">
        <f>N10*(1-Paramètres!$B$2)</f>
        <v>2660.71</v>
      </c>
      <c r="O53" s="44">
        <f>O10*(1-Paramètres!$B$2)</f>
        <v>2727.1549999999997</v>
      </c>
      <c r="P53" s="44">
        <f>P10*(1-Paramètres!$B$2)</f>
        <v>2751.4049999999997</v>
      </c>
      <c r="Q53" s="44">
        <f>Q10*(1-Paramètres!$B$2)</f>
        <v>2766.9249999999997</v>
      </c>
      <c r="R53" s="44">
        <f>R10*(1-Paramètres!$B$2)</f>
        <v>2800.39</v>
      </c>
      <c r="S53" s="44">
        <f>S10*(1-Paramètres!$B$2)</f>
        <v>2848.89</v>
      </c>
      <c r="T53" s="44">
        <f>T10*(1-Paramètres!$B$2)</f>
        <v>2881.87</v>
      </c>
      <c r="U53" s="44">
        <f>U10*(1-Paramètres!$B$2)</f>
        <v>2946.375</v>
      </c>
      <c r="V53" s="44">
        <f>V10*(1-Paramètres!$B$2)</f>
        <v>2970.625</v>
      </c>
      <c r="W53" s="44">
        <f>W10*(1-Paramètres!$B$2)</f>
        <v>2987.1149999999998</v>
      </c>
      <c r="X53" s="44">
        <f>X10*(1-Paramètres!$B$2)</f>
        <v>3019.61</v>
      </c>
      <c r="Y53" s="44">
        <f>Y10*(1-Paramètres!$B$2)</f>
        <v>3093.8150000000001</v>
      </c>
    </row>
    <row r="54" spans="1:25" ht="15" customHeight="1" x14ac:dyDescent="0.25">
      <c r="A54" s="43">
        <v>1350</v>
      </c>
      <c r="B54" s="44">
        <f>B11*(1-Paramètres!$B$2)</f>
        <v>2286.29</v>
      </c>
      <c r="C54" s="44">
        <f>C11*(1-Paramètres!$B$2)</f>
        <v>2328</v>
      </c>
      <c r="D54" s="44">
        <f>D11*(1-Paramètres!$B$2)</f>
        <v>2367.77</v>
      </c>
      <c r="E54" s="44">
        <f>E11*(1-Paramètres!$B$2)</f>
        <v>2409.48</v>
      </c>
      <c r="F54" s="44">
        <f>F11*(1-Paramètres!$B$2)</f>
        <v>2449.25</v>
      </c>
      <c r="G54" s="44">
        <f>G11*(1-Paramètres!$B$2)</f>
        <v>2500.1749999999997</v>
      </c>
      <c r="H54" s="44">
        <f>H11*(1-Paramètres!$B$2)</f>
        <v>2533.1549999999997</v>
      </c>
      <c r="I54" s="44">
        <f>I11*(1-Paramètres!$B$2)</f>
        <v>2601.54</v>
      </c>
      <c r="J54" s="44">
        <f>J11*(1-Paramètres!$B$2)</f>
        <v>2626.7599999999998</v>
      </c>
      <c r="K54" s="44">
        <f>K11*(1-Paramètres!$B$2)</f>
        <v>2643.25</v>
      </c>
      <c r="L54" s="44">
        <f>L11*(1-Paramètres!$B$2)</f>
        <v>2675.7449999999999</v>
      </c>
      <c r="M54" s="44">
        <f>M11*(1-Paramètres!$B$2)</f>
        <v>2727.1549999999997</v>
      </c>
      <c r="N54" s="44">
        <f>N11*(1-Paramètres!$B$2)</f>
        <v>2759.65</v>
      </c>
      <c r="O54" s="44">
        <f>O11*(1-Paramètres!$B$2)</f>
        <v>2827.0650000000001</v>
      </c>
      <c r="P54" s="44">
        <f>P11*(1-Paramètres!$B$2)</f>
        <v>2853.2550000000001</v>
      </c>
      <c r="Q54" s="44">
        <f>Q11*(1-Paramètres!$B$2)</f>
        <v>2868.7750000000001</v>
      </c>
      <c r="R54" s="44">
        <f>R11*(1-Paramètres!$B$2)</f>
        <v>2903.6949999999997</v>
      </c>
      <c r="S54" s="44">
        <f>S11*(1-Paramètres!$B$2)</f>
        <v>2952.1949999999997</v>
      </c>
      <c r="T54" s="44">
        <f>T11*(1-Paramètres!$B$2)</f>
        <v>2986.63</v>
      </c>
      <c r="U54" s="44">
        <f>U11*(1-Paramètres!$B$2)</f>
        <v>3053.56</v>
      </c>
      <c r="V54" s="44">
        <f>V11*(1-Paramètres!$B$2)</f>
        <v>3078.2950000000001</v>
      </c>
      <c r="W54" s="44">
        <f>W11*(1-Paramètres!$B$2)</f>
        <v>3095.27</v>
      </c>
      <c r="X54" s="44">
        <f>X11*(1-Paramètres!$B$2)</f>
        <v>3128.7350000000001</v>
      </c>
      <c r="Y54" s="44">
        <f>Y11*(1-Paramètres!$B$2)</f>
        <v>3205.3649999999998</v>
      </c>
    </row>
    <row r="55" spans="1:25" ht="15" customHeight="1" x14ac:dyDescent="0.25">
      <c r="A55" s="43">
        <v>1450</v>
      </c>
      <c r="B55" s="44">
        <f>B12*(1-Paramètres!$B$2)</f>
        <v>2377.4699999999998</v>
      </c>
      <c r="C55" s="44">
        <f>C12*(1-Paramètres!$B$2)</f>
        <v>2417.7249999999999</v>
      </c>
      <c r="D55" s="44">
        <f>D12*(1-Paramètres!$B$2)</f>
        <v>2458.9499999999998</v>
      </c>
      <c r="E55" s="44">
        <f>E12*(1-Paramètres!$B$2)</f>
        <v>2499.69</v>
      </c>
      <c r="F55" s="44">
        <f>F12*(1-Paramètres!$B$2)</f>
        <v>2539.9449999999997</v>
      </c>
      <c r="G55" s="44">
        <f>G12*(1-Paramètres!$B$2)</f>
        <v>2590.87</v>
      </c>
      <c r="H55" s="44">
        <f>H12*(1-Paramètres!$B$2)</f>
        <v>2626.7599999999998</v>
      </c>
      <c r="I55" s="44">
        <f>I12*(1-Paramètres!$B$2)</f>
        <v>2694.66</v>
      </c>
      <c r="J55" s="44">
        <f>J12*(1-Paramètres!$B$2)</f>
        <v>2720.85</v>
      </c>
      <c r="K55" s="44">
        <f>K12*(1-Paramètres!$B$2)</f>
        <v>2738.31</v>
      </c>
      <c r="L55" s="44">
        <f>L12*(1-Paramètres!$B$2)</f>
        <v>2772.7449999999999</v>
      </c>
      <c r="M55" s="44">
        <f>M12*(1-Paramètres!$B$2)</f>
        <v>2824.1549999999997</v>
      </c>
      <c r="N55" s="44">
        <f>N12*(1-Paramètres!$B$2)</f>
        <v>2859.56</v>
      </c>
      <c r="O55" s="44">
        <f>O12*(1-Paramètres!$B$2)</f>
        <v>2927.9449999999997</v>
      </c>
      <c r="P55" s="44">
        <f>P12*(1-Paramètres!$B$2)</f>
        <v>2954.1349999999998</v>
      </c>
      <c r="Q55" s="44">
        <f>Q12*(1-Paramètres!$B$2)</f>
        <v>2970.625</v>
      </c>
      <c r="R55" s="44">
        <f>R12*(1-Paramètres!$B$2)</f>
        <v>3006.5149999999999</v>
      </c>
      <c r="S55" s="44">
        <f>S12*(1-Paramètres!$B$2)</f>
        <v>3056.9549999999999</v>
      </c>
      <c r="T55" s="44">
        <f>T12*(1-Paramètres!$B$2)</f>
        <v>3092.8449999999998</v>
      </c>
      <c r="U55" s="44">
        <f>U12*(1-Paramètres!$B$2)</f>
        <v>3159.7750000000001</v>
      </c>
      <c r="V55" s="44">
        <f>V12*(1-Paramètres!$B$2)</f>
        <v>3186.45</v>
      </c>
      <c r="W55" s="44">
        <f>W12*(1-Paramètres!$B$2)</f>
        <v>3204.395</v>
      </c>
      <c r="X55" s="44">
        <f>X12*(1-Paramètres!$B$2)</f>
        <v>3237.375</v>
      </c>
      <c r="Y55" s="44">
        <f>Y12*(1-Paramètres!$B$2)</f>
        <v>3314.9749999999999</v>
      </c>
    </row>
    <row r="56" spans="1:25" ht="15" customHeight="1" x14ac:dyDescent="0.25">
      <c r="A56" s="43">
        <v>1550</v>
      </c>
      <c r="B56" s="44">
        <f>B13*(1-Paramètres!$B$2)</f>
        <v>2467.6799999999998</v>
      </c>
      <c r="C56" s="44">
        <f>C13*(1-Paramètres!$B$2)</f>
        <v>2507.4499999999998</v>
      </c>
      <c r="D56" s="44">
        <f>D13*(1-Paramètres!$B$2)</f>
        <v>2548.6749999999997</v>
      </c>
      <c r="E56" s="44">
        <f>E13*(1-Paramètres!$B$2)</f>
        <v>2588.9299999999998</v>
      </c>
      <c r="F56" s="44">
        <f>F13*(1-Paramètres!$B$2)</f>
        <v>2629.1849999999999</v>
      </c>
      <c r="G56" s="44">
        <f>G13*(1-Paramètres!$B$2)</f>
        <v>2682.5349999999999</v>
      </c>
      <c r="H56" s="44">
        <f>H13*(1-Paramètres!$B$2)</f>
        <v>2718.4249999999997</v>
      </c>
      <c r="I56" s="44">
        <f>I13*(1-Paramètres!$B$2)</f>
        <v>2790.2049999999999</v>
      </c>
      <c r="J56" s="44">
        <f>J13*(1-Paramètres!$B$2)</f>
        <v>2815.91</v>
      </c>
      <c r="K56" s="44">
        <f>K13*(1-Paramètres!$B$2)</f>
        <v>2833.37</v>
      </c>
      <c r="L56" s="44">
        <f>L13*(1-Paramètres!$B$2)</f>
        <v>2868.7750000000001</v>
      </c>
      <c r="M56" s="44">
        <f>M13*(1-Paramètres!$B$2)</f>
        <v>2922.125</v>
      </c>
      <c r="N56" s="44">
        <f>N13*(1-Paramètres!$B$2)</f>
        <v>2957.5299999999997</v>
      </c>
      <c r="O56" s="44">
        <f>O13*(1-Paramètres!$B$2)</f>
        <v>3028.3399999999997</v>
      </c>
      <c r="P56" s="44">
        <f>P13*(1-Paramètres!$B$2)</f>
        <v>3055.0149999999999</v>
      </c>
      <c r="Q56" s="44">
        <f>Q13*(1-Paramètres!$B$2)</f>
        <v>3072.4749999999999</v>
      </c>
      <c r="R56" s="44">
        <f>R13*(1-Paramètres!$B$2)</f>
        <v>3107.395</v>
      </c>
      <c r="S56" s="44">
        <f>S13*(1-Paramètres!$B$2)</f>
        <v>3159.7750000000001</v>
      </c>
      <c r="T56" s="44">
        <f>T13*(1-Paramètres!$B$2)</f>
        <v>3197.12</v>
      </c>
      <c r="U56" s="44">
        <f>U13*(1-Paramètres!$B$2)</f>
        <v>3267.4449999999997</v>
      </c>
      <c r="V56" s="44">
        <f>V13*(1-Paramètres!$B$2)</f>
        <v>3293.6349999999998</v>
      </c>
      <c r="W56" s="44">
        <f>W13*(1-Paramètres!$B$2)</f>
        <v>3311.0949999999998</v>
      </c>
      <c r="X56" s="44">
        <f>X13*(1-Paramètres!$B$2)</f>
        <v>3346.9850000000001</v>
      </c>
      <c r="Y56" s="44">
        <f>Y13*(1-Paramètres!$B$2)</f>
        <v>3426.04</v>
      </c>
    </row>
    <row r="57" spans="1:25" ht="15" customHeight="1" x14ac:dyDescent="0.25">
      <c r="A57" s="43">
        <v>1650</v>
      </c>
      <c r="B57" s="44">
        <f>B14*(1-Paramètres!$B$2)</f>
        <v>2556.92</v>
      </c>
      <c r="C57" s="44">
        <f>C14*(1-Paramètres!$B$2)</f>
        <v>2598.63</v>
      </c>
      <c r="D57" s="44">
        <f>D14*(1-Paramètres!$B$2)</f>
        <v>2638.8849999999998</v>
      </c>
      <c r="E57" s="44">
        <f>E14*(1-Paramètres!$B$2)</f>
        <v>2678.6549999999997</v>
      </c>
      <c r="F57" s="44">
        <f>F14*(1-Paramètres!$B$2)</f>
        <v>2718.91</v>
      </c>
      <c r="G57" s="44">
        <f>G14*(1-Paramètres!$B$2)</f>
        <v>2773.7150000000001</v>
      </c>
      <c r="H57" s="44">
        <f>H14*(1-Paramètres!$B$2)</f>
        <v>2810.5749999999998</v>
      </c>
      <c r="I57" s="44">
        <f>I14*(1-Paramètres!$B$2)</f>
        <v>2883.3249999999998</v>
      </c>
      <c r="J57" s="44">
        <f>J14*(1-Paramètres!$B$2)</f>
        <v>2910</v>
      </c>
      <c r="K57" s="44">
        <f>K14*(1-Paramètres!$B$2)</f>
        <v>2928.43</v>
      </c>
      <c r="L57" s="44">
        <f>L14*(1-Paramètres!$B$2)</f>
        <v>2965.29</v>
      </c>
      <c r="M57" s="44">
        <f>M14*(1-Paramètres!$B$2)</f>
        <v>3019.61</v>
      </c>
      <c r="N57" s="44">
        <f>N14*(1-Paramètres!$B$2)</f>
        <v>3055.9850000000001</v>
      </c>
      <c r="O57" s="44">
        <f>O14*(1-Paramètres!$B$2)</f>
        <v>3128.7350000000001</v>
      </c>
      <c r="P57" s="44">
        <f>P14*(1-Paramètres!$B$2)</f>
        <v>3155.895</v>
      </c>
      <c r="Q57" s="44">
        <f>Q14*(1-Paramètres!$B$2)</f>
        <v>3174.81</v>
      </c>
      <c r="R57" s="44">
        <f>R14*(1-Paramètres!$B$2)</f>
        <v>3210.2149999999997</v>
      </c>
      <c r="S57" s="44">
        <f>S14*(1-Paramètres!$B$2)</f>
        <v>3265.02</v>
      </c>
      <c r="T57" s="44">
        <f>T14*(1-Paramètres!$B$2)</f>
        <v>3302.3649999999998</v>
      </c>
      <c r="U57" s="44">
        <f>U14*(1-Paramètres!$B$2)</f>
        <v>3375.1149999999998</v>
      </c>
      <c r="V57" s="44">
        <f>V14*(1-Paramètres!$B$2)</f>
        <v>3401.3049999999998</v>
      </c>
      <c r="W57" s="44">
        <f>W14*(1-Paramètres!$B$2)</f>
        <v>3420.22</v>
      </c>
      <c r="X57" s="44">
        <f>X14*(1-Paramètres!$B$2)</f>
        <v>3457.08</v>
      </c>
      <c r="Y57" s="44">
        <f>Y14*(1-Paramètres!$B$2)</f>
        <v>3538.56</v>
      </c>
    </row>
    <row r="58" spans="1:25" ht="15" customHeight="1" x14ac:dyDescent="0.25">
      <c r="A58" s="43">
        <v>1750</v>
      </c>
      <c r="B58" s="44">
        <f>B15*(1-Paramètres!$B$2)</f>
        <v>2647.6149999999998</v>
      </c>
      <c r="C58" s="44">
        <f>C15*(1-Paramètres!$B$2)</f>
        <v>2688.84</v>
      </c>
      <c r="D58" s="44">
        <f>D15*(1-Paramètres!$B$2)</f>
        <v>2729.0949999999998</v>
      </c>
      <c r="E58" s="44">
        <f>E15*(1-Paramètres!$B$2)</f>
        <v>2770.3199999999997</v>
      </c>
      <c r="F58" s="44">
        <f>F15*(1-Paramètres!$B$2)</f>
        <v>2810.09</v>
      </c>
      <c r="G58" s="44">
        <f>G15*(1-Paramètres!$B$2)</f>
        <v>2864.895</v>
      </c>
      <c r="H58" s="44">
        <f>H15*(1-Paramètres!$B$2)</f>
        <v>2903.6949999999997</v>
      </c>
      <c r="I58" s="44">
        <f>I15*(1-Paramètres!$B$2)</f>
        <v>2977.415</v>
      </c>
      <c r="J58" s="44">
        <f>J15*(1-Paramètres!$B$2)</f>
        <v>3005.5450000000001</v>
      </c>
      <c r="K58" s="44">
        <f>K15*(1-Paramètres!$B$2)</f>
        <v>3023.9749999999999</v>
      </c>
      <c r="L58" s="44">
        <f>L15*(1-Paramètres!$B$2)</f>
        <v>3061.8049999999998</v>
      </c>
      <c r="M58" s="44">
        <f>M15*(1-Paramètres!$B$2)</f>
        <v>3117.58</v>
      </c>
      <c r="N58" s="44">
        <f>N15*(1-Paramètres!$B$2)</f>
        <v>3154.9249999999997</v>
      </c>
      <c r="O58" s="44">
        <f>O15*(1-Paramètres!$B$2)</f>
        <v>3229.6149999999998</v>
      </c>
      <c r="P58" s="44">
        <f>P15*(1-Paramètres!$B$2)</f>
        <v>3256.7750000000001</v>
      </c>
      <c r="Q58" s="44">
        <f>Q15*(1-Paramètres!$B$2)</f>
        <v>3276.1749999999997</v>
      </c>
      <c r="R58" s="44">
        <f>R15*(1-Paramètres!$B$2)</f>
        <v>3314.0050000000001</v>
      </c>
      <c r="S58" s="44">
        <f>S15*(1-Paramètres!$B$2)</f>
        <v>3369.2950000000001</v>
      </c>
      <c r="T58" s="44">
        <f>T15*(1-Paramètres!$B$2)</f>
        <v>3407.125</v>
      </c>
      <c r="U58" s="44">
        <f>U15*(1-Paramètres!$B$2)</f>
        <v>3481.8150000000001</v>
      </c>
      <c r="V58" s="44">
        <f>V15*(1-Paramètres!$B$2)</f>
        <v>3509.9449999999997</v>
      </c>
      <c r="W58" s="44">
        <f>W15*(1-Paramètres!$B$2)</f>
        <v>3527.89</v>
      </c>
      <c r="X58" s="44">
        <f>X15*(1-Paramètres!$B$2)</f>
        <v>3565.72</v>
      </c>
      <c r="Y58" s="44">
        <f>Y15*(1-Paramètres!$B$2)</f>
        <v>3650.1099999999997</v>
      </c>
    </row>
    <row r="59" spans="1:25" ht="15" customHeight="1" x14ac:dyDescent="0.25">
      <c r="A59" s="43">
        <v>1850</v>
      </c>
      <c r="B59" s="44">
        <f>B16*(1-Paramètres!$B$2)</f>
        <v>2737.8249999999998</v>
      </c>
      <c r="C59" s="44">
        <f>C16*(1-Paramètres!$B$2)</f>
        <v>2778.08</v>
      </c>
      <c r="D59" s="44">
        <f>D16*(1-Paramètres!$B$2)</f>
        <v>2818.335</v>
      </c>
      <c r="E59" s="44">
        <f>E16*(1-Paramètres!$B$2)</f>
        <v>2859.56</v>
      </c>
      <c r="F59" s="44">
        <f>F16*(1-Paramètres!$B$2)</f>
        <v>2899.8150000000001</v>
      </c>
      <c r="G59" s="44">
        <f>G16*(1-Paramètres!$B$2)</f>
        <v>2957.0450000000001</v>
      </c>
      <c r="H59" s="44">
        <f>H16*(1-Paramètres!$B$2)</f>
        <v>2994.39</v>
      </c>
      <c r="I59" s="44">
        <f>I16*(1-Paramètres!$B$2)</f>
        <v>3071.99</v>
      </c>
      <c r="J59" s="44">
        <f>J16*(1-Paramètres!$B$2)</f>
        <v>3099.6349999999998</v>
      </c>
      <c r="K59" s="44">
        <f>K16*(1-Paramètres!$B$2)</f>
        <v>3119.52</v>
      </c>
      <c r="L59" s="44">
        <f>L16*(1-Paramètres!$B$2)</f>
        <v>3156.8649999999998</v>
      </c>
      <c r="M59" s="44">
        <f>M16*(1-Paramètres!$B$2)</f>
        <v>3214.0949999999998</v>
      </c>
      <c r="N59" s="44">
        <f>N16*(1-Paramètres!$B$2)</f>
        <v>3253.38</v>
      </c>
      <c r="O59" s="44">
        <f>O16*(1-Paramètres!$B$2)</f>
        <v>3330.98</v>
      </c>
      <c r="P59" s="44">
        <f>P16*(1-Paramètres!$B$2)</f>
        <v>3359.11</v>
      </c>
      <c r="Q59" s="44">
        <f>Q16*(1-Paramètres!$B$2)</f>
        <v>3378.0250000000001</v>
      </c>
      <c r="R59" s="44">
        <f>R16*(1-Paramètres!$B$2)</f>
        <v>3416.8249999999998</v>
      </c>
      <c r="S59" s="44">
        <f>S16*(1-Paramètres!$B$2)</f>
        <v>3473.085</v>
      </c>
      <c r="T59" s="44">
        <f>T16*(1-Paramètres!$B$2)</f>
        <v>3511.4</v>
      </c>
      <c r="U59" s="44">
        <f>U16*(1-Paramètres!$B$2)</f>
        <v>3588.5149999999999</v>
      </c>
      <c r="V59" s="44">
        <f>V16*(1-Paramètres!$B$2)</f>
        <v>3616.645</v>
      </c>
      <c r="W59" s="44">
        <f>W16*(1-Paramètres!$B$2)</f>
        <v>3635.56</v>
      </c>
      <c r="X59" s="44">
        <f>X16*(1-Paramètres!$B$2)</f>
        <v>3674.3599999999997</v>
      </c>
      <c r="Y59" s="44">
        <f>Y16*(1-Paramètres!$B$2)</f>
        <v>3760.69</v>
      </c>
    </row>
    <row r="60" spans="1:25" ht="15" customHeight="1" x14ac:dyDescent="0.25">
      <c r="A60" s="43">
        <v>1950</v>
      </c>
      <c r="B60" s="44">
        <f>B17*(1-Paramètres!$B$2)</f>
        <v>2827.0650000000001</v>
      </c>
      <c r="C60" s="44">
        <f>C17*(1-Paramètres!$B$2)</f>
        <v>2867.3199999999997</v>
      </c>
      <c r="D60" s="44">
        <f>D17*(1-Paramètres!$B$2)</f>
        <v>2907.5749999999998</v>
      </c>
      <c r="E60" s="44">
        <f>E17*(1-Paramètres!$B$2)</f>
        <v>2948.3150000000001</v>
      </c>
      <c r="F60" s="44">
        <f>F17*(1-Paramètres!$B$2)</f>
        <v>2988.5699999999997</v>
      </c>
      <c r="G60" s="44">
        <f>G17*(1-Paramètres!$B$2)</f>
        <v>3047.74</v>
      </c>
      <c r="H60" s="44">
        <f>H17*(1-Paramètres!$B$2)</f>
        <v>3087.9949999999999</v>
      </c>
      <c r="I60" s="44">
        <f>I17*(1-Paramètres!$B$2)</f>
        <v>3167.0499999999997</v>
      </c>
      <c r="J60" s="44">
        <f>J17*(1-Paramètres!$B$2)</f>
        <v>3195.665</v>
      </c>
      <c r="K60" s="44">
        <f>K17*(1-Paramètres!$B$2)</f>
        <v>3214.0949999999998</v>
      </c>
      <c r="L60" s="44">
        <f>L17*(1-Paramètres!$B$2)</f>
        <v>3254.835</v>
      </c>
      <c r="M60" s="44">
        <f>M17*(1-Paramètres!$B$2)</f>
        <v>3313.52</v>
      </c>
      <c r="N60" s="44">
        <f>N17*(1-Paramètres!$B$2)</f>
        <v>3353.7750000000001</v>
      </c>
      <c r="O60" s="44">
        <f>O17*(1-Paramètres!$B$2)</f>
        <v>3431.375</v>
      </c>
      <c r="P60" s="44">
        <f>P17*(1-Paramètres!$B$2)</f>
        <v>3460.4749999999999</v>
      </c>
      <c r="Q60" s="44">
        <f>Q17*(1-Paramètres!$B$2)</f>
        <v>3478.9049999999997</v>
      </c>
      <c r="R60" s="44">
        <f>R17*(1-Paramètres!$B$2)</f>
        <v>3519.645</v>
      </c>
      <c r="S60" s="44">
        <f>S17*(1-Paramètres!$B$2)</f>
        <v>3577.36</v>
      </c>
      <c r="T60" s="44">
        <f>T17*(1-Paramètres!$B$2)</f>
        <v>3616.645</v>
      </c>
      <c r="U60" s="44">
        <f>U17*(1-Paramètres!$B$2)</f>
        <v>3694.73</v>
      </c>
      <c r="V60" s="44">
        <f>V17*(1-Paramètres!$B$2)</f>
        <v>3724.7999999999997</v>
      </c>
      <c r="W60" s="44">
        <f>W17*(1-Paramètres!$B$2)</f>
        <v>3743.7149999999997</v>
      </c>
      <c r="X60" s="44">
        <f>X17*(1-Paramètres!$B$2)</f>
        <v>3782.5149999999999</v>
      </c>
      <c r="Y60" s="44">
        <f>Y17*(1-Paramètres!$B$2)</f>
        <v>3872.24</v>
      </c>
    </row>
    <row r="61" spans="1:25" ht="15" customHeight="1" x14ac:dyDescent="0.25">
      <c r="A61" s="43">
        <v>2050</v>
      </c>
      <c r="B61" s="44">
        <f>B18*(1-Paramètres!$B$2)</f>
        <v>2917.2750000000001</v>
      </c>
      <c r="C61" s="44">
        <f>C18*(1-Paramètres!$B$2)</f>
        <v>2957.5299999999997</v>
      </c>
      <c r="D61" s="44">
        <f>D18*(1-Paramètres!$B$2)</f>
        <v>2997.7849999999999</v>
      </c>
      <c r="E61" s="44">
        <f>E18*(1-Paramètres!$B$2)</f>
        <v>3038.5250000000001</v>
      </c>
      <c r="F61" s="44">
        <f>F18*(1-Paramètres!$B$2)</f>
        <v>3078.2950000000001</v>
      </c>
      <c r="G61" s="44">
        <f>G18*(1-Paramètres!$B$2)</f>
        <v>3139.4049999999997</v>
      </c>
      <c r="H61" s="44">
        <f>H18*(1-Paramètres!$B$2)</f>
        <v>3179.1749999999997</v>
      </c>
      <c r="I61" s="44">
        <f>I18*(1-Paramètres!$B$2)</f>
        <v>3260.17</v>
      </c>
      <c r="J61" s="44">
        <f>J18*(1-Paramètres!$B$2)</f>
        <v>3289.7550000000001</v>
      </c>
      <c r="K61" s="44">
        <f>K18*(1-Paramètres!$B$2)</f>
        <v>3310.125</v>
      </c>
      <c r="L61" s="44">
        <f>L18*(1-Paramètres!$B$2)</f>
        <v>3350.38</v>
      </c>
      <c r="M61" s="44">
        <f>M18*(1-Paramètres!$B$2)</f>
        <v>3411.0050000000001</v>
      </c>
      <c r="N61" s="44">
        <f>N18*(1-Paramètres!$B$2)</f>
        <v>3450.7750000000001</v>
      </c>
      <c r="O61" s="44">
        <f>O18*(1-Paramètres!$B$2)</f>
        <v>3530.7999999999997</v>
      </c>
      <c r="P61" s="44">
        <f>P18*(1-Paramètres!$B$2)</f>
        <v>3561.355</v>
      </c>
      <c r="Q61" s="44">
        <f>Q18*(1-Paramètres!$B$2)</f>
        <v>3581.24</v>
      </c>
      <c r="R61" s="44">
        <f>R18*(1-Paramètres!$B$2)</f>
        <v>3621.4949999999999</v>
      </c>
      <c r="S61" s="44">
        <f>S18*(1-Paramètres!$B$2)</f>
        <v>3681.6349999999998</v>
      </c>
      <c r="T61" s="44">
        <f>T18*(1-Paramètres!$B$2)</f>
        <v>3721.89</v>
      </c>
      <c r="U61" s="44">
        <f>U18*(1-Paramètres!$B$2)</f>
        <v>3802.4</v>
      </c>
      <c r="V61" s="44">
        <f>V18*(1-Paramètres!$B$2)</f>
        <v>3832.47</v>
      </c>
      <c r="W61" s="44">
        <f>W18*(1-Paramètres!$B$2)</f>
        <v>3853.3249999999998</v>
      </c>
      <c r="X61" s="44">
        <f>X18*(1-Paramètres!$B$2)</f>
        <v>3893.0949999999998</v>
      </c>
      <c r="Y61" s="44">
        <f>Y18*(1-Paramètres!$B$2)</f>
        <v>3983.3049999999998</v>
      </c>
    </row>
    <row r="62" spans="1:25" ht="15" customHeight="1" x14ac:dyDescent="0.25">
      <c r="A62" s="43">
        <v>2150</v>
      </c>
      <c r="B62" s="44">
        <f>B19*(1-Paramètres!$B$2)</f>
        <v>3007.4850000000001</v>
      </c>
      <c r="C62" s="44">
        <f>C19*(1-Paramètres!$B$2)</f>
        <v>3047.74</v>
      </c>
      <c r="D62" s="44">
        <f>D19*(1-Paramètres!$B$2)</f>
        <v>3088.9649999999997</v>
      </c>
      <c r="E62" s="44">
        <f>E19*(1-Paramètres!$B$2)</f>
        <v>3128.7350000000001</v>
      </c>
      <c r="F62" s="44">
        <f>F19*(1-Paramètres!$B$2)</f>
        <v>3169.96</v>
      </c>
      <c r="G62" s="44">
        <f>G19*(1-Paramètres!$B$2)</f>
        <v>3231.0699999999997</v>
      </c>
      <c r="H62" s="44">
        <f>H19*(1-Paramètres!$B$2)</f>
        <v>3272.7799999999997</v>
      </c>
      <c r="I62" s="44">
        <f>I19*(1-Paramètres!$B$2)</f>
        <v>3355.7149999999997</v>
      </c>
      <c r="J62" s="44">
        <f>J19*(1-Paramètres!$B$2)</f>
        <v>3384.8150000000001</v>
      </c>
      <c r="K62" s="44">
        <f>K19*(1-Paramètres!$B$2)</f>
        <v>3406.1549999999997</v>
      </c>
      <c r="L62" s="44">
        <f>L19*(1-Paramètres!$B$2)</f>
        <v>3446.895</v>
      </c>
      <c r="M62" s="44">
        <f>M19*(1-Paramètres!$B$2)</f>
        <v>3508.9749999999999</v>
      </c>
      <c r="N62" s="44">
        <f>N19*(1-Paramètres!$B$2)</f>
        <v>3549.7149999999997</v>
      </c>
      <c r="O62" s="44">
        <f>O19*(1-Paramètres!$B$2)</f>
        <v>3631.68</v>
      </c>
      <c r="P62" s="44">
        <f>P19*(1-Paramètres!$B$2)</f>
        <v>3662.2349999999997</v>
      </c>
      <c r="Q62" s="44">
        <f>Q19*(1-Paramètres!$B$2)</f>
        <v>3683.5749999999998</v>
      </c>
      <c r="R62" s="44">
        <f>R19*(1-Paramètres!$B$2)</f>
        <v>3723.3449999999998</v>
      </c>
      <c r="S62" s="44">
        <f>S19*(1-Paramètres!$B$2)</f>
        <v>3785.91</v>
      </c>
      <c r="T62" s="44">
        <f>T19*(1-Paramètres!$B$2)</f>
        <v>3826.65</v>
      </c>
      <c r="U62" s="44">
        <f>U19*(1-Paramètres!$B$2)</f>
        <v>3910.0699999999997</v>
      </c>
      <c r="V62" s="44">
        <f>V19*(1-Paramètres!$B$2)</f>
        <v>3940.625</v>
      </c>
      <c r="W62" s="44">
        <f>W19*(1-Paramètres!$B$2)</f>
        <v>3960.9949999999999</v>
      </c>
      <c r="X62" s="44">
        <f>X19*(1-Paramètres!$B$2)</f>
        <v>4002.7049999999999</v>
      </c>
      <c r="Y62" s="44">
        <f>Y19*(1-Paramètres!$B$2)</f>
        <v>4094.37</v>
      </c>
    </row>
    <row r="63" spans="1:25" ht="15" customHeight="1" x14ac:dyDescent="0.25">
      <c r="A63" s="43">
        <v>2250</v>
      </c>
      <c r="B63" s="44">
        <f>B20*(1-Paramètres!$B$2)</f>
        <v>3096.24</v>
      </c>
      <c r="C63" s="44">
        <f>C20*(1-Paramètres!$B$2)</f>
        <v>3136.98</v>
      </c>
      <c r="D63" s="44">
        <f>D20*(1-Paramètres!$B$2)</f>
        <v>3177.2350000000001</v>
      </c>
      <c r="E63" s="44">
        <f>E20*(1-Paramètres!$B$2)</f>
        <v>3218.46</v>
      </c>
      <c r="F63" s="44">
        <f>F20*(1-Paramètres!$B$2)</f>
        <v>3259.2</v>
      </c>
      <c r="G63" s="44">
        <f>G20*(1-Paramètres!$B$2)</f>
        <v>3321.2799999999997</v>
      </c>
      <c r="H63" s="44">
        <f>H20*(1-Paramètres!$B$2)</f>
        <v>3363.96</v>
      </c>
      <c r="I63" s="44">
        <f>I20*(1-Paramètres!$B$2)</f>
        <v>3447.8649999999998</v>
      </c>
      <c r="J63" s="44">
        <f>J20*(1-Paramètres!$B$2)</f>
        <v>3479.875</v>
      </c>
      <c r="K63" s="44">
        <f>K20*(1-Paramètres!$B$2)</f>
        <v>3500.73</v>
      </c>
      <c r="L63" s="44">
        <f>L20*(1-Paramètres!$B$2)</f>
        <v>3542.9249999999997</v>
      </c>
      <c r="M63" s="44">
        <f>M20*(1-Paramètres!$B$2)</f>
        <v>3606.46</v>
      </c>
      <c r="N63" s="44">
        <f>N20*(1-Paramètres!$B$2)</f>
        <v>3648.6549999999997</v>
      </c>
      <c r="O63" s="44">
        <f>O20*(1-Paramètres!$B$2)</f>
        <v>3732.56</v>
      </c>
      <c r="P63" s="44">
        <f>P20*(1-Paramètres!$B$2)</f>
        <v>3764.085</v>
      </c>
      <c r="Q63" s="44">
        <f>Q20*(1-Paramètres!$B$2)</f>
        <v>3785.4249999999997</v>
      </c>
      <c r="R63" s="44">
        <f>R20*(1-Paramètres!$B$2)</f>
        <v>3826.65</v>
      </c>
      <c r="S63" s="44">
        <f>S20*(1-Paramètres!$B$2)</f>
        <v>3889.7</v>
      </c>
      <c r="T63" s="44">
        <f>T20*(1-Paramètres!$B$2)</f>
        <v>3932.8649999999998</v>
      </c>
      <c r="U63" s="44">
        <f>U20*(1-Paramètres!$B$2)</f>
        <v>4016.2849999999999</v>
      </c>
      <c r="V63" s="44">
        <f>V20*(1-Paramètres!$B$2)</f>
        <v>4047.3249999999998</v>
      </c>
      <c r="W63" s="44">
        <f>W20*(1-Paramètres!$B$2)</f>
        <v>4068.665</v>
      </c>
      <c r="X63" s="44">
        <f>X20*(1-Paramètres!$B$2)</f>
        <v>4110.375</v>
      </c>
      <c r="Y63" s="44">
        <f>Y20*(1-Paramètres!$B$2)</f>
        <v>4205.4349999999995</v>
      </c>
    </row>
    <row r="64" spans="1:25" ht="15" customHeight="1" x14ac:dyDescent="0.25">
      <c r="A64" s="43">
        <v>2350</v>
      </c>
      <c r="B64" s="44">
        <f>B21*(1-Paramètres!$B$2)</f>
        <v>3213.61</v>
      </c>
      <c r="C64" s="44">
        <f>C21*(1-Paramètres!$B$2)</f>
        <v>3254.835</v>
      </c>
      <c r="D64" s="44">
        <f>D21*(1-Paramètres!$B$2)</f>
        <v>3294.605</v>
      </c>
      <c r="E64" s="44">
        <f>E21*(1-Paramètres!$B$2)</f>
        <v>3336.3150000000001</v>
      </c>
      <c r="F64" s="44">
        <f>F21*(1-Paramètres!$B$2)</f>
        <v>3376.5699999999997</v>
      </c>
      <c r="G64" s="44">
        <f>G21*(1-Paramètres!$B$2)</f>
        <v>3440.105</v>
      </c>
      <c r="H64" s="44">
        <f>H21*(1-Paramètres!$B$2)</f>
        <v>3483.27</v>
      </c>
      <c r="I64" s="44">
        <f>I21*(1-Paramètres!$B$2)</f>
        <v>3570.085</v>
      </c>
      <c r="J64" s="44">
        <f>J21*(1-Paramètres!$B$2)</f>
        <v>3602.58</v>
      </c>
      <c r="K64" s="44">
        <f>K21*(1-Paramètres!$B$2)</f>
        <v>3624.4049999999997</v>
      </c>
      <c r="L64" s="44">
        <f>L21*(1-Paramètres!$B$2)</f>
        <v>3666.6</v>
      </c>
      <c r="M64" s="44">
        <f>M21*(1-Paramètres!$B$2)</f>
        <v>3731.105</v>
      </c>
      <c r="N64" s="44">
        <f>N21*(1-Paramètres!$B$2)</f>
        <v>3774.7550000000001</v>
      </c>
      <c r="O64" s="44">
        <f>O21*(1-Paramètres!$B$2)</f>
        <v>3860.6</v>
      </c>
      <c r="P64" s="44">
        <f>P21*(1-Paramètres!$B$2)</f>
        <v>3893.0949999999998</v>
      </c>
      <c r="Q64" s="44">
        <f>Q21*(1-Paramètres!$B$2)</f>
        <v>3913.95</v>
      </c>
      <c r="R64" s="44">
        <f>R21*(1-Paramètres!$B$2)</f>
        <v>3957.1149999999998</v>
      </c>
      <c r="S64" s="44">
        <f>S21*(1-Paramètres!$B$2)</f>
        <v>4021.62</v>
      </c>
      <c r="T64" s="44">
        <f>T21*(1-Paramètres!$B$2)</f>
        <v>4064.7849999999999</v>
      </c>
      <c r="U64" s="44">
        <f>U21*(1-Paramètres!$B$2)</f>
        <v>4150.1449999999995</v>
      </c>
      <c r="V64" s="44">
        <f>V21*(1-Paramètres!$B$2)</f>
        <v>4182.6400000000003</v>
      </c>
      <c r="W64" s="44">
        <f>W21*(1-Paramètres!$B$2)</f>
        <v>4204.4650000000001</v>
      </c>
      <c r="X64" s="44">
        <f>X21*(1-Paramètres!$B$2)</f>
        <v>4247.63</v>
      </c>
      <c r="Y64" s="44">
        <f>Y21*(1-Paramètres!$B$2)</f>
        <v>4343.1750000000002</v>
      </c>
    </row>
  </sheetData>
  <mergeCells count="4">
    <mergeCell ref="A23:Y23"/>
    <mergeCell ref="A1:Y1"/>
    <mergeCell ref="A3:Y3"/>
    <mergeCell ref="A45:Y45"/>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79"/>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29" width="9" customWidth="1"/>
    <col min="30" max="30" width="2" customWidth="1"/>
    <col min="31" max="32" width="11" customWidth="1"/>
  </cols>
  <sheetData>
    <row r="1" spans="1:32" ht="24" customHeight="1" x14ac:dyDescent="0.25">
      <c r="A1" s="126" t="s">
        <v>272</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row>
    <row r="3" spans="1:32" ht="15" customHeight="1" x14ac:dyDescent="0.25">
      <c r="A3" s="121" t="s">
        <v>259</v>
      </c>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c r="AE3" s="121" t="s">
        <v>273</v>
      </c>
      <c r="AF3" s="93"/>
    </row>
    <row r="4" spans="1:32" ht="15" customHeight="1" x14ac:dyDescent="0.25">
      <c r="A4" s="43" t="s">
        <v>260</v>
      </c>
      <c r="B4" s="43">
        <v>405</v>
      </c>
      <c r="C4" s="43">
        <v>540</v>
      </c>
      <c r="D4" s="43">
        <v>675</v>
      </c>
      <c r="E4" s="43">
        <v>810</v>
      </c>
      <c r="F4" s="43">
        <v>945</v>
      </c>
      <c r="G4" s="43">
        <v>1080</v>
      </c>
      <c r="H4" s="43">
        <v>1215</v>
      </c>
      <c r="I4" s="43">
        <v>1350</v>
      </c>
      <c r="J4" s="43">
        <v>1485</v>
      </c>
      <c r="K4" s="43">
        <v>1620</v>
      </c>
      <c r="L4" s="43">
        <v>1755</v>
      </c>
      <c r="M4" s="43">
        <v>1890</v>
      </c>
      <c r="N4" s="43">
        <v>2025</v>
      </c>
      <c r="O4" s="43">
        <v>2160</v>
      </c>
      <c r="P4" s="43">
        <v>2295</v>
      </c>
      <c r="Q4" s="43">
        <v>2430</v>
      </c>
      <c r="R4" s="43">
        <v>2565</v>
      </c>
      <c r="S4" s="43">
        <v>2700</v>
      </c>
      <c r="T4" s="43">
        <v>2835</v>
      </c>
      <c r="U4" s="43">
        <v>2970</v>
      </c>
      <c r="V4" s="43">
        <v>3105</v>
      </c>
      <c r="W4" s="43">
        <v>3240</v>
      </c>
      <c r="X4" s="43">
        <v>3375</v>
      </c>
      <c r="Y4" s="43">
        <v>3510</v>
      </c>
      <c r="Z4" s="43">
        <v>3645</v>
      </c>
      <c r="AA4" s="43">
        <v>3780</v>
      </c>
      <c r="AB4" s="43">
        <v>3915</v>
      </c>
      <c r="AC4" s="43">
        <v>4050</v>
      </c>
      <c r="AE4" s="43" t="s">
        <v>274</v>
      </c>
      <c r="AF4" s="43" t="s">
        <v>275</v>
      </c>
    </row>
    <row r="5" spans="1:32" ht="15" customHeight="1" x14ac:dyDescent="0.25">
      <c r="A5" s="43">
        <v>608</v>
      </c>
      <c r="B5" s="44">
        <v>500</v>
      </c>
      <c r="C5" s="44">
        <v>510</v>
      </c>
      <c r="D5" s="44">
        <v>520</v>
      </c>
      <c r="E5" s="44">
        <v>531</v>
      </c>
      <c r="F5" s="44">
        <v>543</v>
      </c>
      <c r="G5" s="44">
        <v>559</v>
      </c>
      <c r="H5" s="44">
        <v>572</v>
      </c>
      <c r="I5" s="44">
        <v>582</v>
      </c>
      <c r="J5" s="44">
        <v>591</v>
      </c>
      <c r="K5" s="44">
        <v>601</v>
      </c>
      <c r="L5" s="44">
        <v>618</v>
      </c>
      <c r="M5" s="44">
        <v>629</v>
      </c>
      <c r="N5" s="44">
        <v>644</v>
      </c>
      <c r="O5" s="44">
        <v>656</v>
      </c>
      <c r="P5" s="44">
        <v>670</v>
      </c>
      <c r="Q5" s="44">
        <v>682</v>
      </c>
      <c r="R5" s="44">
        <v>694</v>
      </c>
      <c r="S5" s="44">
        <v>707</v>
      </c>
      <c r="T5" s="44">
        <v>721</v>
      </c>
      <c r="U5" s="44">
        <v>734</v>
      </c>
      <c r="V5" s="44">
        <v>745</v>
      </c>
      <c r="W5" s="44">
        <v>759</v>
      </c>
      <c r="X5" s="44">
        <v>770</v>
      </c>
      <c r="Y5" s="44">
        <v>783</v>
      </c>
      <c r="Z5" s="44">
        <v>796</v>
      </c>
      <c r="AA5" s="44">
        <v>809</v>
      </c>
      <c r="AB5" s="44">
        <v>821</v>
      </c>
      <c r="AC5" s="44">
        <v>833</v>
      </c>
      <c r="AE5" s="50">
        <v>201</v>
      </c>
      <c r="AF5" s="50">
        <v>201</v>
      </c>
    </row>
    <row r="6" spans="1:32" ht="15" customHeight="1" x14ac:dyDescent="0.25">
      <c r="A6" s="43">
        <v>742</v>
      </c>
      <c r="B6" s="44">
        <v>508</v>
      </c>
      <c r="C6" s="44">
        <v>518</v>
      </c>
      <c r="D6" s="44">
        <v>531</v>
      </c>
      <c r="E6" s="44">
        <v>543</v>
      </c>
      <c r="F6" s="44">
        <v>551</v>
      </c>
      <c r="G6" s="44">
        <v>572</v>
      </c>
      <c r="H6" s="44">
        <v>579</v>
      </c>
      <c r="I6" s="44">
        <v>591</v>
      </c>
      <c r="J6" s="44">
        <v>602</v>
      </c>
      <c r="K6" s="44">
        <v>618</v>
      </c>
      <c r="L6" s="44">
        <v>636</v>
      </c>
      <c r="M6" s="44">
        <v>651</v>
      </c>
      <c r="N6" s="44">
        <v>662</v>
      </c>
      <c r="O6" s="44">
        <v>675</v>
      </c>
      <c r="P6" s="44">
        <v>691</v>
      </c>
      <c r="Q6" s="44">
        <v>703</v>
      </c>
      <c r="R6" s="44">
        <v>716</v>
      </c>
      <c r="S6" s="44">
        <v>732</v>
      </c>
      <c r="T6" s="44">
        <v>745</v>
      </c>
      <c r="U6" s="44">
        <v>757</v>
      </c>
      <c r="V6" s="44">
        <v>770</v>
      </c>
      <c r="W6" s="44">
        <v>784</v>
      </c>
      <c r="X6" s="44">
        <v>799</v>
      </c>
      <c r="Y6" s="44">
        <v>811</v>
      </c>
      <c r="Z6" s="44">
        <v>825</v>
      </c>
      <c r="AA6" s="44">
        <v>840</v>
      </c>
      <c r="AB6" s="44">
        <v>853</v>
      </c>
      <c r="AC6" s="44">
        <v>865</v>
      </c>
      <c r="AE6" s="50">
        <v>209</v>
      </c>
      <c r="AF6" s="50">
        <v>209</v>
      </c>
    </row>
    <row r="7" spans="1:32" ht="15" customHeight="1" x14ac:dyDescent="0.25">
      <c r="A7" s="43">
        <v>878</v>
      </c>
      <c r="B7" s="44">
        <v>517</v>
      </c>
      <c r="C7" s="44">
        <v>529</v>
      </c>
      <c r="D7" s="44">
        <v>540</v>
      </c>
      <c r="E7" s="44">
        <v>551</v>
      </c>
      <c r="F7" s="44">
        <v>562</v>
      </c>
      <c r="G7" s="44">
        <v>582</v>
      </c>
      <c r="H7" s="44">
        <v>594</v>
      </c>
      <c r="I7" s="44">
        <v>608</v>
      </c>
      <c r="J7" s="44">
        <v>621</v>
      </c>
      <c r="K7" s="44">
        <v>636</v>
      </c>
      <c r="L7" s="44">
        <v>653</v>
      </c>
      <c r="M7" s="44">
        <v>670</v>
      </c>
      <c r="N7" s="44">
        <v>682</v>
      </c>
      <c r="O7" s="44">
        <v>697</v>
      </c>
      <c r="P7" s="44">
        <v>710</v>
      </c>
      <c r="Q7" s="44">
        <v>725</v>
      </c>
      <c r="R7" s="44">
        <v>740</v>
      </c>
      <c r="S7" s="44">
        <v>753</v>
      </c>
      <c r="T7" s="44">
        <v>767</v>
      </c>
      <c r="U7" s="44">
        <v>780</v>
      </c>
      <c r="V7" s="44">
        <v>794</v>
      </c>
      <c r="W7" s="44">
        <v>807</v>
      </c>
      <c r="X7" s="44">
        <v>821</v>
      </c>
      <c r="Y7" s="44">
        <v>834</v>
      </c>
      <c r="Z7" s="44">
        <v>848</v>
      </c>
      <c r="AA7" s="44">
        <v>861</v>
      </c>
      <c r="AB7" s="44">
        <v>875</v>
      </c>
      <c r="AC7" s="44">
        <v>888</v>
      </c>
      <c r="AE7" s="50">
        <v>220</v>
      </c>
      <c r="AF7" s="50">
        <v>223</v>
      </c>
    </row>
    <row r="8" spans="1:32" ht="15" customHeight="1" x14ac:dyDescent="0.25">
      <c r="A8" s="43">
        <v>1013</v>
      </c>
      <c r="B8" s="44">
        <v>528</v>
      </c>
      <c r="C8" s="44">
        <v>539</v>
      </c>
      <c r="D8" s="44">
        <v>548</v>
      </c>
      <c r="E8" s="44">
        <v>562</v>
      </c>
      <c r="F8" s="44">
        <v>572</v>
      </c>
      <c r="G8" s="44">
        <v>594</v>
      </c>
      <c r="H8" s="44">
        <v>608</v>
      </c>
      <c r="I8" s="44">
        <v>624</v>
      </c>
      <c r="J8" s="44">
        <v>640</v>
      </c>
      <c r="K8" s="44">
        <v>653</v>
      </c>
      <c r="L8" s="44">
        <v>674</v>
      </c>
      <c r="M8" s="44">
        <v>686</v>
      </c>
      <c r="N8" s="44">
        <v>702</v>
      </c>
      <c r="O8" s="44">
        <v>716</v>
      </c>
      <c r="P8" s="44">
        <v>732</v>
      </c>
      <c r="Q8" s="44">
        <v>748</v>
      </c>
      <c r="R8" s="44">
        <v>763</v>
      </c>
      <c r="S8" s="44">
        <v>778</v>
      </c>
      <c r="T8" s="44">
        <v>792</v>
      </c>
      <c r="U8" s="44">
        <v>807</v>
      </c>
      <c r="V8" s="44">
        <v>824</v>
      </c>
      <c r="W8" s="44">
        <v>840</v>
      </c>
      <c r="X8" s="44">
        <v>855</v>
      </c>
      <c r="Y8" s="44">
        <v>869</v>
      </c>
      <c r="Z8" s="44">
        <v>886</v>
      </c>
      <c r="AA8" s="44">
        <v>902</v>
      </c>
      <c r="AB8" s="44">
        <v>917</v>
      </c>
      <c r="AC8" s="44">
        <v>934</v>
      </c>
      <c r="AE8" s="50">
        <v>230</v>
      </c>
      <c r="AF8" s="50">
        <v>232</v>
      </c>
    </row>
    <row r="9" spans="1:32" ht="15" customHeight="1" x14ac:dyDescent="0.25">
      <c r="A9" s="43">
        <v>1148</v>
      </c>
      <c r="B9" s="44">
        <v>554</v>
      </c>
      <c r="C9" s="44">
        <v>564</v>
      </c>
      <c r="D9" s="44">
        <v>575</v>
      </c>
      <c r="E9" s="44">
        <v>587</v>
      </c>
      <c r="F9" s="44">
        <v>601</v>
      </c>
      <c r="G9" s="44">
        <v>624</v>
      </c>
      <c r="H9" s="44">
        <v>641</v>
      </c>
      <c r="I9" s="44">
        <v>656</v>
      </c>
      <c r="J9" s="44">
        <v>672</v>
      </c>
      <c r="K9" s="44">
        <v>688</v>
      </c>
      <c r="L9" s="44">
        <v>707</v>
      </c>
      <c r="M9" s="44">
        <v>722</v>
      </c>
      <c r="N9" s="44">
        <v>737</v>
      </c>
      <c r="O9" s="44">
        <v>753</v>
      </c>
      <c r="P9" s="44">
        <v>768</v>
      </c>
      <c r="Q9" s="44">
        <v>784</v>
      </c>
      <c r="R9" s="44">
        <v>799</v>
      </c>
      <c r="S9" s="44">
        <v>815</v>
      </c>
      <c r="T9" s="44">
        <v>832</v>
      </c>
      <c r="U9" s="44">
        <v>848</v>
      </c>
      <c r="V9" s="44">
        <v>863</v>
      </c>
      <c r="W9" s="44">
        <v>880</v>
      </c>
      <c r="X9" s="44">
        <v>894</v>
      </c>
      <c r="Y9" s="44">
        <v>910</v>
      </c>
      <c r="Z9" s="44">
        <v>923</v>
      </c>
      <c r="AA9" s="44">
        <v>940</v>
      </c>
      <c r="AB9" s="44">
        <v>954</v>
      </c>
      <c r="AC9" s="44">
        <v>972</v>
      </c>
      <c r="AE9" s="50">
        <v>240</v>
      </c>
      <c r="AF9" s="50">
        <v>254</v>
      </c>
    </row>
    <row r="10" spans="1:32" ht="15" customHeight="1" x14ac:dyDescent="0.25">
      <c r="A10" s="43">
        <v>1282</v>
      </c>
      <c r="B10" s="44">
        <v>563</v>
      </c>
      <c r="C10" s="44">
        <v>575</v>
      </c>
      <c r="D10" s="44">
        <v>586</v>
      </c>
      <c r="E10" s="44">
        <v>598</v>
      </c>
      <c r="F10" s="44">
        <v>616</v>
      </c>
      <c r="G10" s="44">
        <v>640</v>
      </c>
      <c r="H10" s="44">
        <v>656</v>
      </c>
      <c r="I10" s="44">
        <v>674</v>
      </c>
      <c r="J10" s="44">
        <v>688</v>
      </c>
      <c r="K10" s="44">
        <v>706</v>
      </c>
      <c r="L10" s="44">
        <v>725</v>
      </c>
      <c r="M10" s="44">
        <v>740</v>
      </c>
      <c r="N10" s="44">
        <v>757</v>
      </c>
      <c r="O10" s="44">
        <v>775</v>
      </c>
      <c r="P10" s="44">
        <v>791</v>
      </c>
      <c r="Q10" s="44">
        <v>805</v>
      </c>
      <c r="R10" s="44">
        <v>821</v>
      </c>
      <c r="S10" s="44">
        <v>838</v>
      </c>
      <c r="T10" s="44">
        <v>855</v>
      </c>
      <c r="U10" s="44">
        <v>871</v>
      </c>
      <c r="V10" s="44">
        <v>886</v>
      </c>
      <c r="W10" s="44">
        <v>903</v>
      </c>
      <c r="X10" s="44">
        <v>918</v>
      </c>
      <c r="Y10" s="44">
        <v>934</v>
      </c>
      <c r="Z10" s="44">
        <v>949</v>
      </c>
      <c r="AA10" s="44">
        <v>965</v>
      </c>
      <c r="AB10" s="44">
        <v>979</v>
      </c>
      <c r="AC10" s="44">
        <v>996</v>
      </c>
      <c r="AE10" s="50">
        <v>252</v>
      </c>
      <c r="AF10" s="50">
        <v>262</v>
      </c>
    </row>
    <row r="11" spans="1:32" ht="15" customHeight="1" x14ac:dyDescent="0.25">
      <c r="A11" s="43">
        <v>1418</v>
      </c>
      <c r="B11" s="44">
        <v>574</v>
      </c>
      <c r="C11" s="44">
        <v>586</v>
      </c>
      <c r="D11" s="44">
        <v>594</v>
      </c>
      <c r="E11" s="44">
        <v>612</v>
      </c>
      <c r="F11" s="44">
        <v>629</v>
      </c>
      <c r="G11" s="44">
        <v>653</v>
      </c>
      <c r="H11" s="44">
        <v>672</v>
      </c>
      <c r="I11" s="44">
        <v>691</v>
      </c>
      <c r="J11" s="44">
        <v>706</v>
      </c>
      <c r="K11" s="44">
        <v>724</v>
      </c>
      <c r="L11" s="44">
        <v>742</v>
      </c>
      <c r="M11" s="44">
        <v>761</v>
      </c>
      <c r="N11" s="44">
        <v>778</v>
      </c>
      <c r="O11" s="44">
        <v>794</v>
      </c>
      <c r="P11" s="44">
        <v>810</v>
      </c>
      <c r="Q11" s="44">
        <v>826</v>
      </c>
      <c r="R11" s="44">
        <v>844</v>
      </c>
      <c r="S11" s="44">
        <v>861</v>
      </c>
      <c r="T11" s="44">
        <v>879</v>
      </c>
      <c r="U11" s="44">
        <v>894</v>
      </c>
      <c r="V11" s="44">
        <v>910</v>
      </c>
      <c r="W11" s="44">
        <v>923</v>
      </c>
      <c r="X11" s="44">
        <v>945</v>
      </c>
      <c r="Y11" s="44">
        <v>961</v>
      </c>
      <c r="Z11" s="44">
        <v>973</v>
      </c>
      <c r="AA11" s="44">
        <v>1222</v>
      </c>
      <c r="AB11" s="44">
        <v>1249</v>
      </c>
      <c r="AC11" s="44">
        <v>1272</v>
      </c>
      <c r="AE11" s="50">
        <v>261</v>
      </c>
      <c r="AF11" s="50">
        <v>278</v>
      </c>
    </row>
    <row r="12" spans="1:32" ht="15" customHeight="1" x14ac:dyDescent="0.25">
      <c r="A12" s="43">
        <v>1552</v>
      </c>
      <c r="B12" s="44">
        <v>583</v>
      </c>
      <c r="C12" s="44">
        <v>594</v>
      </c>
      <c r="D12" s="44">
        <v>608</v>
      </c>
      <c r="E12" s="44">
        <v>624</v>
      </c>
      <c r="F12" s="44">
        <v>644</v>
      </c>
      <c r="G12" s="44">
        <v>670</v>
      </c>
      <c r="H12" s="44">
        <v>686</v>
      </c>
      <c r="I12" s="44">
        <v>706</v>
      </c>
      <c r="J12" s="44">
        <v>724</v>
      </c>
      <c r="K12" s="44">
        <v>740</v>
      </c>
      <c r="L12" s="44">
        <v>763</v>
      </c>
      <c r="M12" s="44">
        <v>780</v>
      </c>
      <c r="N12" s="44">
        <v>798</v>
      </c>
      <c r="O12" s="44">
        <v>814</v>
      </c>
      <c r="P12" s="44">
        <v>832</v>
      </c>
      <c r="Q12" s="44">
        <v>848</v>
      </c>
      <c r="R12" s="44">
        <v>865</v>
      </c>
      <c r="S12" s="44">
        <v>886</v>
      </c>
      <c r="T12" s="44">
        <v>902</v>
      </c>
      <c r="U12" s="44">
        <v>917</v>
      </c>
      <c r="V12" s="44">
        <v>934</v>
      </c>
      <c r="W12" s="44">
        <v>948</v>
      </c>
      <c r="X12" s="44">
        <v>969</v>
      </c>
      <c r="Y12" s="44">
        <v>1196</v>
      </c>
      <c r="Z12" s="44">
        <v>1220</v>
      </c>
      <c r="AA12" s="44">
        <v>1245</v>
      </c>
      <c r="AB12" s="44">
        <v>1269</v>
      </c>
      <c r="AC12" s="44">
        <v>1296</v>
      </c>
      <c r="AE12" s="50">
        <v>270</v>
      </c>
      <c r="AF12" s="50">
        <v>289</v>
      </c>
    </row>
    <row r="13" spans="1:32" ht="15" customHeight="1" x14ac:dyDescent="0.25">
      <c r="A13" s="43">
        <v>1688</v>
      </c>
      <c r="B13" s="44">
        <v>601</v>
      </c>
      <c r="C13" s="44">
        <v>612</v>
      </c>
      <c r="D13" s="44">
        <v>626</v>
      </c>
      <c r="E13" s="44">
        <v>645</v>
      </c>
      <c r="F13" s="44">
        <v>664</v>
      </c>
      <c r="G13" s="44">
        <v>693</v>
      </c>
      <c r="H13" s="44">
        <v>709</v>
      </c>
      <c r="I13" s="44">
        <v>729</v>
      </c>
      <c r="J13" s="44">
        <v>748</v>
      </c>
      <c r="K13" s="44">
        <v>767</v>
      </c>
      <c r="L13" s="44">
        <v>790</v>
      </c>
      <c r="M13" s="44">
        <v>805</v>
      </c>
      <c r="N13" s="44">
        <v>824</v>
      </c>
      <c r="O13" s="44">
        <v>841</v>
      </c>
      <c r="P13" s="44">
        <v>860</v>
      </c>
      <c r="Q13" s="44">
        <v>879</v>
      </c>
      <c r="R13" s="44">
        <v>894</v>
      </c>
      <c r="S13" s="44">
        <v>909</v>
      </c>
      <c r="T13" s="44">
        <v>923</v>
      </c>
      <c r="U13" s="44">
        <v>940</v>
      </c>
      <c r="V13" s="44">
        <v>954</v>
      </c>
      <c r="W13" s="44">
        <v>1172</v>
      </c>
      <c r="X13" s="44">
        <v>1196</v>
      </c>
      <c r="Y13" s="44">
        <v>1219</v>
      </c>
      <c r="Z13" s="44">
        <v>1242</v>
      </c>
      <c r="AA13" s="44">
        <v>1269</v>
      </c>
      <c r="AB13" s="44">
        <v>1293</v>
      </c>
      <c r="AC13" s="44">
        <v>1318</v>
      </c>
      <c r="AE13" s="50">
        <v>288</v>
      </c>
      <c r="AF13" s="50">
        <v>309</v>
      </c>
    </row>
    <row r="14" spans="1:32" ht="15" customHeight="1" x14ac:dyDescent="0.25">
      <c r="A14" s="43">
        <v>1823</v>
      </c>
      <c r="B14" s="44">
        <v>609</v>
      </c>
      <c r="C14" s="44">
        <v>621</v>
      </c>
      <c r="D14" s="44">
        <v>641</v>
      </c>
      <c r="E14" s="44">
        <v>659</v>
      </c>
      <c r="F14" s="44">
        <v>678</v>
      </c>
      <c r="G14" s="44">
        <v>706</v>
      </c>
      <c r="H14" s="44">
        <v>725</v>
      </c>
      <c r="I14" s="44">
        <v>745</v>
      </c>
      <c r="J14" s="44">
        <v>764</v>
      </c>
      <c r="K14" s="44">
        <v>783</v>
      </c>
      <c r="L14" s="44">
        <v>806</v>
      </c>
      <c r="M14" s="44">
        <v>825</v>
      </c>
      <c r="N14" s="44">
        <v>845</v>
      </c>
      <c r="O14" s="44">
        <v>861</v>
      </c>
      <c r="P14" s="44">
        <v>883</v>
      </c>
      <c r="Q14" s="44">
        <v>899</v>
      </c>
      <c r="R14" s="44">
        <v>921</v>
      </c>
      <c r="S14" s="44">
        <v>932</v>
      </c>
      <c r="T14" s="44">
        <v>948</v>
      </c>
      <c r="U14" s="44">
        <v>1149</v>
      </c>
      <c r="V14" s="44">
        <v>1172</v>
      </c>
      <c r="W14" s="44">
        <v>1196</v>
      </c>
      <c r="X14" s="44">
        <v>1219</v>
      </c>
      <c r="Y14" s="44">
        <v>1241</v>
      </c>
      <c r="Z14" s="44">
        <v>1266</v>
      </c>
      <c r="AA14" s="44">
        <v>1292</v>
      </c>
      <c r="AB14" s="44">
        <v>1316</v>
      </c>
      <c r="AC14" s="44">
        <v>1342</v>
      </c>
      <c r="AE14" s="50">
        <v>297</v>
      </c>
      <c r="AF14" s="50">
        <v>320</v>
      </c>
    </row>
    <row r="15" spans="1:32" ht="15" customHeight="1" x14ac:dyDescent="0.25">
      <c r="A15" s="43">
        <v>1958</v>
      </c>
      <c r="B15" s="44">
        <v>620</v>
      </c>
      <c r="C15" s="44">
        <v>632</v>
      </c>
      <c r="D15" s="44">
        <v>652</v>
      </c>
      <c r="E15" s="44">
        <v>674</v>
      </c>
      <c r="F15" s="44">
        <v>691</v>
      </c>
      <c r="G15" s="44">
        <v>721</v>
      </c>
      <c r="H15" s="44">
        <v>740</v>
      </c>
      <c r="I15" s="44">
        <v>761</v>
      </c>
      <c r="J15" s="44">
        <v>780</v>
      </c>
      <c r="K15" s="44">
        <v>799</v>
      </c>
      <c r="L15" s="44">
        <v>824</v>
      </c>
      <c r="M15" s="44">
        <v>844</v>
      </c>
      <c r="N15" s="44">
        <v>864</v>
      </c>
      <c r="O15" s="44">
        <v>883</v>
      </c>
      <c r="P15" s="44">
        <v>903</v>
      </c>
      <c r="Q15" s="44">
        <v>922</v>
      </c>
      <c r="R15" s="44">
        <v>940</v>
      </c>
      <c r="S15" s="44">
        <v>953</v>
      </c>
      <c r="T15" s="44">
        <v>1149</v>
      </c>
      <c r="U15" s="44">
        <v>1172</v>
      </c>
      <c r="V15" s="44">
        <v>1196</v>
      </c>
      <c r="W15" s="44">
        <v>1219</v>
      </c>
      <c r="X15" s="44">
        <v>1241</v>
      </c>
      <c r="Y15" s="44">
        <v>1265</v>
      </c>
      <c r="Z15" s="44">
        <v>1291</v>
      </c>
      <c r="AA15" s="44">
        <v>1315</v>
      </c>
      <c r="AB15" s="44">
        <v>1447</v>
      </c>
      <c r="AC15" s="44">
        <v>1474</v>
      </c>
      <c r="AE15" s="50">
        <v>306</v>
      </c>
      <c r="AF15" s="50">
        <v>336</v>
      </c>
    </row>
    <row r="16" spans="1:32" ht="15" customHeight="1" x14ac:dyDescent="0.25">
      <c r="A16" s="43">
        <v>2092</v>
      </c>
      <c r="B16" s="44">
        <v>629</v>
      </c>
      <c r="C16" s="44">
        <v>645</v>
      </c>
      <c r="D16" s="44">
        <v>666</v>
      </c>
      <c r="E16" s="44">
        <v>684</v>
      </c>
      <c r="F16" s="44">
        <v>707</v>
      </c>
      <c r="G16" s="44">
        <v>734</v>
      </c>
      <c r="H16" s="44">
        <v>755</v>
      </c>
      <c r="I16" s="44">
        <v>778</v>
      </c>
      <c r="J16" s="44">
        <v>798</v>
      </c>
      <c r="K16" s="44">
        <v>818</v>
      </c>
      <c r="L16" s="44">
        <v>841</v>
      </c>
      <c r="M16" s="44">
        <v>861</v>
      </c>
      <c r="N16" s="44">
        <v>883</v>
      </c>
      <c r="O16" s="44">
        <v>905</v>
      </c>
      <c r="P16" s="44">
        <v>824</v>
      </c>
      <c r="Q16" s="44">
        <v>945</v>
      </c>
      <c r="R16" s="44">
        <v>1127</v>
      </c>
      <c r="S16" s="44">
        <v>1149</v>
      </c>
      <c r="T16" s="44">
        <v>1172</v>
      </c>
      <c r="U16" s="44">
        <v>1196</v>
      </c>
      <c r="V16" s="44">
        <v>1219</v>
      </c>
      <c r="W16" s="44">
        <v>1241</v>
      </c>
      <c r="X16" s="44">
        <v>1265</v>
      </c>
      <c r="Y16" s="44">
        <v>1289</v>
      </c>
      <c r="Z16" s="44">
        <v>1418</v>
      </c>
      <c r="AA16" s="44">
        <v>1446</v>
      </c>
      <c r="AB16" s="44">
        <v>1472</v>
      </c>
      <c r="AC16" s="51"/>
      <c r="AE16" s="50">
        <v>320</v>
      </c>
      <c r="AF16" s="50">
        <v>346</v>
      </c>
    </row>
    <row r="17" spans="1:32" ht="15" customHeight="1" x14ac:dyDescent="0.25">
      <c r="A17" s="43">
        <v>2228</v>
      </c>
      <c r="B17" s="44">
        <v>641</v>
      </c>
      <c r="C17" s="44">
        <v>656</v>
      </c>
      <c r="D17" s="44">
        <v>678</v>
      </c>
      <c r="E17" s="44">
        <v>698</v>
      </c>
      <c r="F17" s="44">
        <v>721</v>
      </c>
      <c r="G17" s="44">
        <v>749</v>
      </c>
      <c r="H17" s="44">
        <v>768</v>
      </c>
      <c r="I17" s="44">
        <v>791</v>
      </c>
      <c r="J17" s="44">
        <v>811</v>
      </c>
      <c r="K17" s="44">
        <v>834</v>
      </c>
      <c r="L17" s="44">
        <v>859</v>
      </c>
      <c r="M17" s="44">
        <v>883</v>
      </c>
      <c r="N17" s="44">
        <v>903</v>
      </c>
      <c r="O17" s="44">
        <v>923</v>
      </c>
      <c r="P17" s="44">
        <v>945</v>
      </c>
      <c r="Q17" s="44">
        <v>1131</v>
      </c>
      <c r="R17" s="44">
        <v>1150</v>
      </c>
      <c r="S17" s="44">
        <v>1172</v>
      </c>
      <c r="T17" s="44">
        <v>1192</v>
      </c>
      <c r="U17" s="44">
        <v>1216</v>
      </c>
      <c r="V17" s="44">
        <v>1239</v>
      </c>
      <c r="W17" s="44">
        <v>1262</v>
      </c>
      <c r="X17" s="44">
        <v>1390</v>
      </c>
      <c r="Y17" s="44">
        <v>1416</v>
      </c>
      <c r="Z17" s="44">
        <v>1444</v>
      </c>
      <c r="AA17" s="51"/>
      <c r="AB17" s="51"/>
      <c r="AC17" s="51"/>
      <c r="AE17" s="50">
        <v>329</v>
      </c>
      <c r="AF17" s="50">
        <v>366</v>
      </c>
    </row>
    <row r="18" spans="1:32" ht="15" customHeight="1" x14ac:dyDescent="0.25">
      <c r="A18" s="43">
        <v>2362</v>
      </c>
      <c r="B18" s="44">
        <v>651</v>
      </c>
      <c r="C18" s="44">
        <v>670</v>
      </c>
      <c r="D18" s="44">
        <v>691</v>
      </c>
      <c r="E18" s="44">
        <v>710</v>
      </c>
      <c r="F18" s="44">
        <v>733</v>
      </c>
      <c r="G18" s="44">
        <v>764</v>
      </c>
      <c r="H18" s="44">
        <v>786</v>
      </c>
      <c r="I18" s="44">
        <v>806</v>
      </c>
      <c r="J18" s="44">
        <v>829</v>
      </c>
      <c r="K18" s="44">
        <v>853</v>
      </c>
      <c r="L18" s="44">
        <v>878</v>
      </c>
      <c r="M18" s="44">
        <v>899</v>
      </c>
      <c r="N18" s="44">
        <v>922</v>
      </c>
      <c r="O18" s="44">
        <v>942</v>
      </c>
      <c r="P18" s="44">
        <v>1131</v>
      </c>
      <c r="Q18" s="44">
        <v>1156</v>
      </c>
      <c r="R18" s="44">
        <v>1174</v>
      </c>
      <c r="S18" s="44">
        <v>1196</v>
      </c>
      <c r="T18" s="44">
        <v>1216</v>
      </c>
      <c r="U18" s="44">
        <v>1239</v>
      </c>
      <c r="V18" s="44">
        <v>1262</v>
      </c>
      <c r="W18" s="44">
        <v>1386</v>
      </c>
      <c r="X18" s="44">
        <v>1415</v>
      </c>
      <c r="Y18" s="44">
        <v>1439</v>
      </c>
      <c r="Z18" s="51"/>
      <c r="AA18" s="51"/>
      <c r="AB18" s="51"/>
      <c r="AC18" s="51"/>
      <c r="AE18" s="50">
        <v>336</v>
      </c>
      <c r="AF18" s="50">
        <v>378</v>
      </c>
    </row>
    <row r="19" spans="1:32" ht="15" customHeight="1" x14ac:dyDescent="0.25">
      <c r="A19" s="43">
        <v>2498</v>
      </c>
      <c r="B19" s="44">
        <v>659</v>
      </c>
      <c r="C19" s="44">
        <v>678</v>
      </c>
      <c r="D19" s="44">
        <v>702</v>
      </c>
      <c r="E19" s="44">
        <v>725</v>
      </c>
      <c r="F19" s="44">
        <v>748</v>
      </c>
      <c r="G19" s="44">
        <v>778</v>
      </c>
      <c r="H19" s="44">
        <v>799</v>
      </c>
      <c r="I19" s="44">
        <v>822</v>
      </c>
      <c r="J19" s="44">
        <v>845</v>
      </c>
      <c r="K19" s="44">
        <v>869</v>
      </c>
      <c r="L19" s="44">
        <v>894</v>
      </c>
      <c r="M19" s="44">
        <v>917</v>
      </c>
      <c r="N19" s="44">
        <v>940</v>
      </c>
      <c r="O19" s="44">
        <v>1130</v>
      </c>
      <c r="P19" s="44">
        <v>1156</v>
      </c>
      <c r="Q19" s="44">
        <v>1179</v>
      </c>
      <c r="R19" s="44">
        <v>1199</v>
      </c>
      <c r="S19" s="44">
        <v>1219</v>
      </c>
      <c r="T19" s="44">
        <v>1239</v>
      </c>
      <c r="U19" s="44">
        <v>1262</v>
      </c>
      <c r="V19" s="44">
        <v>1386</v>
      </c>
      <c r="W19" s="44">
        <v>1412</v>
      </c>
      <c r="X19" s="51"/>
      <c r="Y19" s="51"/>
      <c r="Z19" s="51"/>
      <c r="AA19" s="51"/>
      <c r="AB19" s="51"/>
      <c r="AC19" s="51"/>
      <c r="AE19" s="50">
        <v>346</v>
      </c>
      <c r="AF19" s="50">
        <v>394</v>
      </c>
    </row>
    <row r="20" spans="1:32" ht="15" customHeight="1" x14ac:dyDescent="0.25">
      <c r="A20" s="43">
        <v>2632</v>
      </c>
      <c r="B20" s="44">
        <v>670</v>
      </c>
      <c r="C20" s="44">
        <v>693</v>
      </c>
      <c r="D20" s="44">
        <v>714</v>
      </c>
      <c r="E20" s="44">
        <v>738</v>
      </c>
      <c r="F20" s="44">
        <v>763</v>
      </c>
      <c r="G20" s="44">
        <v>792</v>
      </c>
      <c r="H20" s="44">
        <v>815</v>
      </c>
      <c r="I20" s="44">
        <v>838</v>
      </c>
      <c r="J20" s="44">
        <v>861</v>
      </c>
      <c r="K20" s="44">
        <v>886</v>
      </c>
      <c r="L20" s="44">
        <v>913</v>
      </c>
      <c r="M20" s="44">
        <v>937</v>
      </c>
      <c r="N20" s="44">
        <v>1126</v>
      </c>
      <c r="O20" s="44">
        <v>1150</v>
      </c>
      <c r="P20" s="44">
        <v>1179</v>
      </c>
      <c r="Q20" s="44">
        <v>1202</v>
      </c>
      <c r="R20" s="44">
        <v>1222</v>
      </c>
      <c r="S20" s="44">
        <v>1241</v>
      </c>
      <c r="T20" s="44">
        <v>1262</v>
      </c>
      <c r="U20" s="44">
        <v>1386</v>
      </c>
      <c r="V20" s="44">
        <v>1404</v>
      </c>
      <c r="W20" s="51"/>
      <c r="X20" s="51"/>
      <c r="Y20" s="51"/>
      <c r="Z20" s="51"/>
      <c r="AA20" s="51"/>
      <c r="AB20" s="51"/>
      <c r="AC20" s="51"/>
      <c r="AE20" s="50">
        <v>355</v>
      </c>
      <c r="AF20" s="50">
        <v>402</v>
      </c>
    </row>
    <row r="21" spans="1:32" ht="15" customHeight="1" x14ac:dyDescent="0.25">
      <c r="A21" s="43">
        <v>2768</v>
      </c>
      <c r="B21" s="44">
        <v>686</v>
      </c>
      <c r="C21" s="44">
        <v>710</v>
      </c>
      <c r="D21" s="44">
        <v>734</v>
      </c>
      <c r="E21" s="44">
        <v>760</v>
      </c>
      <c r="F21" s="44">
        <v>783</v>
      </c>
      <c r="G21" s="44">
        <v>815</v>
      </c>
      <c r="H21" s="44">
        <v>838</v>
      </c>
      <c r="I21" s="44">
        <v>863</v>
      </c>
      <c r="J21" s="44">
        <v>886</v>
      </c>
      <c r="K21" s="44">
        <v>910</v>
      </c>
      <c r="L21" s="44">
        <v>938</v>
      </c>
      <c r="M21" s="44">
        <v>961</v>
      </c>
      <c r="N21" s="44">
        <v>1148</v>
      </c>
      <c r="O21" s="44">
        <v>1172</v>
      </c>
      <c r="P21" s="44">
        <v>1202</v>
      </c>
      <c r="Q21" s="44">
        <v>1226</v>
      </c>
      <c r="R21" s="44">
        <v>1243</v>
      </c>
      <c r="S21" s="44">
        <v>1265</v>
      </c>
      <c r="T21" s="44">
        <v>1386</v>
      </c>
      <c r="U21" s="51"/>
      <c r="V21" s="51"/>
      <c r="W21" s="51"/>
      <c r="X21" s="51"/>
      <c r="Y21" s="51"/>
      <c r="Z21" s="51"/>
      <c r="AA21" s="51"/>
      <c r="AB21" s="51"/>
      <c r="AC21" s="51"/>
      <c r="AE21" s="50">
        <v>364</v>
      </c>
      <c r="AF21" s="50">
        <v>412</v>
      </c>
    </row>
    <row r="22" spans="1:32" ht="15" customHeight="1" x14ac:dyDescent="0.25">
      <c r="A22" s="43">
        <v>2902</v>
      </c>
      <c r="B22" s="44">
        <v>699</v>
      </c>
      <c r="C22" s="44">
        <v>724</v>
      </c>
      <c r="D22" s="44">
        <v>748</v>
      </c>
      <c r="E22" s="44">
        <v>772</v>
      </c>
      <c r="F22" s="44">
        <v>796</v>
      </c>
      <c r="G22" s="44">
        <v>829</v>
      </c>
      <c r="H22" s="44">
        <v>853</v>
      </c>
      <c r="I22" s="44">
        <v>880</v>
      </c>
      <c r="J22" s="44">
        <v>903</v>
      </c>
      <c r="K22" s="44">
        <v>929</v>
      </c>
      <c r="L22" s="44">
        <v>953</v>
      </c>
      <c r="M22" s="44">
        <v>1153</v>
      </c>
      <c r="N22" s="44">
        <v>1169</v>
      </c>
      <c r="O22" s="44">
        <v>1192</v>
      </c>
      <c r="P22" s="44">
        <v>1226</v>
      </c>
      <c r="Q22" s="44">
        <v>1247</v>
      </c>
      <c r="R22" s="44">
        <v>1269</v>
      </c>
      <c r="S22" s="44">
        <v>1390</v>
      </c>
      <c r="T22" s="51"/>
      <c r="U22" s="51"/>
      <c r="V22" s="51"/>
      <c r="W22" s="51"/>
      <c r="X22" s="51"/>
      <c r="Y22" s="51"/>
      <c r="Z22" s="51"/>
      <c r="AA22" s="51"/>
      <c r="AB22" s="51"/>
      <c r="AC22" s="51"/>
      <c r="AE22" s="50">
        <v>378</v>
      </c>
      <c r="AF22" s="50">
        <v>433</v>
      </c>
    </row>
    <row r="23" spans="1:32" ht="15" customHeight="1" x14ac:dyDescent="0.25">
      <c r="A23" s="43">
        <v>3038</v>
      </c>
      <c r="B23" s="44">
        <v>710</v>
      </c>
      <c r="C23" s="44">
        <v>734</v>
      </c>
      <c r="D23" s="44">
        <v>761</v>
      </c>
      <c r="E23" s="44">
        <v>786</v>
      </c>
      <c r="F23" s="44">
        <v>810</v>
      </c>
      <c r="G23" s="44">
        <v>844</v>
      </c>
      <c r="H23" s="44">
        <v>869</v>
      </c>
      <c r="I23" s="44">
        <v>894</v>
      </c>
      <c r="J23" s="44">
        <v>918</v>
      </c>
      <c r="K23" s="44">
        <v>945</v>
      </c>
      <c r="L23" s="44">
        <v>1146</v>
      </c>
      <c r="M23" s="44">
        <v>1173</v>
      </c>
      <c r="N23" s="44">
        <v>1188</v>
      </c>
      <c r="O23" s="44">
        <v>1215</v>
      </c>
      <c r="P23" s="44">
        <v>1247</v>
      </c>
      <c r="Q23" s="44">
        <v>1270</v>
      </c>
      <c r="R23" s="44">
        <v>1393</v>
      </c>
      <c r="S23" s="44">
        <v>1415</v>
      </c>
      <c r="T23" s="51"/>
      <c r="U23" s="51"/>
      <c r="V23" s="51"/>
      <c r="W23" s="51"/>
      <c r="X23" s="51"/>
      <c r="Y23" s="51"/>
      <c r="Z23" s="51"/>
      <c r="AA23" s="51"/>
      <c r="AB23" s="51"/>
      <c r="AC23" s="51"/>
      <c r="AE23" s="50">
        <v>386</v>
      </c>
      <c r="AF23" s="50">
        <v>441</v>
      </c>
    </row>
    <row r="24" spans="1:32" ht="15" customHeight="1" x14ac:dyDescent="0.25">
      <c r="A24" s="43">
        <v>3172</v>
      </c>
      <c r="B24" s="44">
        <v>724</v>
      </c>
      <c r="C24" s="44">
        <v>748</v>
      </c>
      <c r="D24" s="44">
        <v>775</v>
      </c>
      <c r="E24" s="44">
        <v>798</v>
      </c>
      <c r="F24" s="44">
        <v>824</v>
      </c>
      <c r="G24" s="44">
        <v>857</v>
      </c>
      <c r="H24" s="44">
        <v>886</v>
      </c>
      <c r="I24" s="44">
        <v>910</v>
      </c>
      <c r="J24" s="44">
        <v>934</v>
      </c>
      <c r="K24" s="44">
        <v>961</v>
      </c>
      <c r="L24" s="44">
        <v>1164</v>
      </c>
      <c r="M24" s="44">
        <v>1193</v>
      </c>
      <c r="N24" s="44">
        <v>1210</v>
      </c>
      <c r="O24" s="44">
        <v>1234</v>
      </c>
      <c r="P24" s="44">
        <v>1270</v>
      </c>
      <c r="Q24" s="44">
        <v>1397</v>
      </c>
      <c r="R24" s="44">
        <v>1418</v>
      </c>
      <c r="S24" s="51"/>
      <c r="T24" s="51"/>
      <c r="U24" s="51"/>
      <c r="V24" s="51"/>
      <c r="W24" s="51"/>
      <c r="X24" s="51"/>
      <c r="Y24" s="51"/>
      <c r="Z24" s="51"/>
      <c r="AA24" s="51"/>
      <c r="AB24" s="51"/>
      <c r="AC24" s="51"/>
      <c r="AE24" s="50">
        <v>405</v>
      </c>
      <c r="AF24" s="50">
        <v>460</v>
      </c>
    </row>
    <row r="25" spans="1:32" ht="15" customHeight="1" x14ac:dyDescent="0.25">
      <c r="A25" s="43">
        <v>3308</v>
      </c>
      <c r="B25" s="44">
        <v>734</v>
      </c>
      <c r="C25" s="44">
        <v>759</v>
      </c>
      <c r="D25" s="44">
        <v>786</v>
      </c>
      <c r="E25" s="44">
        <v>810</v>
      </c>
      <c r="F25" s="44">
        <v>837</v>
      </c>
      <c r="G25" s="44">
        <v>875</v>
      </c>
      <c r="H25" s="44">
        <v>902</v>
      </c>
      <c r="I25" s="44">
        <v>923</v>
      </c>
      <c r="J25" s="44">
        <v>950</v>
      </c>
      <c r="K25" s="44">
        <v>1158</v>
      </c>
      <c r="L25" s="44">
        <v>1185</v>
      </c>
      <c r="M25" s="44">
        <v>1215</v>
      </c>
      <c r="N25" s="44">
        <v>1231</v>
      </c>
      <c r="O25" s="44">
        <v>1256</v>
      </c>
      <c r="P25" s="44">
        <v>1400</v>
      </c>
      <c r="Q25" s="44">
        <v>1423</v>
      </c>
      <c r="R25" s="51"/>
      <c r="S25" s="51"/>
      <c r="T25" s="51"/>
      <c r="U25" s="51"/>
      <c r="V25" s="51"/>
      <c r="W25" s="51"/>
      <c r="X25" s="51"/>
      <c r="Y25" s="51"/>
      <c r="Z25" s="51"/>
      <c r="AA25" s="51"/>
      <c r="AB25" s="51"/>
      <c r="AC25" s="51"/>
      <c r="AE25" s="50">
        <v>413</v>
      </c>
      <c r="AF25" s="50">
        <v>470</v>
      </c>
    </row>
    <row r="26" spans="1:32" ht="15" customHeight="1" x14ac:dyDescent="0.25">
      <c r="A26" s="43">
        <v>3442</v>
      </c>
      <c r="B26" s="44">
        <v>745</v>
      </c>
      <c r="C26" s="44">
        <v>772</v>
      </c>
      <c r="D26" s="44">
        <v>799</v>
      </c>
      <c r="E26" s="44">
        <v>824</v>
      </c>
      <c r="F26" s="44">
        <v>853</v>
      </c>
      <c r="G26" s="44">
        <v>888</v>
      </c>
      <c r="H26" s="44">
        <v>915</v>
      </c>
      <c r="I26" s="44">
        <v>940</v>
      </c>
      <c r="J26" s="44">
        <v>967</v>
      </c>
      <c r="K26" s="44">
        <v>1185</v>
      </c>
      <c r="L26" s="44">
        <v>1207</v>
      </c>
      <c r="M26" s="44">
        <v>1234</v>
      </c>
      <c r="N26" s="44">
        <v>1251</v>
      </c>
      <c r="O26" s="44">
        <v>1274</v>
      </c>
      <c r="P26" s="44">
        <v>1423</v>
      </c>
      <c r="Q26" s="51"/>
      <c r="R26" s="51"/>
      <c r="S26" s="51"/>
      <c r="T26" s="51"/>
      <c r="U26" s="51"/>
      <c r="V26" s="51"/>
      <c r="W26" s="51"/>
      <c r="X26" s="51"/>
      <c r="Y26" s="51"/>
      <c r="Z26" s="51"/>
      <c r="AA26" s="51"/>
      <c r="AB26" s="51"/>
      <c r="AC26" s="51"/>
      <c r="AE26" s="50">
        <v>424</v>
      </c>
      <c r="AF26" s="50">
        <v>490</v>
      </c>
    </row>
    <row r="27" spans="1:32" ht="15" customHeight="1" x14ac:dyDescent="0.25">
      <c r="A27" s="46" t="s">
        <v>243</v>
      </c>
      <c r="B27" s="47">
        <v>170</v>
      </c>
      <c r="C27" s="47">
        <v>182</v>
      </c>
      <c r="D27" s="47">
        <v>190</v>
      </c>
      <c r="E27" s="47">
        <v>197</v>
      </c>
      <c r="F27" s="47">
        <v>207</v>
      </c>
      <c r="G27" s="47">
        <v>216</v>
      </c>
      <c r="H27" s="47">
        <v>225</v>
      </c>
      <c r="I27" s="47">
        <v>238</v>
      </c>
      <c r="J27" s="47">
        <v>244</v>
      </c>
      <c r="K27" s="47">
        <v>254</v>
      </c>
      <c r="L27" s="47">
        <v>271</v>
      </c>
      <c r="M27" s="47">
        <v>278</v>
      </c>
      <c r="N27" s="47">
        <v>289</v>
      </c>
      <c r="O27" s="47">
        <v>301</v>
      </c>
      <c r="P27" s="47">
        <v>308</v>
      </c>
      <c r="Q27" s="47">
        <v>319</v>
      </c>
      <c r="R27" s="47">
        <v>328</v>
      </c>
      <c r="S27" s="47">
        <v>335</v>
      </c>
      <c r="T27" s="47">
        <v>344</v>
      </c>
      <c r="U27" s="47">
        <v>355</v>
      </c>
      <c r="V27" s="47">
        <v>364</v>
      </c>
      <c r="W27" s="47">
        <v>382</v>
      </c>
      <c r="X27" s="47">
        <v>392</v>
      </c>
      <c r="Y27" s="47">
        <v>400</v>
      </c>
      <c r="Z27" s="47">
        <v>410</v>
      </c>
      <c r="AA27" s="47">
        <v>417</v>
      </c>
      <c r="AB27" s="47">
        <v>429</v>
      </c>
      <c r="AC27" s="47">
        <v>439</v>
      </c>
    </row>
    <row r="28" spans="1:32" ht="15" customHeight="1" x14ac:dyDescent="0.25">
      <c r="A28" s="46" t="s">
        <v>245</v>
      </c>
      <c r="B28" s="47">
        <v>182</v>
      </c>
      <c r="C28" s="47">
        <v>190</v>
      </c>
      <c r="D28" s="47">
        <v>197</v>
      </c>
      <c r="E28" s="47">
        <v>216</v>
      </c>
      <c r="F28" s="47">
        <v>225</v>
      </c>
      <c r="G28" s="47">
        <v>244</v>
      </c>
      <c r="H28" s="47">
        <v>254</v>
      </c>
      <c r="I28" s="47">
        <v>271</v>
      </c>
      <c r="J28" s="47">
        <v>278</v>
      </c>
      <c r="K28" s="47">
        <v>301</v>
      </c>
      <c r="L28" s="47">
        <v>308</v>
      </c>
      <c r="M28" s="47">
        <v>328</v>
      </c>
      <c r="N28" s="47">
        <v>335</v>
      </c>
      <c r="O28" s="47">
        <v>355</v>
      </c>
      <c r="P28" s="47">
        <v>364</v>
      </c>
      <c r="Q28" s="47">
        <v>382</v>
      </c>
      <c r="R28" s="47">
        <v>392</v>
      </c>
      <c r="S28" s="47">
        <v>400</v>
      </c>
      <c r="T28" s="47">
        <v>417</v>
      </c>
      <c r="U28" s="47">
        <v>429</v>
      </c>
      <c r="V28" s="47">
        <v>446</v>
      </c>
      <c r="W28" s="47">
        <v>455</v>
      </c>
      <c r="X28" s="47">
        <v>474</v>
      </c>
      <c r="Y28" s="47">
        <v>485</v>
      </c>
      <c r="Z28" s="47">
        <v>501</v>
      </c>
      <c r="AA28" s="47">
        <v>510</v>
      </c>
      <c r="AB28" s="47">
        <v>531</v>
      </c>
      <c r="AC28" s="47">
        <v>540</v>
      </c>
    </row>
    <row r="30" spans="1:32" ht="15" customHeight="1" x14ac:dyDescent="0.25">
      <c r="A30" s="121" t="s">
        <v>261</v>
      </c>
      <c r="B30" s="93"/>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row>
    <row r="31" spans="1:32" ht="15" customHeight="1" x14ac:dyDescent="0.25">
      <c r="A31" s="43" t="s">
        <v>260</v>
      </c>
      <c r="B31" s="43">
        <v>405</v>
      </c>
      <c r="C31" s="43">
        <v>540</v>
      </c>
      <c r="D31" s="43">
        <v>675</v>
      </c>
      <c r="E31" s="43">
        <v>810</v>
      </c>
      <c r="F31" s="43">
        <v>945</v>
      </c>
      <c r="G31" s="43">
        <v>1080</v>
      </c>
      <c r="H31" s="43">
        <v>1215</v>
      </c>
      <c r="I31" s="43">
        <v>1350</v>
      </c>
      <c r="J31" s="43">
        <v>1485</v>
      </c>
      <c r="K31" s="43">
        <v>1620</v>
      </c>
      <c r="L31" s="43">
        <v>1755</v>
      </c>
      <c r="M31" s="43">
        <v>1890</v>
      </c>
      <c r="N31" s="43">
        <v>2025</v>
      </c>
      <c r="O31" s="43">
        <v>2160</v>
      </c>
      <c r="P31" s="43">
        <v>2295</v>
      </c>
      <c r="Q31" s="43">
        <v>2430</v>
      </c>
      <c r="R31" s="43">
        <v>2565</v>
      </c>
      <c r="S31" s="43">
        <v>2700</v>
      </c>
      <c r="T31" s="43">
        <v>2835</v>
      </c>
      <c r="U31" s="43">
        <v>2970</v>
      </c>
      <c r="V31" s="43">
        <v>3105</v>
      </c>
      <c r="W31" s="43">
        <v>3240</v>
      </c>
      <c r="X31" s="43">
        <v>3375</v>
      </c>
      <c r="Y31" s="43">
        <v>3510</v>
      </c>
      <c r="Z31" s="43">
        <v>3645</v>
      </c>
      <c r="AA31" s="43">
        <v>3780</v>
      </c>
      <c r="AB31" s="43">
        <v>3915</v>
      </c>
      <c r="AC31" s="43">
        <v>4050</v>
      </c>
    </row>
    <row r="32" spans="1:32" ht="15" customHeight="1" x14ac:dyDescent="0.25">
      <c r="A32" s="43">
        <v>608</v>
      </c>
      <c r="B32" s="45">
        <v>0.25</v>
      </c>
      <c r="C32" s="45">
        <v>0.25</v>
      </c>
      <c r="D32" s="45">
        <v>0.25</v>
      </c>
      <c r="E32" s="45">
        <v>0.25</v>
      </c>
      <c r="F32" s="45">
        <v>0.25</v>
      </c>
      <c r="G32" s="45">
        <v>0.25</v>
      </c>
      <c r="H32" s="45">
        <v>0.25</v>
      </c>
      <c r="I32" s="45">
        <v>0.25</v>
      </c>
      <c r="J32" s="45">
        <v>0.25</v>
      </c>
      <c r="K32" s="45">
        <v>0.25</v>
      </c>
      <c r="L32" s="45">
        <v>0.25</v>
      </c>
      <c r="M32" s="45">
        <v>0.25</v>
      </c>
      <c r="N32" s="45">
        <v>0.26</v>
      </c>
      <c r="O32" s="45">
        <v>0.28000000000000003</v>
      </c>
      <c r="P32" s="45">
        <v>0.28999999999999998</v>
      </c>
      <c r="Q32" s="45">
        <v>0.31</v>
      </c>
      <c r="R32" s="45">
        <v>0.33</v>
      </c>
      <c r="S32" s="45">
        <v>0.34</v>
      </c>
      <c r="T32" s="45">
        <v>0.36</v>
      </c>
      <c r="U32" s="45">
        <v>0.38</v>
      </c>
      <c r="V32" s="45">
        <v>0.4</v>
      </c>
      <c r="W32" s="45">
        <v>0.41</v>
      </c>
      <c r="X32" s="45">
        <v>0.43</v>
      </c>
      <c r="Y32" s="45">
        <v>0.45</v>
      </c>
      <c r="Z32" s="45">
        <v>0.47</v>
      </c>
      <c r="AA32" s="45">
        <v>0.48</v>
      </c>
      <c r="AB32" s="45">
        <v>0.5</v>
      </c>
      <c r="AC32" s="45">
        <v>0.52</v>
      </c>
    </row>
    <row r="33" spans="1:29" ht="15" customHeight="1" x14ac:dyDescent="0.25">
      <c r="A33" s="43">
        <v>742</v>
      </c>
      <c r="B33" s="45">
        <v>0.25</v>
      </c>
      <c r="C33" s="45">
        <v>0.25</v>
      </c>
      <c r="D33" s="45">
        <v>0.25</v>
      </c>
      <c r="E33" s="45">
        <v>0.25</v>
      </c>
      <c r="F33" s="45">
        <v>0.25</v>
      </c>
      <c r="G33" s="45">
        <v>0.25</v>
      </c>
      <c r="H33" s="45">
        <v>0.25</v>
      </c>
      <c r="I33" s="45">
        <v>0.25</v>
      </c>
      <c r="J33" s="45">
        <v>0.25</v>
      </c>
      <c r="K33" s="45">
        <v>0.26</v>
      </c>
      <c r="L33" s="45">
        <v>0.28000000000000003</v>
      </c>
      <c r="M33" s="45">
        <v>0.3</v>
      </c>
      <c r="N33" s="45">
        <v>0.33</v>
      </c>
      <c r="O33" s="45">
        <v>0.35</v>
      </c>
      <c r="P33" s="45">
        <v>0.38</v>
      </c>
      <c r="Q33" s="45">
        <v>0.4</v>
      </c>
      <c r="R33" s="45">
        <v>0.42</v>
      </c>
      <c r="S33" s="45">
        <v>0.44</v>
      </c>
      <c r="T33" s="45">
        <v>0.47</v>
      </c>
      <c r="U33" s="45">
        <v>0.48</v>
      </c>
      <c r="V33" s="45">
        <v>0.51</v>
      </c>
      <c r="W33" s="45">
        <v>0.53</v>
      </c>
      <c r="X33" s="45">
        <v>0.56000000000000005</v>
      </c>
      <c r="Y33" s="45">
        <v>0.56999999999999995</v>
      </c>
      <c r="Z33" s="45">
        <v>0.6</v>
      </c>
      <c r="AA33" s="45">
        <v>0.62</v>
      </c>
      <c r="AB33" s="45">
        <v>0.65</v>
      </c>
      <c r="AC33" s="45">
        <v>0.67</v>
      </c>
    </row>
    <row r="34" spans="1:29" ht="15" customHeight="1" x14ac:dyDescent="0.25">
      <c r="A34" s="43">
        <v>878</v>
      </c>
      <c r="B34" s="45">
        <v>0.25</v>
      </c>
      <c r="C34" s="45">
        <v>0.25</v>
      </c>
      <c r="D34" s="45">
        <v>0.25</v>
      </c>
      <c r="E34" s="45">
        <v>0.25</v>
      </c>
      <c r="F34" s="45">
        <v>0.25</v>
      </c>
      <c r="G34" s="45">
        <v>0.25</v>
      </c>
      <c r="H34" s="45">
        <v>0.25</v>
      </c>
      <c r="I34" s="45">
        <v>0.27</v>
      </c>
      <c r="J34" s="45">
        <v>0.28999999999999998</v>
      </c>
      <c r="K34" s="45">
        <v>0.32</v>
      </c>
      <c r="L34" s="45">
        <v>0.34</v>
      </c>
      <c r="M34" s="45">
        <v>0.38</v>
      </c>
      <c r="N34" s="45">
        <v>0.4</v>
      </c>
      <c r="O34" s="45">
        <v>0.43</v>
      </c>
      <c r="P34" s="45">
        <v>0.46</v>
      </c>
      <c r="Q34" s="45">
        <v>0.48</v>
      </c>
      <c r="R34" s="45">
        <v>0.51</v>
      </c>
      <c r="S34" s="45">
        <v>0.54</v>
      </c>
      <c r="T34" s="45">
        <v>0.56000000000000005</v>
      </c>
      <c r="U34" s="45">
        <v>0.59</v>
      </c>
      <c r="V34" s="45">
        <v>0.62</v>
      </c>
      <c r="W34" s="45">
        <v>0.65</v>
      </c>
      <c r="X34" s="45">
        <v>0.68</v>
      </c>
      <c r="Y34" s="45">
        <v>0.7</v>
      </c>
      <c r="Z34" s="45">
        <v>0.73</v>
      </c>
      <c r="AA34" s="45">
        <v>0.76</v>
      </c>
      <c r="AB34" s="45">
        <v>0.79</v>
      </c>
      <c r="AC34" s="45">
        <v>0.81</v>
      </c>
    </row>
    <row r="35" spans="1:29" ht="15" customHeight="1" x14ac:dyDescent="0.25">
      <c r="A35" s="43">
        <v>1013</v>
      </c>
      <c r="B35" s="45">
        <v>0.08</v>
      </c>
      <c r="C35" s="45">
        <v>0.12</v>
      </c>
      <c r="D35" s="45">
        <v>0.14000000000000001</v>
      </c>
      <c r="E35" s="45">
        <v>0.18</v>
      </c>
      <c r="F35" s="45">
        <v>0.21</v>
      </c>
      <c r="G35" s="45">
        <v>0.24</v>
      </c>
      <c r="H35" s="45">
        <v>0.28000000000000003</v>
      </c>
      <c r="I35" s="45">
        <v>0.31</v>
      </c>
      <c r="J35" s="45">
        <v>0.34</v>
      </c>
      <c r="K35" s="45">
        <v>0.38</v>
      </c>
      <c r="L35" s="45">
        <v>0.41</v>
      </c>
      <c r="M35" s="45">
        <v>0.44</v>
      </c>
      <c r="N35" s="45">
        <v>0.47</v>
      </c>
      <c r="O35" s="45">
        <v>0.51</v>
      </c>
      <c r="P35" s="45">
        <v>0.54</v>
      </c>
      <c r="Q35" s="45">
        <v>0.56999999999999995</v>
      </c>
      <c r="R35" s="45">
        <v>0.6</v>
      </c>
      <c r="S35" s="45">
        <v>0.64</v>
      </c>
      <c r="T35" s="45">
        <v>0.67</v>
      </c>
      <c r="U35" s="45">
        <v>0.7</v>
      </c>
      <c r="V35" s="45">
        <v>0.73</v>
      </c>
      <c r="W35" s="45">
        <v>0.77</v>
      </c>
      <c r="X35" s="45">
        <v>0.8</v>
      </c>
      <c r="Y35" s="45">
        <v>0.83</v>
      </c>
      <c r="Z35" s="45">
        <v>0.86</v>
      </c>
      <c r="AA35" s="45">
        <v>0.9</v>
      </c>
      <c r="AB35" s="45">
        <v>0.93</v>
      </c>
      <c r="AC35" s="45">
        <v>0.96</v>
      </c>
    </row>
    <row r="36" spans="1:29" ht="15" customHeight="1" x14ac:dyDescent="0.25">
      <c r="A36" s="43">
        <v>1148</v>
      </c>
      <c r="B36" s="45">
        <v>0.1</v>
      </c>
      <c r="C36" s="45">
        <v>0.13</v>
      </c>
      <c r="D36" s="45">
        <v>0.17</v>
      </c>
      <c r="E36" s="45">
        <v>0.21</v>
      </c>
      <c r="F36" s="45">
        <v>0.24</v>
      </c>
      <c r="G36" s="45">
        <v>0.28000000000000003</v>
      </c>
      <c r="H36" s="45">
        <v>0.32</v>
      </c>
      <c r="I36" s="45">
        <v>0.36</v>
      </c>
      <c r="J36" s="45">
        <v>0.4</v>
      </c>
      <c r="K36" s="45">
        <v>0.43</v>
      </c>
      <c r="L36" s="45">
        <v>0.47</v>
      </c>
      <c r="M36" s="45">
        <v>0.51</v>
      </c>
      <c r="N36" s="45">
        <v>0.55000000000000004</v>
      </c>
      <c r="O36" s="45">
        <v>0.57999999999999996</v>
      </c>
      <c r="P36" s="45">
        <v>0.62</v>
      </c>
      <c r="Q36" s="45">
        <v>0.66</v>
      </c>
      <c r="R36" s="45">
        <v>0.69</v>
      </c>
      <c r="S36" s="45">
        <v>0.73</v>
      </c>
      <c r="T36" s="45">
        <v>0.77</v>
      </c>
      <c r="U36" s="45">
        <v>0.81</v>
      </c>
      <c r="V36" s="45">
        <v>0.84</v>
      </c>
      <c r="W36" s="45">
        <v>0.89</v>
      </c>
      <c r="X36" s="45">
        <v>0.92</v>
      </c>
      <c r="Y36" s="45">
        <v>0.96</v>
      </c>
      <c r="Z36" s="45">
        <v>0.99</v>
      </c>
      <c r="AA36" s="45">
        <v>1</v>
      </c>
      <c r="AB36" s="45">
        <v>1</v>
      </c>
      <c r="AC36" s="45">
        <v>1</v>
      </c>
    </row>
    <row r="37" spans="1:29" ht="15" customHeight="1" x14ac:dyDescent="0.25">
      <c r="A37" s="43">
        <v>1282</v>
      </c>
      <c r="B37" s="45">
        <v>0.1</v>
      </c>
      <c r="C37" s="45">
        <v>0.15</v>
      </c>
      <c r="D37" s="45">
        <v>0.2</v>
      </c>
      <c r="E37" s="45">
        <v>0.23</v>
      </c>
      <c r="F37" s="45">
        <v>0.28000000000000003</v>
      </c>
      <c r="G37" s="45">
        <v>0.32</v>
      </c>
      <c r="H37" s="45">
        <v>0.36</v>
      </c>
      <c r="I37" s="45">
        <v>0.41</v>
      </c>
      <c r="J37" s="45">
        <v>0.45</v>
      </c>
      <c r="K37" s="45">
        <v>0.49</v>
      </c>
      <c r="L37" s="45">
        <v>0.54</v>
      </c>
      <c r="M37" s="45">
        <v>0.56999999999999995</v>
      </c>
      <c r="N37" s="45">
        <v>0.62</v>
      </c>
      <c r="O37" s="45">
        <v>0.66</v>
      </c>
      <c r="P37" s="45">
        <v>0.7</v>
      </c>
      <c r="Q37" s="45">
        <v>0.74</v>
      </c>
      <c r="R37" s="45">
        <v>0.79</v>
      </c>
      <c r="S37" s="45">
        <v>0.83</v>
      </c>
      <c r="T37" s="45">
        <v>0.88</v>
      </c>
      <c r="U37" s="45">
        <v>0.92</v>
      </c>
      <c r="V37" s="45">
        <v>0.96</v>
      </c>
      <c r="W37" s="45">
        <v>1</v>
      </c>
      <c r="X37" s="45">
        <v>1</v>
      </c>
      <c r="Y37" s="45">
        <v>1</v>
      </c>
      <c r="Z37" s="45">
        <v>2</v>
      </c>
      <c r="AA37" s="45">
        <v>2</v>
      </c>
      <c r="AB37" s="45">
        <v>2</v>
      </c>
      <c r="AC37" s="45">
        <v>2</v>
      </c>
    </row>
    <row r="38" spans="1:29" ht="15" customHeight="1" x14ac:dyDescent="0.25">
      <c r="A38" s="43">
        <v>1418</v>
      </c>
      <c r="B38" s="45">
        <v>0.12</v>
      </c>
      <c r="C38" s="45">
        <v>0.17</v>
      </c>
      <c r="D38" s="45">
        <v>0.21</v>
      </c>
      <c r="E38" s="45">
        <v>0.27</v>
      </c>
      <c r="F38" s="45">
        <v>0.31</v>
      </c>
      <c r="G38" s="45">
        <v>0.36</v>
      </c>
      <c r="H38" s="45">
        <v>0.41</v>
      </c>
      <c r="I38" s="45">
        <v>0.46</v>
      </c>
      <c r="J38" s="45">
        <v>0.5</v>
      </c>
      <c r="K38" s="45">
        <v>0.55000000000000004</v>
      </c>
      <c r="L38" s="45">
        <v>0.59</v>
      </c>
      <c r="M38" s="45">
        <v>0.65</v>
      </c>
      <c r="N38" s="45">
        <v>0.69</v>
      </c>
      <c r="O38" s="45">
        <v>0.74</v>
      </c>
      <c r="P38" s="45">
        <v>0.79</v>
      </c>
      <c r="Q38" s="45">
        <v>0.83</v>
      </c>
      <c r="R38" s="45">
        <v>0.88</v>
      </c>
      <c r="S38" s="45">
        <v>0.93</v>
      </c>
      <c r="T38" s="45">
        <v>0.97</v>
      </c>
      <c r="U38" s="45">
        <v>1</v>
      </c>
      <c r="V38" s="45">
        <v>1</v>
      </c>
      <c r="W38" s="45">
        <v>2</v>
      </c>
      <c r="X38" s="45">
        <v>2</v>
      </c>
      <c r="Y38" s="45">
        <v>2</v>
      </c>
      <c r="Z38" s="45">
        <v>2</v>
      </c>
      <c r="AA38" s="45">
        <v>2</v>
      </c>
      <c r="AB38" s="45">
        <v>2</v>
      </c>
      <c r="AC38" s="45">
        <v>2</v>
      </c>
    </row>
    <row r="39" spans="1:29" ht="15" customHeight="1" x14ac:dyDescent="0.25">
      <c r="A39" s="43">
        <v>1552</v>
      </c>
      <c r="B39" s="45">
        <v>0.14000000000000001</v>
      </c>
      <c r="C39" s="45">
        <v>0.18</v>
      </c>
      <c r="D39" s="45">
        <v>0.24</v>
      </c>
      <c r="E39" s="45">
        <v>0.28999999999999998</v>
      </c>
      <c r="F39" s="45">
        <v>0.34</v>
      </c>
      <c r="G39" s="45">
        <v>0.4</v>
      </c>
      <c r="H39" s="45">
        <v>0.45</v>
      </c>
      <c r="I39" s="45">
        <v>0.5</v>
      </c>
      <c r="J39" s="45">
        <v>0.56000000000000005</v>
      </c>
      <c r="K39" s="45">
        <v>0.6</v>
      </c>
      <c r="L39" s="45">
        <v>0.66</v>
      </c>
      <c r="M39" s="45">
        <v>0.71</v>
      </c>
      <c r="N39" s="45">
        <v>0.77</v>
      </c>
      <c r="O39" s="45">
        <v>0.81</v>
      </c>
      <c r="P39" s="45">
        <v>0.87</v>
      </c>
      <c r="Q39" s="45">
        <v>0.92</v>
      </c>
      <c r="R39" s="45">
        <v>0.97</v>
      </c>
      <c r="S39" s="45">
        <v>1</v>
      </c>
      <c r="T39" s="45">
        <v>1</v>
      </c>
      <c r="U39" s="45">
        <v>2</v>
      </c>
      <c r="V39" s="45">
        <v>2</v>
      </c>
      <c r="W39" s="45">
        <v>2</v>
      </c>
      <c r="X39" s="45">
        <v>2</v>
      </c>
      <c r="Y39" s="45">
        <v>2</v>
      </c>
      <c r="Z39" s="45">
        <v>2</v>
      </c>
      <c r="AA39" s="45">
        <v>2</v>
      </c>
      <c r="AB39" s="45">
        <v>2</v>
      </c>
      <c r="AC39" s="45">
        <v>2</v>
      </c>
    </row>
    <row r="40" spans="1:29" ht="15" customHeight="1" x14ac:dyDescent="0.25">
      <c r="A40" s="43">
        <v>1688</v>
      </c>
      <c r="B40" s="45">
        <v>0.14000000000000001</v>
      </c>
      <c r="C40" s="45">
        <v>0.2</v>
      </c>
      <c r="D40" s="45">
        <v>0.26</v>
      </c>
      <c r="E40" s="45">
        <v>0.32</v>
      </c>
      <c r="F40" s="45">
        <v>0.38</v>
      </c>
      <c r="G40" s="45">
        <v>0.43</v>
      </c>
      <c r="H40" s="45">
        <v>0.49</v>
      </c>
      <c r="I40" s="45">
        <v>0.55000000000000004</v>
      </c>
      <c r="J40" s="45">
        <v>0.6</v>
      </c>
      <c r="K40" s="45">
        <v>0.67</v>
      </c>
      <c r="L40" s="45">
        <v>0.72</v>
      </c>
      <c r="M40" s="45">
        <v>0.78</v>
      </c>
      <c r="N40" s="45">
        <v>0.83</v>
      </c>
      <c r="O40" s="45">
        <v>0.9</v>
      </c>
      <c r="P40" s="45">
        <v>0.95</v>
      </c>
      <c r="Q40" s="45">
        <v>1</v>
      </c>
      <c r="R40" s="45">
        <v>1</v>
      </c>
      <c r="S40" s="45">
        <v>2</v>
      </c>
      <c r="T40" s="45">
        <v>2</v>
      </c>
      <c r="U40" s="45">
        <v>2</v>
      </c>
      <c r="V40" s="45">
        <v>2</v>
      </c>
      <c r="W40" s="45">
        <v>2</v>
      </c>
      <c r="X40" s="45">
        <v>2</v>
      </c>
      <c r="Y40" s="45">
        <v>2</v>
      </c>
      <c r="Z40" s="45">
        <v>2</v>
      </c>
      <c r="AA40" s="45">
        <v>2</v>
      </c>
      <c r="AB40" s="45">
        <v>2</v>
      </c>
      <c r="AC40" s="45">
        <v>2</v>
      </c>
    </row>
    <row r="41" spans="1:29" ht="15" customHeight="1" x14ac:dyDescent="0.25">
      <c r="A41" s="43">
        <v>1823</v>
      </c>
      <c r="B41" s="45">
        <v>0.16</v>
      </c>
      <c r="C41" s="45">
        <v>0.22</v>
      </c>
      <c r="D41" s="45">
        <v>0.28000000000000003</v>
      </c>
      <c r="E41" s="45">
        <v>0.34</v>
      </c>
      <c r="F41" s="45">
        <v>0.41</v>
      </c>
      <c r="G41" s="45">
        <v>0.47</v>
      </c>
      <c r="H41" s="45">
        <v>0.54</v>
      </c>
      <c r="I41" s="45">
        <v>0.59</v>
      </c>
      <c r="J41" s="45">
        <v>0.66</v>
      </c>
      <c r="K41" s="45">
        <v>0.72</v>
      </c>
      <c r="L41" s="45">
        <v>0.79</v>
      </c>
      <c r="M41" s="45">
        <v>0.84</v>
      </c>
      <c r="N41" s="45">
        <v>0.91</v>
      </c>
      <c r="O41" s="45">
        <v>0.97</v>
      </c>
      <c r="P41" s="45">
        <v>1</v>
      </c>
      <c r="Q41" s="45">
        <v>1</v>
      </c>
      <c r="R41" s="45">
        <v>2</v>
      </c>
      <c r="S41" s="45">
        <v>2</v>
      </c>
      <c r="T41" s="45">
        <v>2</v>
      </c>
      <c r="U41" s="45">
        <v>2</v>
      </c>
      <c r="V41" s="45">
        <v>2</v>
      </c>
      <c r="W41" s="45">
        <v>2</v>
      </c>
      <c r="X41" s="45">
        <v>2</v>
      </c>
      <c r="Y41" s="45">
        <v>2</v>
      </c>
      <c r="Z41" s="45">
        <v>2</v>
      </c>
      <c r="AA41" s="45">
        <v>2</v>
      </c>
      <c r="AB41" s="45">
        <v>2</v>
      </c>
      <c r="AC41" s="45">
        <v>2</v>
      </c>
    </row>
    <row r="42" spans="1:29" ht="15" customHeight="1" x14ac:dyDescent="0.25">
      <c r="A42" s="43">
        <v>1958</v>
      </c>
      <c r="B42" s="45">
        <v>0.17</v>
      </c>
      <c r="C42" s="45">
        <v>0.24</v>
      </c>
      <c r="D42" s="45">
        <v>0.3</v>
      </c>
      <c r="E42" s="45">
        <v>0.38</v>
      </c>
      <c r="F42" s="45">
        <v>0.44</v>
      </c>
      <c r="G42" s="45">
        <v>0.51</v>
      </c>
      <c r="H42" s="45">
        <v>0.56999999999999995</v>
      </c>
      <c r="I42" s="45">
        <v>0.65</v>
      </c>
      <c r="J42" s="45">
        <v>0.71</v>
      </c>
      <c r="K42" s="45">
        <v>0.78</v>
      </c>
      <c r="L42" s="45">
        <v>0.84</v>
      </c>
      <c r="M42" s="45">
        <v>0.92</v>
      </c>
      <c r="N42" s="45">
        <v>0.98</v>
      </c>
      <c r="O42" s="45">
        <v>1</v>
      </c>
      <c r="P42" s="45">
        <v>1</v>
      </c>
      <c r="Q42" s="45">
        <v>2</v>
      </c>
      <c r="R42" s="45">
        <v>2</v>
      </c>
      <c r="S42" s="45">
        <v>2</v>
      </c>
      <c r="T42" s="45">
        <v>2</v>
      </c>
      <c r="U42" s="45">
        <v>2</v>
      </c>
      <c r="V42" s="45">
        <v>2</v>
      </c>
      <c r="W42" s="45">
        <v>2</v>
      </c>
      <c r="X42" s="45">
        <v>2</v>
      </c>
      <c r="Y42" s="45">
        <v>2</v>
      </c>
      <c r="Z42" s="45">
        <v>2</v>
      </c>
      <c r="AA42" s="45">
        <v>3</v>
      </c>
      <c r="AB42" s="45">
        <v>3</v>
      </c>
      <c r="AC42" s="45">
        <v>3</v>
      </c>
    </row>
    <row r="43" spans="1:29" ht="15" customHeight="1" x14ac:dyDescent="0.25">
      <c r="A43" s="43">
        <v>2092</v>
      </c>
      <c r="B43" s="45">
        <v>0.18</v>
      </c>
      <c r="C43" s="45">
        <v>0.26</v>
      </c>
      <c r="D43" s="45">
        <v>0.33</v>
      </c>
      <c r="E43" s="45">
        <v>0.4</v>
      </c>
      <c r="F43" s="45">
        <v>0.47</v>
      </c>
      <c r="G43" s="45">
        <v>0.55000000000000004</v>
      </c>
      <c r="H43" s="45">
        <v>0.62</v>
      </c>
      <c r="I43" s="45">
        <v>0.69</v>
      </c>
      <c r="J43" s="45">
        <v>0.77</v>
      </c>
      <c r="K43" s="45">
        <v>0.83</v>
      </c>
      <c r="L43" s="45">
        <v>0.91</v>
      </c>
      <c r="M43" s="45">
        <v>0.98</v>
      </c>
      <c r="N43" s="45">
        <v>1</v>
      </c>
      <c r="O43" s="45">
        <v>2</v>
      </c>
      <c r="P43" s="45">
        <v>2</v>
      </c>
      <c r="Q43" s="45">
        <v>2</v>
      </c>
      <c r="R43" s="45">
        <v>2</v>
      </c>
      <c r="S43" s="45">
        <v>2</v>
      </c>
      <c r="T43" s="45">
        <v>2</v>
      </c>
      <c r="U43" s="45">
        <v>2</v>
      </c>
      <c r="V43" s="45">
        <v>2</v>
      </c>
      <c r="W43" s="45">
        <v>2</v>
      </c>
      <c r="X43" s="45">
        <v>2</v>
      </c>
      <c r="Y43" s="45">
        <v>2</v>
      </c>
      <c r="Z43" s="45">
        <v>3</v>
      </c>
      <c r="AA43" s="45">
        <v>3</v>
      </c>
      <c r="AB43" s="45">
        <v>3</v>
      </c>
      <c r="AC43" s="52"/>
    </row>
    <row r="44" spans="1:29" ht="15" customHeight="1" x14ac:dyDescent="0.25">
      <c r="A44" s="43">
        <v>2228</v>
      </c>
      <c r="B44" s="45">
        <v>0.2</v>
      </c>
      <c r="C44" s="45">
        <v>0.28000000000000003</v>
      </c>
      <c r="D44" s="45">
        <v>0.35</v>
      </c>
      <c r="E44" s="45">
        <v>0.43</v>
      </c>
      <c r="F44" s="45">
        <v>0.51</v>
      </c>
      <c r="G44" s="45">
        <v>0.57999999999999996</v>
      </c>
      <c r="H44" s="45">
        <v>0.66</v>
      </c>
      <c r="I44" s="45">
        <v>0.74</v>
      </c>
      <c r="J44" s="45">
        <v>0.81</v>
      </c>
      <c r="K44" s="45">
        <v>0.9</v>
      </c>
      <c r="L44" s="45">
        <v>0.97</v>
      </c>
      <c r="M44" s="45">
        <v>1</v>
      </c>
      <c r="N44" s="45">
        <v>2</v>
      </c>
      <c r="O44" s="45">
        <v>2</v>
      </c>
      <c r="P44" s="45">
        <v>2</v>
      </c>
      <c r="Q44" s="45">
        <v>2</v>
      </c>
      <c r="R44" s="45">
        <v>2</v>
      </c>
      <c r="S44" s="45">
        <v>2</v>
      </c>
      <c r="T44" s="45">
        <v>2</v>
      </c>
      <c r="U44" s="45">
        <v>2</v>
      </c>
      <c r="V44" s="45">
        <v>2</v>
      </c>
      <c r="W44" s="45">
        <v>2</v>
      </c>
      <c r="X44" s="45">
        <v>3</v>
      </c>
      <c r="Y44" s="45">
        <v>3</v>
      </c>
      <c r="Z44" s="45">
        <v>3</v>
      </c>
      <c r="AA44" s="52"/>
      <c r="AB44" s="52"/>
      <c r="AC44" s="52"/>
    </row>
    <row r="45" spans="1:29" ht="15" customHeight="1" x14ac:dyDescent="0.25">
      <c r="A45" s="43">
        <v>2362</v>
      </c>
      <c r="B45" s="45">
        <v>0.21</v>
      </c>
      <c r="C45" s="45">
        <v>0.28999999999999998</v>
      </c>
      <c r="D45" s="45">
        <v>0.38</v>
      </c>
      <c r="E45" s="45">
        <v>0.46</v>
      </c>
      <c r="F45" s="45">
        <v>0.54</v>
      </c>
      <c r="G45" s="45">
        <v>0.62</v>
      </c>
      <c r="H45" s="45">
        <v>0.7</v>
      </c>
      <c r="I45" s="45">
        <v>0.79</v>
      </c>
      <c r="J45" s="45">
        <v>0.87</v>
      </c>
      <c r="K45" s="45">
        <v>0.95</v>
      </c>
      <c r="L45" s="45">
        <v>1</v>
      </c>
      <c r="M45" s="45">
        <v>1</v>
      </c>
      <c r="N45" s="45">
        <v>2</v>
      </c>
      <c r="O45" s="45">
        <v>2</v>
      </c>
      <c r="P45" s="45">
        <v>2</v>
      </c>
      <c r="Q45" s="45">
        <v>2</v>
      </c>
      <c r="R45" s="45">
        <v>2</v>
      </c>
      <c r="S45" s="45">
        <v>2</v>
      </c>
      <c r="T45" s="45">
        <v>2</v>
      </c>
      <c r="U45" s="45">
        <v>2</v>
      </c>
      <c r="V45" s="45">
        <v>3</v>
      </c>
      <c r="W45" s="45">
        <v>3</v>
      </c>
      <c r="X45" s="45">
        <v>3</v>
      </c>
      <c r="Y45" s="45">
        <v>3</v>
      </c>
      <c r="Z45" s="52"/>
      <c r="AA45" s="52"/>
      <c r="AB45" s="52"/>
      <c r="AC45" s="52"/>
    </row>
    <row r="46" spans="1:29" ht="15" customHeight="1" x14ac:dyDescent="0.25">
      <c r="A46" s="43">
        <v>2498</v>
      </c>
      <c r="B46" s="45">
        <v>0.22</v>
      </c>
      <c r="C46" s="45">
        <v>0.31</v>
      </c>
      <c r="D46" s="45">
        <v>0.4</v>
      </c>
      <c r="E46" s="45">
        <v>0.48</v>
      </c>
      <c r="F46" s="45">
        <v>0.56999999999999995</v>
      </c>
      <c r="G46" s="45">
        <v>0.66</v>
      </c>
      <c r="H46" s="45">
        <v>0.74</v>
      </c>
      <c r="I46" s="45">
        <v>0.83</v>
      </c>
      <c r="J46" s="45">
        <v>0.92</v>
      </c>
      <c r="K46" s="45">
        <v>1</v>
      </c>
      <c r="L46" s="45">
        <v>1</v>
      </c>
      <c r="M46" s="45">
        <v>2</v>
      </c>
      <c r="N46" s="45">
        <v>2</v>
      </c>
      <c r="O46" s="45">
        <v>2</v>
      </c>
      <c r="P46" s="45">
        <v>2</v>
      </c>
      <c r="Q46" s="45">
        <v>2</v>
      </c>
      <c r="R46" s="45">
        <v>2</v>
      </c>
      <c r="S46" s="45">
        <v>2</v>
      </c>
      <c r="T46" s="45">
        <v>2</v>
      </c>
      <c r="U46" s="45">
        <v>3</v>
      </c>
      <c r="V46" s="45">
        <v>3</v>
      </c>
      <c r="W46" s="45">
        <v>3</v>
      </c>
      <c r="X46" s="52"/>
      <c r="Y46" s="52"/>
      <c r="Z46" s="52"/>
      <c r="AA46" s="52"/>
      <c r="AB46" s="52"/>
      <c r="AC46" s="52"/>
    </row>
    <row r="47" spans="1:29" ht="15" customHeight="1" x14ac:dyDescent="0.25">
      <c r="A47" s="43">
        <v>2632</v>
      </c>
      <c r="B47" s="45">
        <v>0.23</v>
      </c>
      <c r="C47" s="45">
        <v>0.33</v>
      </c>
      <c r="D47" s="45">
        <v>0.42</v>
      </c>
      <c r="E47" s="45">
        <v>0.51</v>
      </c>
      <c r="F47" s="45">
        <v>0.6</v>
      </c>
      <c r="G47" s="45">
        <v>0.69</v>
      </c>
      <c r="H47" s="45">
        <v>0.79</v>
      </c>
      <c r="I47" s="45">
        <v>0.88</v>
      </c>
      <c r="J47" s="45">
        <v>0.97</v>
      </c>
      <c r="K47" s="45">
        <v>1</v>
      </c>
      <c r="L47" s="45">
        <v>2</v>
      </c>
      <c r="M47" s="45">
        <v>2</v>
      </c>
      <c r="N47" s="45">
        <v>2</v>
      </c>
      <c r="O47" s="45">
        <v>2</v>
      </c>
      <c r="P47" s="45">
        <v>2</v>
      </c>
      <c r="Q47" s="45">
        <v>2</v>
      </c>
      <c r="R47" s="45">
        <v>2</v>
      </c>
      <c r="S47" s="45">
        <v>2</v>
      </c>
      <c r="T47" s="45">
        <v>3</v>
      </c>
      <c r="U47" s="45">
        <v>3</v>
      </c>
      <c r="V47" s="45">
        <v>3</v>
      </c>
      <c r="W47" s="52"/>
      <c r="X47" s="52"/>
      <c r="Y47" s="52"/>
      <c r="Z47" s="52"/>
      <c r="AA47" s="52"/>
      <c r="AB47" s="52"/>
      <c r="AC47" s="52"/>
    </row>
    <row r="48" spans="1:29" ht="15" customHeight="1" x14ac:dyDescent="0.25">
      <c r="A48" s="43">
        <v>2768</v>
      </c>
      <c r="B48" s="45">
        <v>0.24</v>
      </c>
      <c r="C48" s="45">
        <v>0.34</v>
      </c>
      <c r="D48" s="45">
        <v>0.44</v>
      </c>
      <c r="E48" s="45">
        <v>0.54</v>
      </c>
      <c r="F48" s="45">
        <v>0.64</v>
      </c>
      <c r="G48" s="45">
        <v>0.73</v>
      </c>
      <c r="H48" s="45">
        <v>0.83</v>
      </c>
      <c r="I48" s="45">
        <v>0.93</v>
      </c>
      <c r="J48" s="45">
        <v>1</v>
      </c>
      <c r="K48" s="45">
        <v>2</v>
      </c>
      <c r="L48" s="45">
        <v>2</v>
      </c>
      <c r="M48" s="45">
        <v>2</v>
      </c>
      <c r="N48" s="45">
        <v>2</v>
      </c>
      <c r="O48" s="45">
        <v>2</v>
      </c>
      <c r="P48" s="45">
        <v>2</v>
      </c>
      <c r="Q48" s="45">
        <v>2</v>
      </c>
      <c r="R48" s="45">
        <v>2</v>
      </c>
      <c r="S48" s="45">
        <v>3</v>
      </c>
      <c r="T48" s="45">
        <v>3</v>
      </c>
      <c r="U48" s="52"/>
      <c r="V48" s="52"/>
      <c r="W48" s="52"/>
      <c r="X48" s="52"/>
      <c r="Y48" s="52"/>
      <c r="Z48" s="52"/>
      <c r="AA48" s="52"/>
      <c r="AB48" s="52"/>
      <c r="AC48" s="52"/>
    </row>
    <row r="49" spans="1:29" ht="15" customHeight="1" x14ac:dyDescent="0.25">
      <c r="A49" s="43">
        <v>2902</v>
      </c>
      <c r="B49" s="45">
        <v>0.26</v>
      </c>
      <c r="C49" s="45">
        <v>0.36</v>
      </c>
      <c r="D49" s="45">
        <v>0.47</v>
      </c>
      <c r="E49" s="45">
        <v>0.56000000000000005</v>
      </c>
      <c r="F49" s="45">
        <v>0.67</v>
      </c>
      <c r="G49" s="45">
        <v>0.77</v>
      </c>
      <c r="H49" s="45">
        <v>0.88</v>
      </c>
      <c r="I49" s="45">
        <v>0.97</v>
      </c>
      <c r="J49" s="45">
        <v>1</v>
      </c>
      <c r="K49" s="45">
        <v>2</v>
      </c>
      <c r="L49" s="45">
        <v>2</v>
      </c>
      <c r="M49" s="45">
        <v>2</v>
      </c>
      <c r="N49" s="45">
        <v>2</v>
      </c>
      <c r="O49" s="45">
        <v>2</v>
      </c>
      <c r="P49" s="45">
        <v>2</v>
      </c>
      <c r="Q49" s="45">
        <v>2</v>
      </c>
      <c r="R49" s="45">
        <v>3</v>
      </c>
      <c r="S49" s="45">
        <v>3</v>
      </c>
      <c r="T49" s="52"/>
      <c r="U49" s="52"/>
      <c r="V49" s="52"/>
      <c r="W49" s="52"/>
      <c r="X49" s="52"/>
      <c r="Y49" s="52"/>
      <c r="Z49" s="52"/>
      <c r="AA49" s="52"/>
      <c r="AB49" s="52"/>
      <c r="AC49" s="52"/>
    </row>
    <row r="50" spans="1:29" ht="15" customHeight="1" x14ac:dyDescent="0.25">
      <c r="A50" s="43">
        <v>3038</v>
      </c>
      <c r="B50" s="45">
        <v>0.27</v>
      </c>
      <c r="C50" s="45">
        <v>0.38</v>
      </c>
      <c r="D50" s="45">
        <v>0.48</v>
      </c>
      <c r="E50" s="45">
        <v>0.59</v>
      </c>
      <c r="F50" s="45">
        <v>0.7</v>
      </c>
      <c r="G50" s="45">
        <v>0.81</v>
      </c>
      <c r="H50" s="45">
        <v>0.92</v>
      </c>
      <c r="I50" s="45">
        <v>1</v>
      </c>
      <c r="J50" s="45">
        <v>2</v>
      </c>
      <c r="K50" s="45">
        <v>2</v>
      </c>
      <c r="L50" s="45">
        <v>2</v>
      </c>
      <c r="M50" s="45">
        <v>2</v>
      </c>
      <c r="N50" s="45">
        <v>2</v>
      </c>
      <c r="O50" s="45">
        <v>2</v>
      </c>
      <c r="P50" s="45">
        <v>2</v>
      </c>
      <c r="Q50" s="45">
        <v>3</v>
      </c>
      <c r="R50" s="45">
        <v>3</v>
      </c>
      <c r="S50" s="45">
        <v>3</v>
      </c>
      <c r="T50" s="52"/>
      <c r="U50" s="52"/>
      <c r="V50" s="52"/>
      <c r="W50" s="52"/>
      <c r="X50" s="52"/>
      <c r="Y50" s="52"/>
      <c r="Z50" s="52"/>
      <c r="AA50" s="52"/>
      <c r="AB50" s="52"/>
      <c r="AC50" s="52"/>
    </row>
    <row r="51" spans="1:29" ht="15" customHeight="1" x14ac:dyDescent="0.25">
      <c r="A51" s="43">
        <v>3172</v>
      </c>
      <c r="B51" s="45">
        <v>0.28000000000000003</v>
      </c>
      <c r="C51" s="45">
        <v>0.4</v>
      </c>
      <c r="D51" s="45">
        <v>0.51</v>
      </c>
      <c r="E51" s="45">
        <v>0.62</v>
      </c>
      <c r="F51" s="45">
        <v>0.73</v>
      </c>
      <c r="G51" s="45">
        <v>0.84</v>
      </c>
      <c r="H51" s="45">
        <v>0.96</v>
      </c>
      <c r="I51" s="45">
        <v>1</v>
      </c>
      <c r="J51" s="45">
        <v>2</v>
      </c>
      <c r="K51" s="45">
        <v>2</v>
      </c>
      <c r="L51" s="45">
        <v>2</v>
      </c>
      <c r="M51" s="45">
        <v>2</v>
      </c>
      <c r="N51" s="45">
        <v>2</v>
      </c>
      <c r="O51" s="45">
        <v>2</v>
      </c>
      <c r="P51" s="45">
        <v>3</v>
      </c>
      <c r="Q51" s="45">
        <v>3</v>
      </c>
      <c r="R51" s="45">
        <v>3</v>
      </c>
      <c r="S51" s="52"/>
      <c r="T51" s="52"/>
      <c r="U51" s="52"/>
      <c r="V51" s="52"/>
      <c r="W51" s="52"/>
      <c r="X51" s="52"/>
      <c r="Y51" s="52"/>
      <c r="Z51" s="52"/>
      <c r="AA51" s="52"/>
      <c r="AB51" s="52"/>
      <c r="AC51" s="52"/>
    </row>
    <row r="52" spans="1:29" ht="15" customHeight="1" x14ac:dyDescent="0.25">
      <c r="A52" s="43">
        <v>3308</v>
      </c>
      <c r="B52" s="45">
        <v>0.28999999999999998</v>
      </c>
      <c r="C52" s="45">
        <v>0.41</v>
      </c>
      <c r="D52" s="45">
        <v>0.53</v>
      </c>
      <c r="E52" s="45">
        <v>0.65</v>
      </c>
      <c r="F52" s="45">
        <v>0.77</v>
      </c>
      <c r="G52" s="45">
        <v>0.89</v>
      </c>
      <c r="H52" s="45">
        <v>1</v>
      </c>
      <c r="I52" s="45">
        <v>2</v>
      </c>
      <c r="J52" s="45">
        <v>2</v>
      </c>
      <c r="K52" s="45">
        <v>2</v>
      </c>
      <c r="L52" s="45">
        <v>2</v>
      </c>
      <c r="M52" s="45">
        <v>2</v>
      </c>
      <c r="N52" s="45">
        <v>2</v>
      </c>
      <c r="O52" s="45">
        <v>2</v>
      </c>
      <c r="P52" s="45">
        <v>3</v>
      </c>
      <c r="Q52" s="45">
        <v>3</v>
      </c>
      <c r="R52" s="52"/>
      <c r="S52" s="52"/>
      <c r="T52" s="52"/>
      <c r="U52" s="52"/>
      <c r="V52" s="52"/>
      <c r="W52" s="52"/>
      <c r="X52" s="52"/>
      <c r="Y52" s="52"/>
      <c r="Z52" s="52"/>
      <c r="AA52" s="52"/>
      <c r="AB52" s="52"/>
      <c r="AC52" s="52"/>
    </row>
    <row r="53" spans="1:29" ht="15" customHeight="1" x14ac:dyDescent="0.25">
      <c r="A53" s="43">
        <v>3442</v>
      </c>
      <c r="B53" s="45">
        <v>0.31</v>
      </c>
      <c r="C53" s="45">
        <v>0.43</v>
      </c>
      <c r="D53" s="45">
        <v>0.56000000000000005</v>
      </c>
      <c r="E53" s="45">
        <v>0.68</v>
      </c>
      <c r="F53" s="45">
        <v>0.8</v>
      </c>
      <c r="G53" s="45">
        <v>0.92</v>
      </c>
      <c r="H53" s="45">
        <v>1</v>
      </c>
      <c r="I53" s="45">
        <v>2</v>
      </c>
      <c r="J53" s="45">
        <v>2</v>
      </c>
      <c r="K53" s="45">
        <v>2</v>
      </c>
      <c r="L53" s="45">
        <v>2</v>
      </c>
      <c r="M53" s="45">
        <v>2</v>
      </c>
      <c r="N53" s="45">
        <v>2</v>
      </c>
      <c r="O53" s="45">
        <v>3</v>
      </c>
      <c r="P53" s="45">
        <v>3</v>
      </c>
      <c r="Q53" s="52"/>
      <c r="R53" s="52"/>
      <c r="S53" s="52"/>
      <c r="T53" s="52"/>
      <c r="U53" s="52"/>
      <c r="V53" s="52"/>
      <c r="W53" s="52"/>
      <c r="X53" s="52"/>
      <c r="Y53" s="52"/>
      <c r="Z53" s="52"/>
      <c r="AA53" s="52"/>
      <c r="AB53" s="52"/>
      <c r="AC53" s="52"/>
    </row>
    <row r="55" spans="1:29" ht="15" customHeight="1" x14ac:dyDescent="0.25">
      <c r="A55" s="121" t="s">
        <v>262</v>
      </c>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row>
    <row r="56" spans="1:29" ht="15" customHeight="1" x14ac:dyDescent="0.25">
      <c r="A56" s="48" t="s">
        <v>263</v>
      </c>
      <c r="B56" s="49">
        <f>Paramètres!$B$2</f>
        <v>0.51500000000000001</v>
      </c>
    </row>
    <row r="57" spans="1:29" ht="15" customHeight="1" x14ac:dyDescent="0.25">
      <c r="A57" s="43" t="s">
        <v>260</v>
      </c>
      <c r="B57" s="43">
        <v>405</v>
      </c>
      <c r="C57" s="43">
        <v>540</v>
      </c>
      <c r="D57" s="43">
        <v>675</v>
      </c>
      <c r="E57" s="43">
        <v>810</v>
      </c>
      <c r="F57" s="43">
        <v>945</v>
      </c>
      <c r="G57" s="43">
        <v>1080</v>
      </c>
      <c r="H57" s="43">
        <v>1215</v>
      </c>
      <c r="I57" s="43">
        <v>1350</v>
      </c>
      <c r="J57" s="43">
        <v>1485</v>
      </c>
      <c r="K57" s="43">
        <v>1620</v>
      </c>
      <c r="L57" s="43">
        <v>1755</v>
      </c>
      <c r="M57" s="43">
        <v>1890</v>
      </c>
      <c r="N57" s="43">
        <v>2025</v>
      </c>
      <c r="O57" s="43">
        <v>2160</v>
      </c>
      <c r="P57" s="43">
        <v>2295</v>
      </c>
      <c r="Q57" s="43">
        <v>2430</v>
      </c>
      <c r="R57" s="43">
        <v>2565</v>
      </c>
      <c r="S57" s="43">
        <v>2700</v>
      </c>
      <c r="T57" s="43">
        <v>2835</v>
      </c>
      <c r="U57" s="43">
        <v>2970</v>
      </c>
      <c r="V57" s="43">
        <v>3105</v>
      </c>
      <c r="W57" s="43">
        <v>3240</v>
      </c>
      <c r="X57" s="43">
        <v>3375</v>
      </c>
      <c r="Y57" s="43">
        <v>3510</v>
      </c>
      <c r="Z57" s="43">
        <v>3645</v>
      </c>
      <c r="AA57" s="43">
        <v>3780</v>
      </c>
      <c r="AB57" s="43">
        <v>3915</v>
      </c>
      <c r="AC57" s="43">
        <v>4050</v>
      </c>
    </row>
    <row r="58" spans="1:29" ht="15" customHeight="1" x14ac:dyDescent="0.25">
      <c r="A58" s="43">
        <v>608</v>
      </c>
      <c r="B58" s="53">
        <f>IF(B5="","",B5*(1-Paramètres!$B$2))</f>
        <v>242.5</v>
      </c>
      <c r="C58" s="53">
        <f>IF(C5="","",C5*(1-Paramètres!$B$2))</f>
        <v>247.35</v>
      </c>
      <c r="D58" s="53">
        <f>IF(D5="","",D5*(1-Paramètres!$B$2))</f>
        <v>252.2</v>
      </c>
      <c r="E58" s="53">
        <f>IF(E5="","",E5*(1-Paramètres!$B$2))</f>
        <v>257.53499999999997</v>
      </c>
      <c r="F58" s="53">
        <f>IF(F5="","",F5*(1-Paramètres!$B$2))</f>
        <v>263.35500000000002</v>
      </c>
      <c r="G58" s="53">
        <f>IF(G5="","",G5*(1-Paramètres!$B$2))</f>
        <v>271.11500000000001</v>
      </c>
      <c r="H58" s="53">
        <f>IF(H5="","",H5*(1-Paramètres!$B$2))</f>
        <v>277.42</v>
      </c>
      <c r="I58" s="53">
        <f>IF(I5="","",I5*(1-Paramètres!$B$2))</f>
        <v>282.27</v>
      </c>
      <c r="J58" s="53">
        <f>IF(J5="","",J5*(1-Paramètres!$B$2))</f>
        <v>286.63499999999999</v>
      </c>
      <c r="K58" s="53">
        <f>IF(K5="","",K5*(1-Paramètres!$B$2))</f>
        <v>291.48500000000001</v>
      </c>
      <c r="L58" s="53">
        <f>IF(L5="","",L5*(1-Paramètres!$B$2))</f>
        <v>299.73</v>
      </c>
      <c r="M58" s="53">
        <f>IF(M5="","",M5*(1-Paramètres!$B$2))</f>
        <v>305.065</v>
      </c>
      <c r="N58" s="53">
        <f>IF(N5="","",N5*(1-Paramètres!$B$2))</f>
        <v>312.33999999999997</v>
      </c>
      <c r="O58" s="53">
        <f>IF(O5="","",O5*(1-Paramètres!$B$2))</f>
        <v>318.15999999999997</v>
      </c>
      <c r="P58" s="53">
        <f>IF(P5="","",P5*(1-Paramètres!$B$2))</f>
        <v>324.95</v>
      </c>
      <c r="Q58" s="53">
        <f>IF(Q5="","",Q5*(1-Paramètres!$B$2))</f>
        <v>330.77</v>
      </c>
      <c r="R58" s="53">
        <f>IF(R5="","",R5*(1-Paramètres!$B$2))</f>
        <v>336.59</v>
      </c>
      <c r="S58" s="53">
        <f>IF(S5="","",S5*(1-Paramètres!$B$2))</f>
        <v>342.89499999999998</v>
      </c>
      <c r="T58" s="53">
        <f>IF(T5="","",T5*(1-Paramètres!$B$2))</f>
        <v>349.685</v>
      </c>
      <c r="U58" s="53">
        <f>IF(U5="","",U5*(1-Paramètres!$B$2))</f>
        <v>355.99</v>
      </c>
      <c r="V58" s="53">
        <f>IF(V5="","",V5*(1-Paramètres!$B$2))</f>
        <v>361.32499999999999</v>
      </c>
      <c r="W58" s="53">
        <f>IF(W5="","",W5*(1-Paramètres!$B$2))</f>
        <v>368.11500000000001</v>
      </c>
      <c r="X58" s="53">
        <f>IF(X5="","",X5*(1-Paramètres!$B$2))</f>
        <v>373.45</v>
      </c>
      <c r="Y58" s="53">
        <f>IF(Y5="","",Y5*(1-Paramètres!$B$2))</f>
        <v>379.755</v>
      </c>
      <c r="Z58" s="53">
        <f>IF(Z5="","",Z5*(1-Paramètres!$B$2))</f>
        <v>386.06</v>
      </c>
      <c r="AA58" s="53">
        <f>IF(AA5="","",AA5*(1-Paramètres!$B$2))</f>
        <v>392.36500000000001</v>
      </c>
      <c r="AB58" s="53">
        <f>IF(AB5="","",AB5*(1-Paramètres!$B$2))</f>
        <v>398.185</v>
      </c>
      <c r="AC58" s="53">
        <f>IF(AC5="","",AC5*(1-Paramètres!$B$2))</f>
        <v>404.005</v>
      </c>
    </row>
    <row r="59" spans="1:29" ht="15" customHeight="1" x14ac:dyDescent="0.25">
      <c r="A59" s="43">
        <v>742</v>
      </c>
      <c r="B59" s="53">
        <f>IF(B6="","",B6*(1-Paramètres!$B$2))</f>
        <v>246.38</v>
      </c>
      <c r="C59" s="53">
        <f>IF(C6="","",C6*(1-Paramètres!$B$2))</f>
        <v>251.23</v>
      </c>
      <c r="D59" s="53">
        <f>IF(D6="","",D6*(1-Paramètres!$B$2))</f>
        <v>257.53499999999997</v>
      </c>
      <c r="E59" s="53">
        <f>IF(E6="","",E6*(1-Paramètres!$B$2))</f>
        <v>263.35500000000002</v>
      </c>
      <c r="F59" s="53">
        <f>IF(F6="","",F6*(1-Paramètres!$B$2))</f>
        <v>267.23500000000001</v>
      </c>
      <c r="G59" s="53">
        <f>IF(G6="","",G6*(1-Paramètres!$B$2))</f>
        <v>277.42</v>
      </c>
      <c r="H59" s="53">
        <f>IF(H6="","",H6*(1-Paramètres!$B$2))</f>
        <v>280.815</v>
      </c>
      <c r="I59" s="53">
        <f>IF(I6="","",I6*(1-Paramètres!$B$2))</f>
        <v>286.63499999999999</v>
      </c>
      <c r="J59" s="53">
        <f>IF(J6="","",J6*(1-Paramètres!$B$2))</f>
        <v>291.96999999999997</v>
      </c>
      <c r="K59" s="53">
        <f>IF(K6="","",K6*(1-Paramètres!$B$2))</f>
        <v>299.73</v>
      </c>
      <c r="L59" s="53">
        <f>IF(L6="","",L6*(1-Paramètres!$B$2))</f>
        <v>308.45999999999998</v>
      </c>
      <c r="M59" s="53">
        <f>IF(M6="","",M6*(1-Paramètres!$B$2))</f>
        <v>315.73500000000001</v>
      </c>
      <c r="N59" s="53">
        <f>IF(N6="","",N6*(1-Paramètres!$B$2))</f>
        <v>321.07</v>
      </c>
      <c r="O59" s="53">
        <f>IF(O6="","",O6*(1-Paramètres!$B$2))</f>
        <v>327.375</v>
      </c>
      <c r="P59" s="53">
        <f>IF(P6="","",P6*(1-Paramètres!$B$2))</f>
        <v>335.13499999999999</v>
      </c>
      <c r="Q59" s="53">
        <f>IF(Q6="","",Q6*(1-Paramètres!$B$2))</f>
        <v>340.95499999999998</v>
      </c>
      <c r="R59" s="53">
        <f>IF(R6="","",R6*(1-Paramètres!$B$2))</f>
        <v>347.26</v>
      </c>
      <c r="S59" s="53">
        <f>IF(S6="","",S6*(1-Paramètres!$B$2))</f>
        <v>355.02</v>
      </c>
      <c r="T59" s="53">
        <f>IF(T6="","",T6*(1-Paramètres!$B$2))</f>
        <v>361.32499999999999</v>
      </c>
      <c r="U59" s="53">
        <f>IF(U6="","",U6*(1-Paramètres!$B$2))</f>
        <v>367.14499999999998</v>
      </c>
      <c r="V59" s="53">
        <f>IF(V6="","",V6*(1-Paramètres!$B$2))</f>
        <v>373.45</v>
      </c>
      <c r="W59" s="53">
        <f>IF(W6="","",W6*(1-Paramètres!$B$2))</f>
        <v>380.24</v>
      </c>
      <c r="X59" s="53">
        <f>IF(X6="","",X6*(1-Paramètres!$B$2))</f>
        <v>387.51499999999999</v>
      </c>
      <c r="Y59" s="53">
        <f>IF(Y6="","",Y6*(1-Paramètres!$B$2))</f>
        <v>393.33499999999998</v>
      </c>
      <c r="Z59" s="53">
        <f>IF(Z6="","",Z6*(1-Paramètres!$B$2))</f>
        <v>400.125</v>
      </c>
      <c r="AA59" s="53">
        <f>IF(AA6="","",AA6*(1-Paramètres!$B$2))</f>
        <v>407.4</v>
      </c>
      <c r="AB59" s="53">
        <f>IF(AB6="","",AB6*(1-Paramètres!$B$2))</f>
        <v>413.70499999999998</v>
      </c>
      <c r="AC59" s="53">
        <f>IF(AC6="","",AC6*(1-Paramètres!$B$2))</f>
        <v>419.52499999999998</v>
      </c>
    </row>
    <row r="60" spans="1:29" ht="15" customHeight="1" x14ac:dyDescent="0.25">
      <c r="A60" s="43">
        <v>878</v>
      </c>
      <c r="B60" s="53">
        <f>IF(B7="","",B7*(1-Paramètres!$B$2))</f>
        <v>250.745</v>
      </c>
      <c r="C60" s="53">
        <f>IF(C7="","",C7*(1-Paramètres!$B$2))</f>
        <v>256.565</v>
      </c>
      <c r="D60" s="53">
        <f>IF(D7="","",D7*(1-Paramètres!$B$2))</f>
        <v>261.89999999999998</v>
      </c>
      <c r="E60" s="53">
        <f>IF(E7="","",E7*(1-Paramètres!$B$2))</f>
        <v>267.23500000000001</v>
      </c>
      <c r="F60" s="53">
        <f>IF(F7="","",F7*(1-Paramètres!$B$2))</f>
        <v>272.57</v>
      </c>
      <c r="G60" s="53">
        <f>IF(G7="","",G7*(1-Paramètres!$B$2))</f>
        <v>282.27</v>
      </c>
      <c r="H60" s="53">
        <f>IF(H7="","",H7*(1-Paramètres!$B$2))</f>
        <v>288.08999999999997</v>
      </c>
      <c r="I60" s="53">
        <f>IF(I7="","",I7*(1-Paramètres!$B$2))</f>
        <v>294.88</v>
      </c>
      <c r="J60" s="53">
        <f>IF(J7="","",J7*(1-Paramètres!$B$2))</f>
        <v>301.185</v>
      </c>
      <c r="K60" s="53">
        <f>IF(K7="","",K7*(1-Paramètres!$B$2))</f>
        <v>308.45999999999998</v>
      </c>
      <c r="L60" s="53">
        <f>IF(L7="","",L7*(1-Paramètres!$B$2))</f>
        <v>316.70499999999998</v>
      </c>
      <c r="M60" s="53">
        <f>IF(M7="","",M7*(1-Paramètres!$B$2))</f>
        <v>324.95</v>
      </c>
      <c r="N60" s="53">
        <f>IF(N7="","",N7*(1-Paramètres!$B$2))</f>
        <v>330.77</v>
      </c>
      <c r="O60" s="53">
        <f>IF(O7="","",O7*(1-Paramètres!$B$2))</f>
        <v>338.04500000000002</v>
      </c>
      <c r="P60" s="53">
        <f>IF(P7="","",P7*(1-Paramètres!$B$2))</f>
        <v>344.34999999999997</v>
      </c>
      <c r="Q60" s="53">
        <f>IF(Q7="","",Q7*(1-Paramètres!$B$2))</f>
        <v>351.625</v>
      </c>
      <c r="R60" s="53">
        <f>IF(R7="","",R7*(1-Paramètres!$B$2))</f>
        <v>358.9</v>
      </c>
      <c r="S60" s="53">
        <f>IF(S7="","",S7*(1-Paramètres!$B$2))</f>
        <v>365.20499999999998</v>
      </c>
      <c r="T60" s="53">
        <f>IF(T7="","",T7*(1-Paramètres!$B$2))</f>
        <v>371.995</v>
      </c>
      <c r="U60" s="53">
        <f>IF(U7="","",U7*(1-Paramètres!$B$2))</f>
        <v>378.3</v>
      </c>
      <c r="V60" s="53">
        <f>IF(V7="","",V7*(1-Paramètres!$B$2))</f>
        <v>385.09</v>
      </c>
      <c r="W60" s="53">
        <f>IF(W7="","",W7*(1-Paramètres!$B$2))</f>
        <v>391.39499999999998</v>
      </c>
      <c r="X60" s="53">
        <f>IF(X7="","",X7*(1-Paramètres!$B$2))</f>
        <v>398.185</v>
      </c>
      <c r="Y60" s="53">
        <f>IF(Y7="","",Y7*(1-Paramètres!$B$2))</f>
        <v>404.49</v>
      </c>
      <c r="Z60" s="53">
        <f>IF(Z7="","",Z7*(1-Paramètres!$B$2))</f>
        <v>411.28</v>
      </c>
      <c r="AA60" s="53">
        <f>IF(AA7="","",AA7*(1-Paramètres!$B$2))</f>
        <v>417.58499999999998</v>
      </c>
      <c r="AB60" s="53">
        <f>IF(AB7="","",AB7*(1-Paramètres!$B$2))</f>
        <v>424.375</v>
      </c>
      <c r="AC60" s="53">
        <f>IF(AC7="","",AC7*(1-Paramètres!$B$2))</f>
        <v>430.68</v>
      </c>
    </row>
    <row r="61" spans="1:29" ht="15" customHeight="1" x14ac:dyDescent="0.25">
      <c r="A61" s="43">
        <v>1013</v>
      </c>
      <c r="B61" s="53">
        <f>IF(B8="","",B8*(1-Paramètres!$B$2))</f>
        <v>256.08</v>
      </c>
      <c r="C61" s="53">
        <f>IF(C8="","",C8*(1-Paramètres!$B$2))</f>
        <v>261.41500000000002</v>
      </c>
      <c r="D61" s="53">
        <f>IF(D8="","",D8*(1-Paramètres!$B$2))</f>
        <v>265.77999999999997</v>
      </c>
      <c r="E61" s="53">
        <f>IF(E8="","",E8*(1-Paramètres!$B$2))</f>
        <v>272.57</v>
      </c>
      <c r="F61" s="53">
        <f>IF(F8="","",F8*(1-Paramètres!$B$2))</f>
        <v>277.42</v>
      </c>
      <c r="G61" s="53">
        <f>IF(G8="","",G8*(1-Paramètres!$B$2))</f>
        <v>288.08999999999997</v>
      </c>
      <c r="H61" s="53">
        <f>IF(H8="","",H8*(1-Paramètres!$B$2))</f>
        <v>294.88</v>
      </c>
      <c r="I61" s="53">
        <f>IF(I8="","",I8*(1-Paramètres!$B$2))</f>
        <v>302.64</v>
      </c>
      <c r="J61" s="53">
        <f>IF(J8="","",J8*(1-Paramètres!$B$2))</f>
        <v>310.39999999999998</v>
      </c>
      <c r="K61" s="53">
        <f>IF(K8="","",K8*(1-Paramètres!$B$2))</f>
        <v>316.70499999999998</v>
      </c>
      <c r="L61" s="53">
        <f>IF(L8="","",L8*(1-Paramètres!$B$2))</f>
        <v>326.89</v>
      </c>
      <c r="M61" s="53">
        <f>IF(M8="","",M8*(1-Paramètres!$B$2))</f>
        <v>332.71</v>
      </c>
      <c r="N61" s="53">
        <f>IF(N8="","",N8*(1-Paramètres!$B$2))</f>
        <v>340.46999999999997</v>
      </c>
      <c r="O61" s="53">
        <f>IF(O8="","",O8*(1-Paramètres!$B$2))</f>
        <v>347.26</v>
      </c>
      <c r="P61" s="53">
        <f>IF(P8="","",P8*(1-Paramètres!$B$2))</f>
        <v>355.02</v>
      </c>
      <c r="Q61" s="53">
        <f>IF(Q8="","",Q8*(1-Paramètres!$B$2))</f>
        <v>362.78</v>
      </c>
      <c r="R61" s="53">
        <f>IF(R8="","",R8*(1-Paramètres!$B$2))</f>
        <v>370.05500000000001</v>
      </c>
      <c r="S61" s="53">
        <f>IF(S8="","",S8*(1-Paramètres!$B$2))</f>
        <v>377.33</v>
      </c>
      <c r="T61" s="53">
        <f>IF(T8="","",T8*(1-Paramètres!$B$2))</f>
        <v>384.12</v>
      </c>
      <c r="U61" s="53">
        <f>IF(U8="","",U8*(1-Paramètres!$B$2))</f>
        <v>391.39499999999998</v>
      </c>
      <c r="V61" s="53">
        <f>IF(V8="","",V8*(1-Paramètres!$B$2))</f>
        <v>399.64</v>
      </c>
      <c r="W61" s="53">
        <f>IF(W8="","",W8*(1-Paramètres!$B$2))</f>
        <v>407.4</v>
      </c>
      <c r="X61" s="53">
        <f>IF(X8="","",X8*(1-Paramètres!$B$2))</f>
        <v>414.67500000000001</v>
      </c>
      <c r="Y61" s="53">
        <f>IF(Y8="","",Y8*(1-Paramètres!$B$2))</f>
        <v>421.46499999999997</v>
      </c>
      <c r="Z61" s="53">
        <f>IF(Z8="","",Z8*(1-Paramètres!$B$2))</f>
        <v>429.71</v>
      </c>
      <c r="AA61" s="53">
        <f>IF(AA8="","",AA8*(1-Paramètres!$B$2))</f>
        <v>437.46999999999997</v>
      </c>
      <c r="AB61" s="53">
        <f>IF(AB8="","",AB8*(1-Paramètres!$B$2))</f>
        <v>444.745</v>
      </c>
      <c r="AC61" s="53">
        <f>IF(AC8="","",AC8*(1-Paramètres!$B$2))</f>
        <v>452.99</v>
      </c>
    </row>
    <row r="62" spans="1:29" ht="15" customHeight="1" x14ac:dyDescent="0.25">
      <c r="A62" s="43">
        <v>1148</v>
      </c>
      <c r="B62" s="53">
        <f>IF(B9="","",B9*(1-Paramètres!$B$2))</f>
        <v>268.69</v>
      </c>
      <c r="C62" s="53">
        <f>IF(C9="","",C9*(1-Paramètres!$B$2))</f>
        <v>273.54000000000002</v>
      </c>
      <c r="D62" s="53">
        <f>IF(D9="","",D9*(1-Paramètres!$B$2))</f>
        <v>278.875</v>
      </c>
      <c r="E62" s="53">
        <f>IF(E9="","",E9*(1-Paramètres!$B$2))</f>
        <v>284.69499999999999</v>
      </c>
      <c r="F62" s="53">
        <f>IF(F9="","",F9*(1-Paramètres!$B$2))</f>
        <v>291.48500000000001</v>
      </c>
      <c r="G62" s="53">
        <f>IF(G9="","",G9*(1-Paramètres!$B$2))</f>
        <v>302.64</v>
      </c>
      <c r="H62" s="53">
        <f>IF(H9="","",H9*(1-Paramètres!$B$2))</f>
        <v>310.88499999999999</v>
      </c>
      <c r="I62" s="53">
        <f>IF(I9="","",I9*(1-Paramètres!$B$2))</f>
        <v>318.15999999999997</v>
      </c>
      <c r="J62" s="53">
        <f>IF(J9="","",J9*(1-Paramètres!$B$2))</f>
        <v>325.92</v>
      </c>
      <c r="K62" s="53">
        <f>IF(K9="","",K9*(1-Paramètres!$B$2))</f>
        <v>333.68</v>
      </c>
      <c r="L62" s="53">
        <f>IF(L9="","",L9*(1-Paramètres!$B$2))</f>
        <v>342.89499999999998</v>
      </c>
      <c r="M62" s="53">
        <f>IF(M9="","",M9*(1-Paramètres!$B$2))</f>
        <v>350.17</v>
      </c>
      <c r="N62" s="53">
        <f>IF(N9="","",N9*(1-Paramètres!$B$2))</f>
        <v>357.44499999999999</v>
      </c>
      <c r="O62" s="53">
        <f>IF(O9="","",O9*(1-Paramètres!$B$2))</f>
        <v>365.20499999999998</v>
      </c>
      <c r="P62" s="53">
        <f>IF(P9="","",P9*(1-Paramètres!$B$2))</f>
        <v>372.48</v>
      </c>
      <c r="Q62" s="53">
        <f>IF(Q9="","",Q9*(1-Paramètres!$B$2))</f>
        <v>380.24</v>
      </c>
      <c r="R62" s="53">
        <f>IF(R9="","",R9*(1-Paramètres!$B$2))</f>
        <v>387.51499999999999</v>
      </c>
      <c r="S62" s="53">
        <f>IF(S9="","",S9*(1-Paramètres!$B$2))</f>
        <v>395.27499999999998</v>
      </c>
      <c r="T62" s="53">
        <f>IF(T9="","",T9*(1-Paramètres!$B$2))</f>
        <v>403.52</v>
      </c>
      <c r="U62" s="53">
        <f>IF(U9="","",U9*(1-Paramètres!$B$2))</f>
        <v>411.28</v>
      </c>
      <c r="V62" s="53">
        <f>IF(V9="","",V9*(1-Paramètres!$B$2))</f>
        <v>418.55500000000001</v>
      </c>
      <c r="W62" s="53">
        <f>IF(W9="","",W9*(1-Paramètres!$B$2))</f>
        <v>426.8</v>
      </c>
      <c r="X62" s="53">
        <f>IF(X9="","",X9*(1-Paramètres!$B$2))</f>
        <v>433.59</v>
      </c>
      <c r="Y62" s="53">
        <f>IF(Y9="","",Y9*(1-Paramètres!$B$2))</f>
        <v>441.34999999999997</v>
      </c>
      <c r="Z62" s="53">
        <f>IF(Z9="","",Z9*(1-Paramètres!$B$2))</f>
        <v>447.65499999999997</v>
      </c>
      <c r="AA62" s="53">
        <f>IF(AA9="","",AA9*(1-Paramètres!$B$2))</f>
        <v>455.9</v>
      </c>
      <c r="AB62" s="53">
        <f>IF(AB9="","",AB9*(1-Paramètres!$B$2))</f>
        <v>462.69</v>
      </c>
      <c r="AC62" s="53">
        <f>IF(AC9="","",AC9*(1-Paramètres!$B$2))</f>
        <v>471.41999999999996</v>
      </c>
    </row>
    <row r="63" spans="1:29" ht="15" customHeight="1" x14ac:dyDescent="0.25">
      <c r="A63" s="43">
        <v>1282</v>
      </c>
      <c r="B63" s="53">
        <f>IF(B10="","",B10*(1-Paramètres!$B$2))</f>
        <v>273.05500000000001</v>
      </c>
      <c r="C63" s="53">
        <f>IF(C10="","",C10*(1-Paramètres!$B$2))</f>
        <v>278.875</v>
      </c>
      <c r="D63" s="53">
        <f>IF(D10="","",D10*(1-Paramètres!$B$2))</f>
        <v>284.20999999999998</v>
      </c>
      <c r="E63" s="53">
        <f>IF(E10="","",E10*(1-Paramètres!$B$2))</f>
        <v>290.02999999999997</v>
      </c>
      <c r="F63" s="53">
        <f>IF(F10="","",F10*(1-Paramètres!$B$2))</f>
        <v>298.76</v>
      </c>
      <c r="G63" s="53">
        <f>IF(G10="","",G10*(1-Paramètres!$B$2))</f>
        <v>310.39999999999998</v>
      </c>
      <c r="H63" s="53">
        <f>IF(H10="","",H10*(1-Paramètres!$B$2))</f>
        <v>318.15999999999997</v>
      </c>
      <c r="I63" s="53">
        <f>IF(I10="","",I10*(1-Paramètres!$B$2))</f>
        <v>326.89</v>
      </c>
      <c r="J63" s="53">
        <f>IF(J10="","",J10*(1-Paramètres!$B$2))</f>
        <v>333.68</v>
      </c>
      <c r="K63" s="53">
        <f>IF(K10="","",K10*(1-Paramètres!$B$2))</f>
        <v>342.40999999999997</v>
      </c>
      <c r="L63" s="53">
        <f>IF(L10="","",L10*(1-Paramètres!$B$2))</f>
        <v>351.625</v>
      </c>
      <c r="M63" s="53">
        <f>IF(M10="","",M10*(1-Paramètres!$B$2))</f>
        <v>358.9</v>
      </c>
      <c r="N63" s="53">
        <f>IF(N10="","",N10*(1-Paramètres!$B$2))</f>
        <v>367.14499999999998</v>
      </c>
      <c r="O63" s="53">
        <f>IF(O10="","",O10*(1-Paramètres!$B$2))</f>
        <v>375.875</v>
      </c>
      <c r="P63" s="53">
        <f>IF(P10="","",P10*(1-Paramètres!$B$2))</f>
        <v>383.63499999999999</v>
      </c>
      <c r="Q63" s="53">
        <f>IF(Q10="","",Q10*(1-Paramètres!$B$2))</f>
        <v>390.42500000000001</v>
      </c>
      <c r="R63" s="53">
        <f>IF(R10="","",R10*(1-Paramètres!$B$2))</f>
        <v>398.185</v>
      </c>
      <c r="S63" s="53">
        <f>IF(S10="","",S10*(1-Paramètres!$B$2))</f>
        <v>406.43</v>
      </c>
      <c r="T63" s="53">
        <f>IF(T10="","",T10*(1-Paramètres!$B$2))</f>
        <v>414.67500000000001</v>
      </c>
      <c r="U63" s="53">
        <f>IF(U10="","",U10*(1-Paramètres!$B$2))</f>
        <v>422.435</v>
      </c>
      <c r="V63" s="53">
        <f>IF(V10="","",V10*(1-Paramètres!$B$2))</f>
        <v>429.71</v>
      </c>
      <c r="W63" s="53">
        <f>IF(W10="","",W10*(1-Paramètres!$B$2))</f>
        <v>437.95499999999998</v>
      </c>
      <c r="X63" s="53">
        <f>IF(X10="","",X10*(1-Paramètres!$B$2))</f>
        <v>445.22999999999996</v>
      </c>
      <c r="Y63" s="53">
        <f>IF(Y10="","",Y10*(1-Paramètres!$B$2))</f>
        <v>452.99</v>
      </c>
      <c r="Z63" s="53">
        <f>IF(Z10="","",Z10*(1-Paramètres!$B$2))</f>
        <v>460.26499999999999</v>
      </c>
      <c r="AA63" s="53">
        <f>IF(AA10="","",AA10*(1-Paramètres!$B$2))</f>
        <v>468.02499999999998</v>
      </c>
      <c r="AB63" s="53">
        <f>IF(AB10="","",AB10*(1-Paramètres!$B$2))</f>
        <v>474.815</v>
      </c>
      <c r="AC63" s="53">
        <f>IF(AC10="","",AC10*(1-Paramètres!$B$2))</f>
        <v>483.06</v>
      </c>
    </row>
    <row r="64" spans="1:29" ht="15" customHeight="1" x14ac:dyDescent="0.25">
      <c r="A64" s="43">
        <v>1418</v>
      </c>
      <c r="B64" s="53">
        <f>IF(B11="","",B11*(1-Paramètres!$B$2))</f>
        <v>278.39</v>
      </c>
      <c r="C64" s="53">
        <f>IF(C11="","",C11*(1-Paramètres!$B$2))</f>
        <v>284.20999999999998</v>
      </c>
      <c r="D64" s="53">
        <f>IF(D11="","",D11*(1-Paramètres!$B$2))</f>
        <v>288.08999999999997</v>
      </c>
      <c r="E64" s="53">
        <f>IF(E11="","",E11*(1-Paramètres!$B$2))</f>
        <v>296.82</v>
      </c>
      <c r="F64" s="53">
        <f>IF(F11="","",F11*(1-Paramètres!$B$2))</f>
        <v>305.065</v>
      </c>
      <c r="G64" s="53">
        <f>IF(G11="","",G11*(1-Paramètres!$B$2))</f>
        <v>316.70499999999998</v>
      </c>
      <c r="H64" s="53">
        <f>IF(H11="","",H11*(1-Paramètres!$B$2))</f>
        <v>325.92</v>
      </c>
      <c r="I64" s="53">
        <f>IF(I11="","",I11*(1-Paramètres!$B$2))</f>
        <v>335.13499999999999</v>
      </c>
      <c r="J64" s="53">
        <f>IF(J11="","",J11*(1-Paramètres!$B$2))</f>
        <v>342.40999999999997</v>
      </c>
      <c r="K64" s="53">
        <f>IF(K11="","",K11*(1-Paramètres!$B$2))</f>
        <v>351.14</v>
      </c>
      <c r="L64" s="53">
        <f>IF(L11="","",L11*(1-Paramètres!$B$2))</f>
        <v>359.87</v>
      </c>
      <c r="M64" s="53">
        <f>IF(M11="","",M11*(1-Paramètres!$B$2))</f>
        <v>369.08499999999998</v>
      </c>
      <c r="N64" s="53">
        <f>IF(N11="","",N11*(1-Paramètres!$B$2))</f>
        <v>377.33</v>
      </c>
      <c r="O64" s="53">
        <f>IF(O11="","",O11*(1-Paramètres!$B$2))</f>
        <v>385.09</v>
      </c>
      <c r="P64" s="53">
        <f>IF(P11="","",P11*(1-Paramètres!$B$2))</f>
        <v>392.84999999999997</v>
      </c>
      <c r="Q64" s="53">
        <f>IF(Q11="","",Q11*(1-Paramètres!$B$2))</f>
        <v>400.61</v>
      </c>
      <c r="R64" s="53">
        <f>IF(R11="","",R11*(1-Paramètres!$B$2))</f>
        <v>409.34</v>
      </c>
      <c r="S64" s="53">
        <f>IF(S11="","",S11*(1-Paramètres!$B$2))</f>
        <v>417.58499999999998</v>
      </c>
      <c r="T64" s="53">
        <f>IF(T11="","",T11*(1-Paramètres!$B$2))</f>
        <v>426.315</v>
      </c>
      <c r="U64" s="53">
        <f>IF(U11="","",U11*(1-Paramètres!$B$2))</f>
        <v>433.59</v>
      </c>
      <c r="V64" s="53">
        <f>IF(V11="","",V11*(1-Paramètres!$B$2))</f>
        <v>441.34999999999997</v>
      </c>
      <c r="W64" s="53">
        <f>IF(W11="","",W11*(1-Paramètres!$B$2))</f>
        <v>447.65499999999997</v>
      </c>
      <c r="X64" s="53">
        <f>IF(X11="","",X11*(1-Paramètres!$B$2))</f>
        <v>458.32499999999999</v>
      </c>
      <c r="Y64" s="53">
        <f>IF(Y11="","",Y11*(1-Paramètres!$B$2))</f>
        <v>466.08499999999998</v>
      </c>
      <c r="Z64" s="53">
        <f>IF(Z11="","",Z11*(1-Paramètres!$B$2))</f>
        <v>471.90499999999997</v>
      </c>
      <c r="AA64" s="53">
        <f>IF(AA11="","",AA11*(1-Paramètres!$B$2))</f>
        <v>592.66999999999996</v>
      </c>
      <c r="AB64" s="53">
        <f>IF(AB11="","",AB11*(1-Paramètres!$B$2))</f>
        <v>605.76499999999999</v>
      </c>
      <c r="AC64" s="53">
        <f>IF(AC11="","",AC11*(1-Paramètres!$B$2))</f>
        <v>616.91999999999996</v>
      </c>
    </row>
    <row r="65" spans="1:29" ht="15" customHeight="1" x14ac:dyDescent="0.25">
      <c r="A65" s="43">
        <v>1552</v>
      </c>
      <c r="B65" s="53">
        <f>IF(B12="","",B12*(1-Paramètres!$B$2))</f>
        <v>282.755</v>
      </c>
      <c r="C65" s="53">
        <f>IF(C12="","",C12*(1-Paramètres!$B$2))</f>
        <v>288.08999999999997</v>
      </c>
      <c r="D65" s="53">
        <f>IF(D12="","",D12*(1-Paramètres!$B$2))</f>
        <v>294.88</v>
      </c>
      <c r="E65" s="53">
        <f>IF(E12="","",E12*(1-Paramètres!$B$2))</f>
        <v>302.64</v>
      </c>
      <c r="F65" s="53">
        <f>IF(F12="","",F12*(1-Paramètres!$B$2))</f>
        <v>312.33999999999997</v>
      </c>
      <c r="G65" s="53">
        <f>IF(G12="","",G12*(1-Paramètres!$B$2))</f>
        <v>324.95</v>
      </c>
      <c r="H65" s="53">
        <f>IF(H12="","",H12*(1-Paramètres!$B$2))</f>
        <v>332.71</v>
      </c>
      <c r="I65" s="53">
        <f>IF(I12="","",I12*(1-Paramètres!$B$2))</f>
        <v>342.40999999999997</v>
      </c>
      <c r="J65" s="53">
        <f>IF(J12="","",J12*(1-Paramètres!$B$2))</f>
        <v>351.14</v>
      </c>
      <c r="K65" s="53">
        <f>IF(K12="","",K12*(1-Paramètres!$B$2))</f>
        <v>358.9</v>
      </c>
      <c r="L65" s="53">
        <f>IF(L12="","",L12*(1-Paramètres!$B$2))</f>
        <v>370.05500000000001</v>
      </c>
      <c r="M65" s="53">
        <f>IF(M12="","",M12*(1-Paramètres!$B$2))</f>
        <v>378.3</v>
      </c>
      <c r="N65" s="53">
        <f>IF(N12="","",N12*(1-Paramètres!$B$2))</f>
        <v>387.03</v>
      </c>
      <c r="O65" s="53">
        <f>IF(O12="","",O12*(1-Paramètres!$B$2))</f>
        <v>394.78999999999996</v>
      </c>
      <c r="P65" s="53">
        <f>IF(P12="","",P12*(1-Paramètres!$B$2))</f>
        <v>403.52</v>
      </c>
      <c r="Q65" s="53">
        <f>IF(Q12="","",Q12*(1-Paramètres!$B$2))</f>
        <v>411.28</v>
      </c>
      <c r="R65" s="53">
        <f>IF(R12="","",R12*(1-Paramètres!$B$2))</f>
        <v>419.52499999999998</v>
      </c>
      <c r="S65" s="53">
        <f>IF(S12="","",S12*(1-Paramètres!$B$2))</f>
        <v>429.71</v>
      </c>
      <c r="T65" s="53">
        <f>IF(T12="","",T12*(1-Paramètres!$B$2))</f>
        <v>437.46999999999997</v>
      </c>
      <c r="U65" s="53">
        <f>IF(U12="","",U12*(1-Paramètres!$B$2))</f>
        <v>444.745</v>
      </c>
      <c r="V65" s="53">
        <f>IF(V12="","",V12*(1-Paramètres!$B$2))</f>
        <v>452.99</v>
      </c>
      <c r="W65" s="53">
        <f>IF(W12="","",W12*(1-Paramètres!$B$2))</f>
        <v>459.78</v>
      </c>
      <c r="X65" s="53">
        <f>IF(X12="","",X12*(1-Paramètres!$B$2))</f>
        <v>469.96499999999997</v>
      </c>
      <c r="Y65" s="53">
        <f>IF(Y12="","",Y12*(1-Paramètres!$B$2))</f>
        <v>580.05999999999995</v>
      </c>
      <c r="Z65" s="53">
        <f>IF(Z12="","",Z12*(1-Paramètres!$B$2))</f>
        <v>591.69999999999993</v>
      </c>
      <c r="AA65" s="53">
        <f>IF(AA12="","",AA12*(1-Paramètres!$B$2))</f>
        <v>603.82499999999993</v>
      </c>
      <c r="AB65" s="53">
        <f>IF(AB12="","",AB12*(1-Paramètres!$B$2))</f>
        <v>615.46500000000003</v>
      </c>
      <c r="AC65" s="53">
        <f>IF(AC12="","",AC12*(1-Paramètres!$B$2))</f>
        <v>628.55999999999995</v>
      </c>
    </row>
    <row r="66" spans="1:29" ht="15" customHeight="1" x14ac:dyDescent="0.25">
      <c r="A66" s="43">
        <v>1688</v>
      </c>
      <c r="B66" s="53">
        <f>IF(B13="","",B13*(1-Paramètres!$B$2))</f>
        <v>291.48500000000001</v>
      </c>
      <c r="C66" s="53">
        <f>IF(C13="","",C13*(1-Paramètres!$B$2))</f>
        <v>296.82</v>
      </c>
      <c r="D66" s="53">
        <f>IF(D13="","",D13*(1-Paramètres!$B$2))</f>
        <v>303.61</v>
      </c>
      <c r="E66" s="53">
        <f>IF(E13="","",E13*(1-Paramètres!$B$2))</f>
        <v>312.82499999999999</v>
      </c>
      <c r="F66" s="53">
        <f>IF(F13="","",F13*(1-Paramètres!$B$2))</f>
        <v>322.03999999999996</v>
      </c>
      <c r="G66" s="53">
        <f>IF(G13="","",G13*(1-Paramètres!$B$2))</f>
        <v>336.10500000000002</v>
      </c>
      <c r="H66" s="53">
        <f>IF(H13="","",H13*(1-Paramètres!$B$2))</f>
        <v>343.86500000000001</v>
      </c>
      <c r="I66" s="53">
        <f>IF(I13="","",I13*(1-Paramètres!$B$2))</f>
        <v>353.565</v>
      </c>
      <c r="J66" s="53">
        <f>IF(J13="","",J13*(1-Paramètres!$B$2))</f>
        <v>362.78</v>
      </c>
      <c r="K66" s="53">
        <f>IF(K13="","",K13*(1-Paramètres!$B$2))</f>
        <v>371.995</v>
      </c>
      <c r="L66" s="53">
        <f>IF(L13="","",L13*(1-Paramètres!$B$2))</f>
        <v>383.15</v>
      </c>
      <c r="M66" s="53">
        <f>IF(M13="","",M13*(1-Paramètres!$B$2))</f>
        <v>390.42500000000001</v>
      </c>
      <c r="N66" s="53">
        <f>IF(N13="","",N13*(1-Paramètres!$B$2))</f>
        <v>399.64</v>
      </c>
      <c r="O66" s="53">
        <f>IF(O13="","",O13*(1-Paramètres!$B$2))</f>
        <v>407.88499999999999</v>
      </c>
      <c r="P66" s="53">
        <f>IF(P13="","",P13*(1-Paramètres!$B$2))</f>
        <v>417.09999999999997</v>
      </c>
      <c r="Q66" s="53">
        <f>IF(Q13="","",Q13*(1-Paramètres!$B$2))</f>
        <v>426.315</v>
      </c>
      <c r="R66" s="53">
        <f>IF(R13="","",R13*(1-Paramètres!$B$2))</f>
        <v>433.59</v>
      </c>
      <c r="S66" s="53">
        <f>IF(S13="","",S13*(1-Paramètres!$B$2))</f>
        <v>440.86500000000001</v>
      </c>
      <c r="T66" s="53">
        <f>IF(T13="","",T13*(1-Paramètres!$B$2))</f>
        <v>447.65499999999997</v>
      </c>
      <c r="U66" s="53">
        <f>IF(U13="","",U13*(1-Paramètres!$B$2))</f>
        <v>455.9</v>
      </c>
      <c r="V66" s="53">
        <f>IF(V13="","",V13*(1-Paramètres!$B$2))</f>
        <v>462.69</v>
      </c>
      <c r="W66" s="53">
        <f>IF(W13="","",W13*(1-Paramètres!$B$2))</f>
        <v>568.41999999999996</v>
      </c>
      <c r="X66" s="53">
        <f>IF(X13="","",X13*(1-Paramètres!$B$2))</f>
        <v>580.05999999999995</v>
      </c>
      <c r="Y66" s="53">
        <f>IF(Y13="","",Y13*(1-Paramètres!$B$2))</f>
        <v>591.21500000000003</v>
      </c>
      <c r="Z66" s="53">
        <f>IF(Z13="","",Z13*(1-Paramètres!$B$2))</f>
        <v>602.37</v>
      </c>
      <c r="AA66" s="53">
        <f>IF(AA13="","",AA13*(1-Paramètres!$B$2))</f>
        <v>615.46500000000003</v>
      </c>
      <c r="AB66" s="53">
        <f>IF(AB13="","",AB13*(1-Paramètres!$B$2))</f>
        <v>627.10500000000002</v>
      </c>
      <c r="AC66" s="53">
        <f>IF(AC13="","",AC13*(1-Paramètres!$B$2))</f>
        <v>639.23</v>
      </c>
    </row>
    <row r="67" spans="1:29" ht="15" customHeight="1" x14ac:dyDescent="0.25">
      <c r="A67" s="43">
        <v>1823</v>
      </c>
      <c r="B67" s="53">
        <f>IF(B14="","",B14*(1-Paramètres!$B$2))</f>
        <v>295.36500000000001</v>
      </c>
      <c r="C67" s="53">
        <f>IF(C14="","",C14*(1-Paramètres!$B$2))</f>
        <v>301.185</v>
      </c>
      <c r="D67" s="53">
        <f>IF(D14="","",D14*(1-Paramètres!$B$2))</f>
        <v>310.88499999999999</v>
      </c>
      <c r="E67" s="53">
        <f>IF(E14="","",E14*(1-Paramètres!$B$2))</f>
        <v>319.61500000000001</v>
      </c>
      <c r="F67" s="53">
        <f>IF(F14="","",F14*(1-Paramètres!$B$2))</f>
        <v>328.83</v>
      </c>
      <c r="G67" s="53">
        <f>IF(G14="","",G14*(1-Paramètres!$B$2))</f>
        <v>342.40999999999997</v>
      </c>
      <c r="H67" s="53">
        <f>IF(H14="","",H14*(1-Paramètres!$B$2))</f>
        <v>351.625</v>
      </c>
      <c r="I67" s="53">
        <f>IF(I14="","",I14*(1-Paramètres!$B$2))</f>
        <v>361.32499999999999</v>
      </c>
      <c r="J67" s="53">
        <f>IF(J14="","",J14*(1-Paramètres!$B$2))</f>
        <v>370.53999999999996</v>
      </c>
      <c r="K67" s="53">
        <f>IF(K14="","",K14*(1-Paramètres!$B$2))</f>
        <v>379.755</v>
      </c>
      <c r="L67" s="53">
        <f>IF(L14="","",L14*(1-Paramètres!$B$2))</f>
        <v>390.90999999999997</v>
      </c>
      <c r="M67" s="53">
        <f>IF(M14="","",M14*(1-Paramètres!$B$2))</f>
        <v>400.125</v>
      </c>
      <c r="N67" s="53">
        <f>IF(N14="","",N14*(1-Paramètres!$B$2))</f>
        <v>409.82499999999999</v>
      </c>
      <c r="O67" s="53">
        <f>IF(O14="","",O14*(1-Paramètres!$B$2))</f>
        <v>417.58499999999998</v>
      </c>
      <c r="P67" s="53">
        <f>IF(P14="","",P14*(1-Paramètres!$B$2))</f>
        <v>428.255</v>
      </c>
      <c r="Q67" s="53">
        <f>IF(Q14="","",Q14*(1-Paramètres!$B$2))</f>
        <v>436.01499999999999</v>
      </c>
      <c r="R67" s="53">
        <f>IF(R14="","",R14*(1-Paramètres!$B$2))</f>
        <v>446.685</v>
      </c>
      <c r="S67" s="53">
        <f>IF(S14="","",S14*(1-Paramètres!$B$2))</f>
        <v>452.02</v>
      </c>
      <c r="T67" s="53">
        <f>IF(T14="","",T14*(1-Paramètres!$B$2))</f>
        <v>459.78</v>
      </c>
      <c r="U67" s="53">
        <f>IF(U14="","",U14*(1-Paramètres!$B$2))</f>
        <v>557.26499999999999</v>
      </c>
      <c r="V67" s="53">
        <f>IF(V14="","",V14*(1-Paramètres!$B$2))</f>
        <v>568.41999999999996</v>
      </c>
      <c r="W67" s="53">
        <f>IF(W14="","",W14*(1-Paramètres!$B$2))</f>
        <v>580.05999999999995</v>
      </c>
      <c r="X67" s="53">
        <f>IF(X14="","",X14*(1-Paramètres!$B$2))</f>
        <v>591.21500000000003</v>
      </c>
      <c r="Y67" s="53">
        <f>IF(Y14="","",Y14*(1-Paramètres!$B$2))</f>
        <v>601.88499999999999</v>
      </c>
      <c r="Z67" s="53">
        <f>IF(Z14="","",Z14*(1-Paramètres!$B$2))</f>
        <v>614.01</v>
      </c>
      <c r="AA67" s="53">
        <f>IF(AA14="","",AA14*(1-Paramètres!$B$2))</f>
        <v>626.62</v>
      </c>
      <c r="AB67" s="53">
        <f>IF(AB14="","",AB14*(1-Paramètres!$B$2))</f>
        <v>638.26</v>
      </c>
      <c r="AC67" s="53">
        <f>IF(AC14="","",AC14*(1-Paramètres!$B$2))</f>
        <v>650.87</v>
      </c>
    </row>
    <row r="68" spans="1:29" ht="15" customHeight="1" x14ac:dyDescent="0.25">
      <c r="A68" s="43">
        <v>1958</v>
      </c>
      <c r="B68" s="53">
        <f>IF(B15="","",B15*(1-Paramètres!$B$2))</f>
        <v>300.7</v>
      </c>
      <c r="C68" s="53">
        <f>IF(C15="","",C15*(1-Paramètres!$B$2))</f>
        <v>306.52</v>
      </c>
      <c r="D68" s="53">
        <f>IF(D15="","",D15*(1-Paramètres!$B$2))</f>
        <v>316.21999999999997</v>
      </c>
      <c r="E68" s="53">
        <f>IF(E15="","",E15*(1-Paramètres!$B$2))</f>
        <v>326.89</v>
      </c>
      <c r="F68" s="53">
        <f>IF(F15="","",F15*(1-Paramètres!$B$2))</f>
        <v>335.13499999999999</v>
      </c>
      <c r="G68" s="53">
        <f>IF(G15="","",G15*(1-Paramètres!$B$2))</f>
        <v>349.685</v>
      </c>
      <c r="H68" s="53">
        <f>IF(H15="","",H15*(1-Paramètres!$B$2))</f>
        <v>358.9</v>
      </c>
      <c r="I68" s="53">
        <f>IF(I15="","",I15*(1-Paramètres!$B$2))</f>
        <v>369.08499999999998</v>
      </c>
      <c r="J68" s="53">
        <f>IF(J15="","",J15*(1-Paramètres!$B$2))</f>
        <v>378.3</v>
      </c>
      <c r="K68" s="53">
        <f>IF(K15="","",K15*(1-Paramètres!$B$2))</f>
        <v>387.51499999999999</v>
      </c>
      <c r="L68" s="53">
        <f>IF(L15="","",L15*(1-Paramètres!$B$2))</f>
        <v>399.64</v>
      </c>
      <c r="M68" s="53">
        <f>IF(M15="","",M15*(1-Paramètres!$B$2))</f>
        <v>409.34</v>
      </c>
      <c r="N68" s="53">
        <f>IF(N15="","",N15*(1-Paramètres!$B$2))</f>
        <v>419.03999999999996</v>
      </c>
      <c r="O68" s="53">
        <f>IF(O15="","",O15*(1-Paramètres!$B$2))</f>
        <v>428.255</v>
      </c>
      <c r="P68" s="53">
        <f>IF(P15="","",P15*(1-Paramètres!$B$2))</f>
        <v>437.95499999999998</v>
      </c>
      <c r="Q68" s="53">
        <f>IF(Q15="","",Q15*(1-Paramètres!$B$2))</f>
        <v>447.17</v>
      </c>
      <c r="R68" s="53">
        <f>IF(R15="","",R15*(1-Paramètres!$B$2))</f>
        <v>455.9</v>
      </c>
      <c r="S68" s="53">
        <f>IF(S15="","",S15*(1-Paramètres!$B$2))</f>
        <v>462.20499999999998</v>
      </c>
      <c r="T68" s="53">
        <f>IF(T15="","",T15*(1-Paramètres!$B$2))</f>
        <v>557.26499999999999</v>
      </c>
      <c r="U68" s="53">
        <f>IF(U15="","",U15*(1-Paramètres!$B$2))</f>
        <v>568.41999999999996</v>
      </c>
      <c r="V68" s="53">
        <f>IF(V15="","",V15*(1-Paramètres!$B$2))</f>
        <v>580.05999999999995</v>
      </c>
      <c r="W68" s="53">
        <f>IF(W15="","",W15*(1-Paramètres!$B$2))</f>
        <v>591.21500000000003</v>
      </c>
      <c r="X68" s="53">
        <f>IF(X15="","",X15*(1-Paramètres!$B$2))</f>
        <v>601.88499999999999</v>
      </c>
      <c r="Y68" s="53">
        <f>IF(Y15="","",Y15*(1-Paramètres!$B$2))</f>
        <v>613.52499999999998</v>
      </c>
      <c r="Z68" s="53">
        <f>IF(Z15="","",Z15*(1-Paramètres!$B$2))</f>
        <v>626.13499999999999</v>
      </c>
      <c r="AA68" s="53">
        <f>IF(AA15="","",AA15*(1-Paramètres!$B$2))</f>
        <v>637.77499999999998</v>
      </c>
      <c r="AB68" s="53">
        <f>IF(AB15="","",AB15*(1-Paramètres!$B$2))</f>
        <v>701.79499999999996</v>
      </c>
      <c r="AC68" s="53">
        <f>IF(AC15="","",AC15*(1-Paramètres!$B$2))</f>
        <v>714.89</v>
      </c>
    </row>
    <row r="69" spans="1:29" ht="15" customHeight="1" x14ac:dyDescent="0.25">
      <c r="A69" s="43">
        <v>2092</v>
      </c>
      <c r="B69" s="53">
        <f>IF(B16="","",B16*(1-Paramètres!$B$2))</f>
        <v>305.065</v>
      </c>
      <c r="C69" s="53">
        <f>IF(C16="","",C16*(1-Paramètres!$B$2))</f>
        <v>312.82499999999999</v>
      </c>
      <c r="D69" s="53">
        <f>IF(D16="","",D16*(1-Paramètres!$B$2))</f>
        <v>323.01</v>
      </c>
      <c r="E69" s="53">
        <f>IF(E16="","",E16*(1-Paramètres!$B$2))</f>
        <v>331.74</v>
      </c>
      <c r="F69" s="53">
        <f>IF(F16="","",F16*(1-Paramètres!$B$2))</f>
        <v>342.89499999999998</v>
      </c>
      <c r="G69" s="53">
        <f>IF(G16="","",G16*(1-Paramètres!$B$2))</f>
        <v>355.99</v>
      </c>
      <c r="H69" s="53">
        <f>IF(H16="","",H16*(1-Paramètres!$B$2))</f>
        <v>366.17500000000001</v>
      </c>
      <c r="I69" s="53">
        <f>IF(I16="","",I16*(1-Paramètres!$B$2))</f>
        <v>377.33</v>
      </c>
      <c r="J69" s="53">
        <f>IF(J16="","",J16*(1-Paramètres!$B$2))</f>
        <v>387.03</v>
      </c>
      <c r="K69" s="53">
        <f>IF(K16="","",K16*(1-Paramètres!$B$2))</f>
        <v>396.72999999999996</v>
      </c>
      <c r="L69" s="53">
        <f>IF(L16="","",L16*(1-Paramètres!$B$2))</f>
        <v>407.88499999999999</v>
      </c>
      <c r="M69" s="53">
        <f>IF(M16="","",M16*(1-Paramètres!$B$2))</f>
        <v>417.58499999999998</v>
      </c>
      <c r="N69" s="53">
        <f>IF(N16="","",N16*(1-Paramètres!$B$2))</f>
        <v>428.255</v>
      </c>
      <c r="O69" s="53">
        <f>IF(O16="","",O16*(1-Paramètres!$B$2))</f>
        <v>438.92500000000001</v>
      </c>
      <c r="P69" s="53">
        <f>IF(P16="","",P16*(1-Paramètres!$B$2))</f>
        <v>399.64</v>
      </c>
      <c r="Q69" s="53">
        <f>IF(Q16="","",Q16*(1-Paramètres!$B$2))</f>
        <v>458.32499999999999</v>
      </c>
      <c r="R69" s="53">
        <f>IF(R16="","",R16*(1-Paramètres!$B$2))</f>
        <v>546.59500000000003</v>
      </c>
      <c r="S69" s="53">
        <f>IF(S16="","",S16*(1-Paramètres!$B$2))</f>
        <v>557.26499999999999</v>
      </c>
      <c r="T69" s="53">
        <f>IF(T16="","",T16*(1-Paramètres!$B$2))</f>
        <v>568.41999999999996</v>
      </c>
      <c r="U69" s="53">
        <f>IF(U16="","",U16*(1-Paramètres!$B$2))</f>
        <v>580.05999999999995</v>
      </c>
      <c r="V69" s="53">
        <f>IF(V16="","",V16*(1-Paramètres!$B$2))</f>
        <v>591.21500000000003</v>
      </c>
      <c r="W69" s="53">
        <f>IF(W16="","",W16*(1-Paramètres!$B$2))</f>
        <v>601.88499999999999</v>
      </c>
      <c r="X69" s="53">
        <f>IF(X16="","",X16*(1-Paramètres!$B$2))</f>
        <v>613.52499999999998</v>
      </c>
      <c r="Y69" s="53">
        <f>IF(Y16="","",Y16*(1-Paramètres!$B$2))</f>
        <v>625.16499999999996</v>
      </c>
      <c r="Z69" s="53">
        <f>IF(Z16="","",Z16*(1-Paramètres!$B$2))</f>
        <v>687.73</v>
      </c>
      <c r="AA69" s="53">
        <f>IF(AA16="","",AA16*(1-Paramètres!$B$2))</f>
        <v>701.31</v>
      </c>
      <c r="AB69" s="53">
        <f>IF(AB16="","",AB16*(1-Paramètres!$B$2))</f>
        <v>713.92</v>
      </c>
      <c r="AC69" s="54" t="str">
        <f>IF(AC16="","",AC16*(1-Paramètres!$B$2))</f>
        <v/>
      </c>
    </row>
    <row r="70" spans="1:29" ht="15" customHeight="1" x14ac:dyDescent="0.25">
      <c r="A70" s="43">
        <v>2228</v>
      </c>
      <c r="B70" s="53">
        <f>IF(B17="","",B17*(1-Paramètres!$B$2))</f>
        <v>310.88499999999999</v>
      </c>
      <c r="C70" s="53">
        <f>IF(C17="","",C17*(1-Paramètres!$B$2))</f>
        <v>318.15999999999997</v>
      </c>
      <c r="D70" s="53">
        <f>IF(D17="","",D17*(1-Paramètres!$B$2))</f>
        <v>328.83</v>
      </c>
      <c r="E70" s="53">
        <f>IF(E17="","",E17*(1-Paramètres!$B$2))</f>
        <v>338.53</v>
      </c>
      <c r="F70" s="53">
        <f>IF(F17="","",F17*(1-Paramètres!$B$2))</f>
        <v>349.685</v>
      </c>
      <c r="G70" s="53">
        <f>IF(G17="","",G17*(1-Paramètres!$B$2))</f>
        <v>363.26499999999999</v>
      </c>
      <c r="H70" s="53">
        <f>IF(H17="","",H17*(1-Paramètres!$B$2))</f>
        <v>372.48</v>
      </c>
      <c r="I70" s="53">
        <f>IF(I17="","",I17*(1-Paramètres!$B$2))</f>
        <v>383.63499999999999</v>
      </c>
      <c r="J70" s="53">
        <f>IF(J17="","",J17*(1-Paramètres!$B$2))</f>
        <v>393.33499999999998</v>
      </c>
      <c r="K70" s="53">
        <f>IF(K17="","",K17*(1-Paramètres!$B$2))</f>
        <v>404.49</v>
      </c>
      <c r="L70" s="53">
        <f>IF(L17="","",L17*(1-Paramètres!$B$2))</f>
        <v>416.61500000000001</v>
      </c>
      <c r="M70" s="53">
        <f>IF(M17="","",M17*(1-Paramètres!$B$2))</f>
        <v>428.255</v>
      </c>
      <c r="N70" s="53">
        <f>IF(N17="","",N17*(1-Paramètres!$B$2))</f>
        <v>437.95499999999998</v>
      </c>
      <c r="O70" s="53">
        <f>IF(O17="","",O17*(1-Paramètres!$B$2))</f>
        <v>447.65499999999997</v>
      </c>
      <c r="P70" s="53">
        <f>IF(P17="","",P17*(1-Paramètres!$B$2))</f>
        <v>458.32499999999999</v>
      </c>
      <c r="Q70" s="53">
        <f>IF(Q17="","",Q17*(1-Paramètres!$B$2))</f>
        <v>548.53499999999997</v>
      </c>
      <c r="R70" s="53">
        <f>IF(R17="","",R17*(1-Paramètres!$B$2))</f>
        <v>557.75</v>
      </c>
      <c r="S70" s="53">
        <f>IF(S17="","",S17*(1-Paramètres!$B$2))</f>
        <v>568.41999999999996</v>
      </c>
      <c r="T70" s="53">
        <f>IF(T17="","",T17*(1-Paramètres!$B$2))</f>
        <v>578.12</v>
      </c>
      <c r="U70" s="53">
        <f>IF(U17="","",U17*(1-Paramètres!$B$2))</f>
        <v>589.76</v>
      </c>
      <c r="V70" s="53">
        <f>IF(V17="","",V17*(1-Paramètres!$B$2))</f>
        <v>600.91499999999996</v>
      </c>
      <c r="W70" s="53">
        <f>IF(W17="","",W17*(1-Paramètres!$B$2))</f>
        <v>612.06999999999994</v>
      </c>
      <c r="X70" s="53">
        <f>IF(X17="","",X17*(1-Paramètres!$B$2))</f>
        <v>674.15</v>
      </c>
      <c r="Y70" s="53">
        <f>IF(Y17="","",Y17*(1-Paramètres!$B$2))</f>
        <v>686.76</v>
      </c>
      <c r="Z70" s="53">
        <f>IF(Z17="","",Z17*(1-Paramètres!$B$2))</f>
        <v>700.34</v>
      </c>
      <c r="AA70" s="54" t="str">
        <f>IF(AA17="","",AA17*(1-Paramètres!$B$2))</f>
        <v/>
      </c>
      <c r="AB70" s="54" t="str">
        <f>IF(AB17="","",AB17*(1-Paramètres!$B$2))</f>
        <v/>
      </c>
      <c r="AC70" s="54" t="str">
        <f>IF(AC17="","",AC17*(1-Paramètres!$B$2))</f>
        <v/>
      </c>
    </row>
    <row r="71" spans="1:29" ht="15" customHeight="1" x14ac:dyDescent="0.25">
      <c r="A71" s="43">
        <v>2362</v>
      </c>
      <c r="B71" s="53">
        <f>IF(B18="","",B18*(1-Paramètres!$B$2))</f>
        <v>315.73500000000001</v>
      </c>
      <c r="C71" s="53">
        <f>IF(C18="","",C18*(1-Paramètres!$B$2))</f>
        <v>324.95</v>
      </c>
      <c r="D71" s="53">
        <f>IF(D18="","",D18*(1-Paramètres!$B$2))</f>
        <v>335.13499999999999</v>
      </c>
      <c r="E71" s="53">
        <f>IF(E18="","",E18*(1-Paramètres!$B$2))</f>
        <v>344.34999999999997</v>
      </c>
      <c r="F71" s="53">
        <f>IF(F18="","",F18*(1-Paramètres!$B$2))</f>
        <v>355.505</v>
      </c>
      <c r="G71" s="53">
        <f>IF(G18="","",G18*(1-Paramètres!$B$2))</f>
        <v>370.53999999999996</v>
      </c>
      <c r="H71" s="53">
        <f>IF(H18="","",H18*(1-Paramètres!$B$2))</f>
        <v>381.21</v>
      </c>
      <c r="I71" s="53">
        <f>IF(I18="","",I18*(1-Paramètres!$B$2))</f>
        <v>390.90999999999997</v>
      </c>
      <c r="J71" s="53">
        <f>IF(J18="","",J18*(1-Paramètres!$B$2))</f>
        <v>402.065</v>
      </c>
      <c r="K71" s="53">
        <f>IF(K18="","",K18*(1-Paramètres!$B$2))</f>
        <v>413.70499999999998</v>
      </c>
      <c r="L71" s="53">
        <f>IF(L18="","",L18*(1-Paramètres!$B$2))</f>
        <v>425.83</v>
      </c>
      <c r="M71" s="53">
        <f>IF(M18="","",M18*(1-Paramètres!$B$2))</f>
        <v>436.01499999999999</v>
      </c>
      <c r="N71" s="53">
        <f>IF(N18="","",N18*(1-Paramètres!$B$2))</f>
        <v>447.17</v>
      </c>
      <c r="O71" s="53">
        <f>IF(O18="","",O18*(1-Paramètres!$B$2))</f>
        <v>456.87</v>
      </c>
      <c r="P71" s="53">
        <f>IF(P18="","",P18*(1-Paramètres!$B$2))</f>
        <v>548.53499999999997</v>
      </c>
      <c r="Q71" s="53">
        <f>IF(Q18="","",Q18*(1-Paramètres!$B$2))</f>
        <v>560.66</v>
      </c>
      <c r="R71" s="53">
        <f>IF(R18="","",R18*(1-Paramètres!$B$2))</f>
        <v>569.39</v>
      </c>
      <c r="S71" s="53">
        <f>IF(S18="","",S18*(1-Paramètres!$B$2))</f>
        <v>580.05999999999995</v>
      </c>
      <c r="T71" s="53">
        <f>IF(T18="","",T18*(1-Paramètres!$B$2))</f>
        <v>589.76</v>
      </c>
      <c r="U71" s="53">
        <f>IF(U18="","",U18*(1-Paramètres!$B$2))</f>
        <v>600.91499999999996</v>
      </c>
      <c r="V71" s="53">
        <f>IF(V18="","",V18*(1-Paramètres!$B$2))</f>
        <v>612.06999999999994</v>
      </c>
      <c r="W71" s="53">
        <f>IF(W18="","",W18*(1-Paramètres!$B$2))</f>
        <v>672.21</v>
      </c>
      <c r="X71" s="53">
        <f>IF(X18="","",X18*(1-Paramètres!$B$2))</f>
        <v>686.27499999999998</v>
      </c>
      <c r="Y71" s="53">
        <f>IF(Y18="","",Y18*(1-Paramètres!$B$2))</f>
        <v>697.91499999999996</v>
      </c>
      <c r="Z71" s="54" t="str">
        <f>IF(Z18="","",Z18*(1-Paramètres!$B$2))</f>
        <v/>
      </c>
      <c r="AA71" s="54" t="str">
        <f>IF(AA18="","",AA18*(1-Paramètres!$B$2))</f>
        <v/>
      </c>
      <c r="AB71" s="54" t="str">
        <f>IF(AB18="","",AB18*(1-Paramètres!$B$2))</f>
        <v/>
      </c>
      <c r="AC71" s="54" t="str">
        <f>IF(AC18="","",AC18*(1-Paramètres!$B$2))</f>
        <v/>
      </c>
    </row>
    <row r="72" spans="1:29" ht="15" customHeight="1" x14ac:dyDescent="0.25">
      <c r="A72" s="43">
        <v>2498</v>
      </c>
      <c r="B72" s="53">
        <f>IF(B19="","",B19*(1-Paramètres!$B$2))</f>
        <v>319.61500000000001</v>
      </c>
      <c r="C72" s="53">
        <f>IF(C19="","",C19*(1-Paramètres!$B$2))</f>
        <v>328.83</v>
      </c>
      <c r="D72" s="53">
        <f>IF(D19="","",D19*(1-Paramètres!$B$2))</f>
        <v>340.46999999999997</v>
      </c>
      <c r="E72" s="53">
        <f>IF(E19="","",E19*(1-Paramètres!$B$2))</f>
        <v>351.625</v>
      </c>
      <c r="F72" s="53">
        <f>IF(F19="","",F19*(1-Paramètres!$B$2))</f>
        <v>362.78</v>
      </c>
      <c r="G72" s="53">
        <f>IF(G19="","",G19*(1-Paramètres!$B$2))</f>
        <v>377.33</v>
      </c>
      <c r="H72" s="53">
        <f>IF(H19="","",H19*(1-Paramètres!$B$2))</f>
        <v>387.51499999999999</v>
      </c>
      <c r="I72" s="53">
        <f>IF(I19="","",I19*(1-Paramètres!$B$2))</f>
        <v>398.67</v>
      </c>
      <c r="J72" s="53">
        <f>IF(J19="","",J19*(1-Paramètres!$B$2))</f>
        <v>409.82499999999999</v>
      </c>
      <c r="K72" s="53">
        <f>IF(K19="","",K19*(1-Paramètres!$B$2))</f>
        <v>421.46499999999997</v>
      </c>
      <c r="L72" s="53">
        <f>IF(L19="","",L19*(1-Paramètres!$B$2))</f>
        <v>433.59</v>
      </c>
      <c r="M72" s="53">
        <f>IF(M19="","",M19*(1-Paramètres!$B$2))</f>
        <v>444.745</v>
      </c>
      <c r="N72" s="53">
        <f>IF(N19="","",N19*(1-Paramètres!$B$2))</f>
        <v>455.9</v>
      </c>
      <c r="O72" s="53">
        <f>IF(O19="","",O19*(1-Paramètres!$B$2))</f>
        <v>548.04999999999995</v>
      </c>
      <c r="P72" s="53">
        <f>IF(P19="","",P19*(1-Paramètres!$B$2))</f>
        <v>560.66</v>
      </c>
      <c r="Q72" s="53">
        <f>IF(Q19="","",Q19*(1-Paramètres!$B$2))</f>
        <v>571.81499999999994</v>
      </c>
      <c r="R72" s="53">
        <f>IF(R19="","",R19*(1-Paramètres!$B$2))</f>
        <v>581.51499999999999</v>
      </c>
      <c r="S72" s="53">
        <f>IF(S19="","",S19*(1-Paramètres!$B$2))</f>
        <v>591.21500000000003</v>
      </c>
      <c r="T72" s="53">
        <f>IF(T19="","",T19*(1-Paramètres!$B$2))</f>
        <v>600.91499999999996</v>
      </c>
      <c r="U72" s="53">
        <f>IF(U19="","",U19*(1-Paramètres!$B$2))</f>
        <v>612.06999999999994</v>
      </c>
      <c r="V72" s="53">
        <f>IF(V19="","",V19*(1-Paramètres!$B$2))</f>
        <v>672.21</v>
      </c>
      <c r="W72" s="53">
        <f>IF(W19="","",W19*(1-Paramètres!$B$2))</f>
        <v>684.81999999999994</v>
      </c>
      <c r="X72" s="54" t="str">
        <f>IF(X19="","",X19*(1-Paramètres!$B$2))</f>
        <v/>
      </c>
      <c r="Y72" s="54" t="str">
        <f>IF(Y19="","",Y19*(1-Paramètres!$B$2))</f>
        <v/>
      </c>
      <c r="Z72" s="54" t="str">
        <f>IF(Z19="","",Z19*(1-Paramètres!$B$2))</f>
        <v/>
      </c>
      <c r="AA72" s="54" t="str">
        <f>IF(AA19="","",AA19*(1-Paramètres!$B$2))</f>
        <v/>
      </c>
      <c r="AB72" s="54" t="str">
        <f>IF(AB19="","",AB19*(1-Paramètres!$B$2))</f>
        <v/>
      </c>
      <c r="AC72" s="54" t="str">
        <f>IF(AC19="","",AC19*(1-Paramètres!$B$2))</f>
        <v/>
      </c>
    </row>
    <row r="73" spans="1:29" ht="15" customHeight="1" x14ac:dyDescent="0.25">
      <c r="A73" s="43">
        <v>2632</v>
      </c>
      <c r="B73" s="53">
        <f>IF(B20="","",B20*(1-Paramètres!$B$2))</f>
        <v>324.95</v>
      </c>
      <c r="C73" s="53">
        <f>IF(C20="","",C20*(1-Paramètres!$B$2))</f>
        <v>336.10500000000002</v>
      </c>
      <c r="D73" s="53">
        <f>IF(D20="","",D20*(1-Paramètres!$B$2))</f>
        <v>346.28999999999996</v>
      </c>
      <c r="E73" s="53">
        <f>IF(E20="","",E20*(1-Paramètres!$B$2))</f>
        <v>357.93</v>
      </c>
      <c r="F73" s="53">
        <f>IF(F20="","",F20*(1-Paramètres!$B$2))</f>
        <v>370.05500000000001</v>
      </c>
      <c r="G73" s="53">
        <f>IF(G20="","",G20*(1-Paramètres!$B$2))</f>
        <v>384.12</v>
      </c>
      <c r="H73" s="53">
        <f>IF(H20="","",H20*(1-Paramètres!$B$2))</f>
        <v>395.27499999999998</v>
      </c>
      <c r="I73" s="53">
        <f>IF(I20="","",I20*(1-Paramètres!$B$2))</f>
        <v>406.43</v>
      </c>
      <c r="J73" s="53">
        <f>IF(J20="","",J20*(1-Paramètres!$B$2))</f>
        <v>417.58499999999998</v>
      </c>
      <c r="K73" s="53">
        <f>IF(K20="","",K20*(1-Paramètres!$B$2))</f>
        <v>429.71</v>
      </c>
      <c r="L73" s="53">
        <f>IF(L20="","",L20*(1-Paramètres!$B$2))</f>
        <v>442.80500000000001</v>
      </c>
      <c r="M73" s="53">
        <f>IF(M20="","",M20*(1-Paramètres!$B$2))</f>
        <v>454.44499999999999</v>
      </c>
      <c r="N73" s="53">
        <f>IF(N20="","",N20*(1-Paramètres!$B$2))</f>
        <v>546.11</v>
      </c>
      <c r="O73" s="53">
        <f>IF(O20="","",O20*(1-Paramètres!$B$2))</f>
        <v>557.75</v>
      </c>
      <c r="P73" s="53">
        <f>IF(P20="","",P20*(1-Paramètres!$B$2))</f>
        <v>571.81499999999994</v>
      </c>
      <c r="Q73" s="53">
        <f>IF(Q20="","",Q20*(1-Paramètres!$B$2))</f>
        <v>582.97</v>
      </c>
      <c r="R73" s="53">
        <f>IF(R20="","",R20*(1-Paramètres!$B$2))</f>
        <v>592.66999999999996</v>
      </c>
      <c r="S73" s="53">
        <f>IF(S20="","",S20*(1-Paramètres!$B$2))</f>
        <v>601.88499999999999</v>
      </c>
      <c r="T73" s="53">
        <f>IF(T20="","",T20*(1-Paramètres!$B$2))</f>
        <v>612.06999999999994</v>
      </c>
      <c r="U73" s="53">
        <f>IF(U20="","",U20*(1-Paramètres!$B$2))</f>
        <v>672.21</v>
      </c>
      <c r="V73" s="53">
        <f>IF(V20="","",V20*(1-Paramètres!$B$2))</f>
        <v>680.93999999999994</v>
      </c>
      <c r="W73" s="54" t="str">
        <f>IF(W20="","",W20*(1-Paramètres!$B$2))</f>
        <v/>
      </c>
      <c r="X73" s="54" t="str">
        <f>IF(X20="","",X20*(1-Paramètres!$B$2))</f>
        <v/>
      </c>
      <c r="Y73" s="54" t="str">
        <f>IF(Y20="","",Y20*(1-Paramètres!$B$2))</f>
        <v/>
      </c>
      <c r="Z73" s="54" t="str">
        <f>IF(Z20="","",Z20*(1-Paramètres!$B$2))</f>
        <v/>
      </c>
      <c r="AA73" s="54" t="str">
        <f>IF(AA20="","",AA20*(1-Paramètres!$B$2))</f>
        <v/>
      </c>
      <c r="AB73" s="54" t="str">
        <f>IF(AB20="","",AB20*(1-Paramètres!$B$2))</f>
        <v/>
      </c>
      <c r="AC73" s="54" t="str">
        <f>IF(AC20="","",AC20*(1-Paramètres!$B$2))</f>
        <v/>
      </c>
    </row>
    <row r="74" spans="1:29" ht="15" customHeight="1" x14ac:dyDescent="0.25">
      <c r="A74" s="43">
        <v>2768</v>
      </c>
      <c r="B74" s="53">
        <f>IF(B21="","",B21*(1-Paramètres!$B$2))</f>
        <v>332.71</v>
      </c>
      <c r="C74" s="53">
        <f>IF(C21="","",C21*(1-Paramètres!$B$2))</f>
        <v>344.34999999999997</v>
      </c>
      <c r="D74" s="53">
        <f>IF(D21="","",D21*(1-Paramètres!$B$2))</f>
        <v>355.99</v>
      </c>
      <c r="E74" s="53">
        <f>IF(E21="","",E21*(1-Paramètres!$B$2))</f>
        <v>368.59999999999997</v>
      </c>
      <c r="F74" s="53">
        <f>IF(F21="","",F21*(1-Paramètres!$B$2))</f>
        <v>379.755</v>
      </c>
      <c r="G74" s="53">
        <f>IF(G21="","",G21*(1-Paramètres!$B$2))</f>
        <v>395.27499999999998</v>
      </c>
      <c r="H74" s="53">
        <f>IF(H21="","",H21*(1-Paramètres!$B$2))</f>
        <v>406.43</v>
      </c>
      <c r="I74" s="53">
        <f>IF(I21="","",I21*(1-Paramètres!$B$2))</f>
        <v>418.55500000000001</v>
      </c>
      <c r="J74" s="53">
        <f>IF(J21="","",J21*(1-Paramètres!$B$2))</f>
        <v>429.71</v>
      </c>
      <c r="K74" s="53">
        <f>IF(K21="","",K21*(1-Paramètres!$B$2))</f>
        <v>441.34999999999997</v>
      </c>
      <c r="L74" s="53">
        <f>IF(L21="","",L21*(1-Paramètres!$B$2))</f>
        <v>454.93</v>
      </c>
      <c r="M74" s="53">
        <f>IF(M21="","",M21*(1-Paramètres!$B$2))</f>
        <v>466.08499999999998</v>
      </c>
      <c r="N74" s="53">
        <f>IF(N21="","",N21*(1-Paramètres!$B$2))</f>
        <v>556.78</v>
      </c>
      <c r="O74" s="53">
        <f>IF(O21="","",O21*(1-Paramètres!$B$2))</f>
        <v>568.41999999999996</v>
      </c>
      <c r="P74" s="53">
        <f>IF(P21="","",P21*(1-Paramètres!$B$2))</f>
        <v>582.97</v>
      </c>
      <c r="Q74" s="53">
        <f>IF(Q21="","",Q21*(1-Paramètres!$B$2))</f>
        <v>594.61</v>
      </c>
      <c r="R74" s="53">
        <f>IF(R21="","",R21*(1-Paramètres!$B$2))</f>
        <v>602.85500000000002</v>
      </c>
      <c r="S74" s="53">
        <f>IF(S21="","",S21*(1-Paramètres!$B$2))</f>
        <v>613.52499999999998</v>
      </c>
      <c r="T74" s="53">
        <f>IF(T21="","",T21*(1-Paramètres!$B$2))</f>
        <v>672.21</v>
      </c>
      <c r="U74" s="54" t="str">
        <f>IF(U21="","",U21*(1-Paramètres!$B$2))</f>
        <v/>
      </c>
      <c r="V74" s="54" t="str">
        <f>IF(V21="","",V21*(1-Paramètres!$B$2))</f>
        <v/>
      </c>
      <c r="W74" s="54" t="str">
        <f>IF(W21="","",W21*(1-Paramètres!$B$2))</f>
        <v/>
      </c>
      <c r="X74" s="54" t="str">
        <f>IF(X21="","",X21*(1-Paramètres!$B$2))</f>
        <v/>
      </c>
      <c r="Y74" s="54" t="str">
        <f>IF(Y21="","",Y21*(1-Paramètres!$B$2))</f>
        <v/>
      </c>
      <c r="Z74" s="54" t="str">
        <f>IF(Z21="","",Z21*(1-Paramètres!$B$2))</f>
        <v/>
      </c>
      <c r="AA74" s="54" t="str">
        <f>IF(AA21="","",AA21*(1-Paramètres!$B$2))</f>
        <v/>
      </c>
      <c r="AB74" s="54" t="str">
        <f>IF(AB21="","",AB21*(1-Paramètres!$B$2))</f>
        <v/>
      </c>
      <c r="AC74" s="54" t="str">
        <f>IF(AC21="","",AC21*(1-Paramètres!$B$2))</f>
        <v/>
      </c>
    </row>
    <row r="75" spans="1:29" ht="15" customHeight="1" x14ac:dyDescent="0.25">
      <c r="A75" s="43">
        <v>2902</v>
      </c>
      <c r="B75" s="53">
        <f>IF(B22="","",B22*(1-Paramètres!$B$2))</f>
        <v>339.01499999999999</v>
      </c>
      <c r="C75" s="53">
        <f>IF(C22="","",C22*(1-Paramètres!$B$2))</f>
        <v>351.14</v>
      </c>
      <c r="D75" s="53">
        <f>IF(D22="","",D22*(1-Paramètres!$B$2))</f>
        <v>362.78</v>
      </c>
      <c r="E75" s="53">
        <f>IF(E22="","",E22*(1-Paramètres!$B$2))</f>
        <v>374.42</v>
      </c>
      <c r="F75" s="53">
        <f>IF(F22="","",F22*(1-Paramètres!$B$2))</f>
        <v>386.06</v>
      </c>
      <c r="G75" s="53">
        <f>IF(G22="","",G22*(1-Paramètres!$B$2))</f>
        <v>402.065</v>
      </c>
      <c r="H75" s="53">
        <f>IF(H22="","",H22*(1-Paramètres!$B$2))</f>
        <v>413.70499999999998</v>
      </c>
      <c r="I75" s="53">
        <f>IF(I22="","",I22*(1-Paramètres!$B$2))</f>
        <v>426.8</v>
      </c>
      <c r="J75" s="53">
        <f>IF(J22="","",J22*(1-Paramètres!$B$2))</f>
        <v>437.95499999999998</v>
      </c>
      <c r="K75" s="53">
        <f>IF(K22="","",K22*(1-Paramètres!$B$2))</f>
        <v>450.565</v>
      </c>
      <c r="L75" s="53">
        <f>IF(L22="","",L22*(1-Paramètres!$B$2))</f>
        <v>462.20499999999998</v>
      </c>
      <c r="M75" s="53">
        <f>IF(M22="","",M22*(1-Paramètres!$B$2))</f>
        <v>559.20500000000004</v>
      </c>
      <c r="N75" s="53">
        <f>IF(N22="","",N22*(1-Paramètres!$B$2))</f>
        <v>566.96500000000003</v>
      </c>
      <c r="O75" s="53">
        <f>IF(O22="","",O22*(1-Paramètres!$B$2))</f>
        <v>578.12</v>
      </c>
      <c r="P75" s="53">
        <f>IF(P22="","",P22*(1-Paramètres!$B$2))</f>
        <v>594.61</v>
      </c>
      <c r="Q75" s="53">
        <f>IF(Q22="","",Q22*(1-Paramètres!$B$2))</f>
        <v>604.79499999999996</v>
      </c>
      <c r="R75" s="53">
        <f>IF(R22="","",R22*(1-Paramètres!$B$2))</f>
        <v>615.46500000000003</v>
      </c>
      <c r="S75" s="53">
        <f>IF(S22="","",S22*(1-Paramètres!$B$2))</f>
        <v>674.15</v>
      </c>
      <c r="T75" s="54" t="str">
        <f>IF(T22="","",T22*(1-Paramètres!$B$2))</f>
        <v/>
      </c>
      <c r="U75" s="54" t="str">
        <f>IF(U22="","",U22*(1-Paramètres!$B$2))</f>
        <v/>
      </c>
      <c r="V75" s="54" t="str">
        <f>IF(V22="","",V22*(1-Paramètres!$B$2))</f>
        <v/>
      </c>
      <c r="W75" s="54" t="str">
        <f>IF(W22="","",W22*(1-Paramètres!$B$2))</f>
        <v/>
      </c>
      <c r="X75" s="54" t="str">
        <f>IF(X22="","",X22*(1-Paramètres!$B$2))</f>
        <v/>
      </c>
      <c r="Y75" s="54" t="str">
        <f>IF(Y22="","",Y22*(1-Paramètres!$B$2))</f>
        <v/>
      </c>
      <c r="Z75" s="54" t="str">
        <f>IF(Z22="","",Z22*(1-Paramètres!$B$2))</f>
        <v/>
      </c>
      <c r="AA75" s="54" t="str">
        <f>IF(AA22="","",AA22*(1-Paramètres!$B$2))</f>
        <v/>
      </c>
      <c r="AB75" s="54" t="str">
        <f>IF(AB22="","",AB22*(1-Paramètres!$B$2))</f>
        <v/>
      </c>
      <c r="AC75" s="54" t="str">
        <f>IF(AC22="","",AC22*(1-Paramètres!$B$2))</f>
        <v/>
      </c>
    </row>
    <row r="76" spans="1:29" ht="15" customHeight="1" x14ac:dyDescent="0.25">
      <c r="A76" s="43">
        <v>3038</v>
      </c>
      <c r="B76" s="53">
        <f>IF(B23="","",B23*(1-Paramètres!$B$2))</f>
        <v>344.34999999999997</v>
      </c>
      <c r="C76" s="53">
        <f>IF(C23="","",C23*(1-Paramètres!$B$2))</f>
        <v>355.99</v>
      </c>
      <c r="D76" s="53">
        <f>IF(D23="","",D23*(1-Paramètres!$B$2))</f>
        <v>369.08499999999998</v>
      </c>
      <c r="E76" s="53">
        <f>IF(E23="","",E23*(1-Paramètres!$B$2))</f>
        <v>381.21</v>
      </c>
      <c r="F76" s="53">
        <f>IF(F23="","",F23*(1-Paramètres!$B$2))</f>
        <v>392.84999999999997</v>
      </c>
      <c r="G76" s="53">
        <f>IF(G23="","",G23*(1-Paramètres!$B$2))</f>
        <v>409.34</v>
      </c>
      <c r="H76" s="53">
        <f>IF(H23="","",H23*(1-Paramètres!$B$2))</f>
        <v>421.46499999999997</v>
      </c>
      <c r="I76" s="53">
        <f>IF(I23="","",I23*(1-Paramètres!$B$2))</f>
        <v>433.59</v>
      </c>
      <c r="J76" s="53">
        <f>IF(J23="","",J23*(1-Paramètres!$B$2))</f>
        <v>445.22999999999996</v>
      </c>
      <c r="K76" s="53">
        <f>IF(K23="","",K23*(1-Paramètres!$B$2))</f>
        <v>458.32499999999999</v>
      </c>
      <c r="L76" s="53">
        <f>IF(L23="","",L23*(1-Paramètres!$B$2))</f>
        <v>555.80999999999995</v>
      </c>
      <c r="M76" s="53">
        <f>IF(M23="","",M23*(1-Paramètres!$B$2))</f>
        <v>568.90499999999997</v>
      </c>
      <c r="N76" s="53">
        <f>IF(N23="","",N23*(1-Paramètres!$B$2))</f>
        <v>576.17999999999995</v>
      </c>
      <c r="O76" s="53">
        <f>IF(O23="","",O23*(1-Paramètres!$B$2))</f>
        <v>589.27499999999998</v>
      </c>
      <c r="P76" s="53">
        <f>IF(P23="","",P23*(1-Paramètres!$B$2))</f>
        <v>604.79499999999996</v>
      </c>
      <c r="Q76" s="53">
        <f>IF(Q23="","",Q23*(1-Paramètres!$B$2))</f>
        <v>615.94999999999993</v>
      </c>
      <c r="R76" s="53">
        <f>IF(R23="","",R23*(1-Paramètres!$B$2))</f>
        <v>675.60500000000002</v>
      </c>
      <c r="S76" s="53">
        <f>IF(S23="","",S23*(1-Paramètres!$B$2))</f>
        <v>686.27499999999998</v>
      </c>
      <c r="T76" s="54" t="str">
        <f>IF(T23="","",T23*(1-Paramètres!$B$2))</f>
        <v/>
      </c>
      <c r="U76" s="54" t="str">
        <f>IF(U23="","",U23*(1-Paramètres!$B$2))</f>
        <v/>
      </c>
      <c r="V76" s="54" t="str">
        <f>IF(V23="","",V23*(1-Paramètres!$B$2))</f>
        <v/>
      </c>
      <c r="W76" s="54" t="str">
        <f>IF(W23="","",W23*(1-Paramètres!$B$2))</f>
        <v/>
      </c>
      <c r="X76" s="54" t="str">
        <f>IF(X23="","",X23*(1-Paramètres!$B$2))</f>
        <v/>
      </c>
      <c r="Y76" s="54" t="str">
        <f>IF(Y23="","",Y23*(1-Paramètres!$B$2))</f>
        <v/>
      </c>
      <c r="Z76" s="54" t="str">
        <f>IF(Z23="","",Z23*(1-Paramètres!$B$2))</f>
        <v/>
      </c>
      <c r="AA76" s="54" t="str">
        <f>IF(AA23="","",AA23*(1-Paramètres!$B$2))</f>
        <v/>
      </c>
      <c r="AB76" s="54" t="str">
        <f>IF(AB23="","",AB23*(1-Paramètres!$B$2))</f>
        <v/>
      </c>
      <c r="AC76" s="54" t="str">
        <f>IF(AC23="","",AC23*(1-Paramètres!$B$2))</f>
        <v/>
      </c>
    </row>
    <row r="77" spans="1:29" ht="15" customHeight="1" x14ac:dyDescent="0.25">
      <c r="A77" s="43">
        <v>3172</v>
      </c>
      <c r="B77" s="53">
        <f>IF(B24="","",B24*(1-Paramètres!$B$2))</f>
        <v>351.14</v>
      </c>
      <c r="C77" s="53">
        <f>IF(C24="","",C24*(1-Paramètres!$B$2))</f>
        <v>362.78</v>
      </c>
      <c r="D77" s="53">
        <f>IF(D24="","",D24*(1-Paramètres!$B$2))</f>
        <v>375.875</v>
      </c>
      <c r="E77" s="53">
        <f>IF(E24="","",E24*(1-Paramètres!$B$2))</f>
        <v>387.03</v>
      </c>
      <c r="F77" s="53">
        <f>IF(F24="","",F24*(1-Paramètres!$B$2))</f>
        <v>399.64</v>
      </c>
      <c r="G77" s="53">
        <f>IF(G24="","",G24*(1-Paramètres!$B$2))</f>
        <v>415.64499999999998</v>
      </c>
      <c r="H77" s="53">
        <f>IF(H24="","",H24*(1-Paramètres!$B$2))</f>
        <v>429.71</v>
      </c>
      <c r="I77" s="53">
        <f>IF(I24="","",I24*(1-Paramètres!$B$2))</f>
        <v>441.34999999999997</v>
      </c>
      <c r="J77" s="53">
        <f>IF(J24="","",J24*(1-Paramètres!$B$2))</f>
        <v>452.99</v>
      </c>
      <c r="K77" s="53">
        <f>IF(K24="","",K24*(1-Paramètres!$B$2))</f>
        <v>466.08499999999998</v>
      </c>
      <c r="L77" s="53">
        <f>IF(L24="","",L24*(1-Paramètres!$B$2))</f>
        <v>564.54</v>
      </c>
      <c r="M77" s="53">
        <f>IF(M24="","",M24*(1-Paramètres!$B$2))</f>
        <v>578.60500000000002</v>
      </c>
      <c r="N77" s="53">
        <f>IF(N24="","",N24*(1-Paramètres!$B$2))</f>
        <v>586.85</v>
      </c>
      <c r="O77" s="53">
        <f>IF(O24="","",O24*(1-Paramètres!$B$2))</f>
        <v>598.49</v>
      </c>
      <c r="P77" s="53">
        <f>IF(P24="","",P24*(1-Paramètres!$B$2))</f>
        <v>615.94999999999993</v>
      </c>
      <c r="Q77" s="53">
        <f>IF(Q24="","",Q24*(1-Paramètres!$B$2))</f>
        <v>677.54499999999996</v>
      </c>
      <c r="R77" s="53">
        <f>IF(R24="","",R24*(1-Paramètres!$B$2))</f>
        <v>687.73</v>
      </c>
      <c r="S77" s="54" t="str">
        <f>IF(S24="","",S24*(1-Paramètres!$B$2))</f>
        <v/>
      </c>
      <c r="T77" s="54" t="str">
        <f>IF(T24="","",T24*(1-Paramètres!$B$2))</f>
        <v/>
      </c>
      <c r="U77" s="54" t="str">
        <f>IF(U24="","",U24*(1-Paramètres!$B$2))</f>
        <v/>
      </c>
      <c r="V77" s="54" t="str">
        <f>IF(V24="","",V24*(1-Paramètres!$B$2))</f>
        <v/>
      </c>
      <c r="W77" s="54" t="str">
        <f>IF(W24="","",W24*(1-Paramètres!$B$2))</f>
        <v/>
      </c>
      <c r="X77" s="54" t="str">
        <f>IF(X24="","",X24*(1-Paramètres!$B$2))</f>
        <v/>
      </c>
      <c r="Y77" s="54" t="str">
        <f>IF(Y24="","",Y24*(1-Paramètres!$B$2))</f>
        <v/>
      </c>
      <c r="Z77" s="54" t="str">
        <f>IF(Z24="","",Z24*(1-Paramètres!$B$2))</f>
        <v/>
      </c>
      <c r="AA77" s="54" t="str">
        <f>IF(AA24="","",AA24*(1-Paramètres!$B$2))</f>
        <v/>
      </c>
      <c r="AB77" s="54" t="str">
        <f>IF(AB24="","",AB24*(1-Paramètres!$B$2))</f>
        <v/>
      </c>
      <c r="AC77" s="54" t="str">
        <f>IF(AC24="","",AC24*(1-Paramètres!$B$2))</f>
        <v/>
      </c>
    </row>
    <row r="78" spans="1:29" ht="15" customHeight="1" x14ac:dyDescent="0.25">
      <c r="A78" s="43">
        <v>3308</v>
      </c>
      <c r="B78" s="53">
        <f>IF(B25="","",B25*(1-Paramètres!$B$2))</f>
        <v>355.99</v>
      </c>
      <c r="C78" s="53">
        <f>IF(C25="","",C25*(1-Paramètres!$B$2))</f>
        <v>368.11500000000001</v>
      </c>
      <c r="D78" s="53">
        <f>IF(D25="","",D25*(1-Paramètres!$B$2))</f>
        <v>381.21</v>
      </c>
      <c r="E78" s="53">
        <f>IF(E25="","",E25*(1-Paramètres!$B$2))</f>
        <v>392.84999999999997</v>
      </c>
      <c r="F78" s="53">
        <f>IF(F25="","",F25*(1-Paramètres!$B$2))</f>
        <v>405.94499999999999</v>
      </c>
      <c r="G78" s="53">
        <f>IF(G25="","",G25*(1-Paramètres!$B$2))</f>
        <v>424.375</v>
      </c>
      <c r="H78" s="53">
        <f>IF(H25="","",H25*(1-Paramètres!$B$2))</f>
        <v>437.46999999999997</v>
      </c>
      <c r="I78" s="53">
        <f>IF(I25="","",I25*(1-Paramètres!$B$2))</f>
        <v>447.65499999999997</v>
      </c>
      <c r="J78" s="53">
        <f>IF(J25="","",J25*(1-Paramètres!$B$2))</f>
        <v>460.75</v>
      </c>
      <c r="K78" s="53">
        <f>IF(K25="","",K25*(1-Paramètres!$B$2))</f>
        <v>561.63</v>
      </c>
      <c r="L78" s="53">
        <f>IF(L25="","",L25*(1-Paramètres!$B$2))</f>
        <v>574.72500000000002</v>
      </c>
      <c r="M78" s="53">
        <f>IF(M25="","",M25*(1-Paramètres!$B$2))</f>
        <v>589.27499999999998</v>
      </c>
      <c r="N78" s="53">
        <f>IF(N25="","",N25*(1-Paramètres!$B$2))</f>
        <v>597.03499999999997</v>
      </c>
      <c r="O78" s="53">
        <f>IF(O25="","",O25*(1-Paramètres!$B$2))</f>
        <v>609.16</v>
      </c>
      <c r="P78" s="53">
        <f>IF(P25="","",P25*(1-Paramètres!$B$2))</f>
        <v>679</v>
      </c>
      <c r="Q78" s="53">
        <f>IF(Q25="","",Q25*(1-Paramètres!$B$2))</f>
        <v>690.15499999999997</v>
      </c>
      <c r="R78" s="54" t="str">
        <f>IF(R25="","",R25*(1-Paramètres!$B$2))</f>
        <v/>
      </c>
      <c r="S78" s="54" t="str">
        <f>IF(S25="","",S25*(1-Paramètres!$B$2))</f>
        <v/>
      </c>
      <c r="T78" s="54" t="str">
        <f>IF(T25="","",T25*(1-Paramètres!$B$2))</f>
        <v/>
      </c>
      <c r="U78" s="54" t="str">
        <f>IF(U25="","",U25*(1-Paramètres!$B$2))</f>
        <v/>
      </c>
      <c r="V78" s="54" t="str">
        <f>IF(V25="","",V25*(1-Paramètres!$B$2))</f>
        <v/>
      </c>
      <c r="W78" s="54" t="str">
        <f>IF(W25="","",W25*(1-Paramètres!$B$2))</f>
        <v/>
      </c>
      <c r="X78" s="54" t="str">
        <f>IF(X25="","",X25*(1-Paramètres!$B$2))</f>
        <v/>
      </c>
      <c r="Y78" s="54" t="str">
        <f>IF(Y25="","",Y25*(1-Paramètres!$B$2))</f>
        <v/>
      </c>
      <c r="Z78" s="54" t="str">
        <f>IF(Z25="","",Z25*(1-Paramètres!$B$2))</f>
        <v/>
      </c>
      <c r="AA78" s="54" t="str">
        <f>IF(AA25="","",AA25*(1-Paramètres!$B$2))</f>
        <v/>
      </c>
      <c r="AB78" s="54" t="str">
        <f>IF(AB25="","",AB25*(1-Paramètres!$B$2))</f>
        <v/>
      </c>
      <c r="AC78" s="54" t="str">
        <f>IF(AC25="","",AC25*(1-Paramètres!$B$2))</f>
        <v/>
      </c>
    </row>
    <row r="79" spans="1:29" ht="15" customHeight="1" x14ac:dyDescent="0.25">
      <c r="A79" s="43">
        <v>3442</v>
      </c>
      <c r="B79" s="53">
        <f>IF(B26="","",B26*(1-Paramètres!$B$2))</f>
        <v>361.32499999999999</v>
      </c>
      <c r="C79" s="53">
        <f>IF(C26="","",C26*(1-Paramètres!$B$2))</f>
        <v>374.42</v>
      </c>
      <c r="D79" s="53">
        <f>IF(D26="","",D26*(1-Paramètres!$B$2))</f>
        <v>387.51499999999999</v>
      </c>
      <c r="E79" s="53">
        <f>IF(E26="","",E26*(1-Paramètres!$B$2))</f>
        <v>399.64</v>
      </c>
      <c r="F79" s="53">
        <f>IF(F26="","",F26*(1-Paramètres!$B$2))</f>
        <v>413.70499999999998</v>
      </c>
      <c r="G79" s="53">
        <f>IF(G26="","",G26*(1-Paramètres!$B$2))</f>
        <v>430.68</v>
      </c>
      <c r="H79" s="53">
        <f>IF(H26="","",H26*(1-Paramètres!$B$2))</f>
        <v>443.77499999999998</v>
      </c>
      <c r="I79" s="53">
        <f>IF(I26="","",I26*(1-Paramètres!$B$2))</f>
        <v>455.9</v>
      </c>
      <c r="J79" s="53">
        <f>IF(J26="","",J26*(1-Paramètres!$B$2))</f>
        <v>468.995</v>
      </c>
      <c r="K79" s="53">
        <f>IF(K26="","",K26*(1-Paramètres!$B$2))</f>
        <v>574.72500000000002</v>
      </c>
      <c r="L79" s="53">
        <f>IF(L26="","",L26*(1-Paramètres!$B$2))</f>
        <v>585.39499999999998</v>
      </c>
      <c r="M79" s="53">
        <f>IF(M26="","",M26*(1-Paramètres!$B$2))</f>
        <v>598.49</v>
      </c>
      <c r="N79" s="53">
        <f>IF(N26="","",N26*(1-Paramètres!$B$2))</f>
        <v>606.73500000000001</v>
      </c>
      <c r="O79" s="53">
        <f>IF(O26="","",O26*(1-Paramètres!$B$2))</f>
        <v>617.89</v>
      </c>
      <c r="P79" s="53">
        <f>IF(P26="","",P26*(1-Paramètres!$B$2))</f>
        <v>690.15499999999997</v>
      </c>
      <c r="Q79" s="54" t="str">
        <f>IF(Q26="","",Q26*(1-Paramètres!$B$2))</f>
        <v/>
      </c>
      <c r="R79" s="54" t="str">
        <f>IF(R26="","",R26*(1-Paramètres!$B$2))</f>
        <v/>
      </c>
      <c r="S79" s="54" t="str">
        <f>IF(S26="","",S26*(1-Paramètres!$B$2))</f>
        <v/>
      </c>
      <c r="T79" s="54" t="str">
        <f>IF(T26="","",T26*(1-Paramètres!$B$2))</f>
        <v/>
      </c>
      <c r="U79" s="54" t="str">
        <f>IF(U26="","",U26*(1-Paramètres!$B$2))</f>
        <v/>
      </c>
      <c r="V79" s="54" t="str">
        <f>IF(V26="","",V26*(1-Paramètres!$B$2))</f>
        <v/>
      </c>
      <c r="W79" s="54" t="str">
        <f>IF(W26="","",W26*(1-Paramètres!$B$2))</f>
        <v/>
      </c>
      <c r="X79" s="54" t="str">
        <f>IF(X26="","",X26*(1-Paramètres!$B$2))</f>
        <v/>
      </c>
      <c r="Y79" s="54" t="str">
        <f>IF(Y26="","",Y26*(1-Paramètres!$B$2))</f>
        <v/>
      </c>
      <c r="Z79" s="54" t="str">
        <f>IF(Z26="","",Z26*(1-Paramètres!$B$2))</f>
        <v/>
      </c>
      <c r="AA79" s="54" t="str">
        <f>IF(AA26="","",AA26*(1-Paramètres!$B$2))</f>
        <v/>
      </c>
      <c r="AB79" s="54" t="str">
        <f>IF(AB26="","",AB26*(1-Paramètres!$B$2))</f>
        <v/>
      </c>
      <c r="AC79" s="54" t="str">
        <f>IF(AC26="","",AC26*(1-Paramètres!$B$2))</f>
        <v/>
      </c>
    </row>
  </sheetData>
  <mergeCells count="5">
    <mergeCell ref="AE3:AF3"/>
    <mergeCell ref="A1:AF1"/>
    <mergeCell ref="A3:AC3"/>
    <mergeCell ref="A30:AC30"/>
    <mergeCell ref="A55:AC55"/>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9"/>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7" width="9" customWidth="1"/>
    <col min="8" max="8" width="2" customWidth="1"/>
    <col min="9" max="10" width="11" customWidth="1"/>
  </cols>
  <sheetData>
    <row r="1" spans="1:10" ht="24" customHeight="1" x14ac:dyDescent="0.25">
      <c r="A1" s="126" t="s">
        <v>276</v>
      </c>
      <c r="B1" s="93"/>
      <c r="C1" s="93"/>
      <c r="D1" s="93"/>
      <c r="E1" s="93"/>
      <c r="F1" s="93"/>
      <c r="G1" s="93"/>
      <c r="H1" s="93"/>
      <c r="I1" s="93"/>
      <c r="J1" s="93"/>
    </row>
    <row r="3" spans="1:10" ht="15" customHeight="1" x14ac:dyDescent="0.25">
      <c r="A3" s="121" t="s">
        <v>259</v>
      </c>
      <c r="B3" s="93"/>
      <c r="C3" s="93"/>
      <c r="D3" s="93"/>
      <c r="E3" s="93"/>
      <c r="F3" s="93"/>
      <c r="G3" s="93"/>
      <c r="I3" s="121" t="s">
        <v>273</v>
      </c>
      <c r="J3" s="93"/>
    </row>
    <row r="4" spans="1:10" ht="15" customHeight="1" x14ac:dyDescent="0.25">
      <c r="A4" s="43" t="s">
        <v>260</v>
      </c>
      <c r="B4" s="43">
        <v>800</v>
      </c>
      <c r="C4" s="43">
        <v>900</v>
      </c>
      <c r="D4" s="43">
        <v>1000</v>
      </c>
      <c r="E4" s="43">
        <v>1100</v>
      </c>
      <c r="F4" s="43">
        <v>1200</v>
      </c>
      <c r="G4" s="43">
        <v>1300</v>
      </c>
      <c r="I4" s="43" t="s">
        <v>274</v>
      </c>
      <c r="J4" s="43" t="s">
        <v>275</v>
      </c>
    </row>
    <row r="5" spans="1:10" ht="15" customHeight="1" x14ac:dyDescent="0.25">
      <c r="A5" s="43">
        <v>1950</v>
      </c>
      <c r="B5" s="44">
        <v>2758</v>
      </c>
      <c r="C5" s="44">
        <v>2822</v>
      </c>
      <c r="D5" s="44">
        <v>2892</v>
      </c>
      <c r="E5" s="44">
        <v>2959</v>
      </c>
      <c r="F5" s="44">
        <v>3027</v>
      </c>
      <c r="G5" s="44">
        <v>3092</v>
      </c>
      <c r="I5" s="50">
        <v>256</v>
      </c>
      <c r="J5" s="50">
        <v>305</v>
      </c>
    </row>
    <row r="6" spans="1:10" ht="15" customHeight="1" x14ac:dyDescent="0.25">
      <c r="A6" s="43">
        <v>2150</v>
      </c>
      <c r="B6" s="44">
        <v>2810</v>
      </c>
      <c r="C6" s="44">
        <v>2880</v>
      </c>
      <c r="D6" s="44">
        <v>2947</v>
      </c>
      <c r="E6" s="44">
        <v>3016</v>
      </c>
      <c r="F6" s="44">
        <v>3085</v>
      </c>
      <c r="G6" s="44">
        <v>3155</v>
      </c>
      <c r="I6" s="50">
        <v>263</v>
      </c>
      <c r="J6" s="50">
        <v>321</v>
      </c>
    </row>
    <row r="7" spans="1:10" ht="15" customHeight="1" x14ac:dyDescent="0.25">
      <c r="A7" s="43">
        <v>2350</v>
      </c>
      <c r="B7" s="44">
        <v>2863</v>
      </c>
      <c r="C7" s="44">
        <v>2933</v>
      </c>
      <c r="D7" s="44">
        <v>3004</v>
      </c>
      <c r="E7" s="44">
        <v>3074</v>
      </c>
      <c r="F7" s="44">
        <v>3144</v>
      </c>
      <c r="G7" s="44">
        <v>3214</v>
      </c>
      <c r="I7" s="50">
        <v>271</v>
      </c>
      <c r="J7" s="50">
        <v>327</v>
      </c>
    </row>
    <row r="8" spans="1:10" ht="15" customHeight="1" x14ac:dyDescent="0.25">
      <c r="A8" s="43">
        <v>2550</v>
      </c>
      <c r="B8" s="44">
        <v>2915</v>
      </c>
      <c r="C8" s="44">
        <v>2988</v>
      </c>
      <c r="D8" s="44">
        <v>3060</v>
      </c>
      <c r="E8" s="44">
        <v>3131</v>
      </c>
      <c r="F8" s="44">
        <v>3203</v>
      </c>
      <c r="G8" s="44">
        <v>3346</v>
      </c>
      <c r="I8" s="50">
        <v>280</v>
      </c>
      <c r="J8" s="50">
        <v>341</v>
      </c>
    </row>
    <row r="9" spans="1:10" ht="15" customHeight="1" x14ac:dyDescent="0.25">
      <c r="A9" s="43">
        <v>2650</v>
      </c>
      <c r="B9" s="44">
        <v>2971</v>
      </c>
      <c r="C9" s="44">
        <v>3042</v>
      </c>
      <c r="D9" s="44">
        <v>3116</v>
      </c>
      <c r="E9" s="44">
        <v>3190</v>
      </c>
      <c r="F9" s="44">
        <v>3260</v>
      </c>
      <c r="G9" s="44">
        <v>3409</v>
      </c>
      <c r="I9" s="50">
        <v>292</v>
      </c>
      <c r="J9" s="50">
        <v>348</v>
      </c>
    </row>
    <row r="10" spans="1:10" ht="15" customHeight="1" x14ac:dyDescent="0.25">
      <c r="A10" s="43">
        <v>2750</v>
      </c>
      <c r="B10" s="44">
        <v>3024</v>
      </c>
      <c r="C10" s="44">
        <v>3098</v>
      </c>
      <c r="D10" s="44">
        <v>3172</v>
      </c>
      <c r="E10" s="44">
        <v>3246</v>
      </c>
      <c r="F10" s="44">
        <v>3392</v>
      </c>
      <c r="G10" s="44">
        <v>3471</v>
      </c>
      <c r="I10" s="50">
        <v>298</v>
      </c>
      <c r="J10" s="50">
        <v>363</v>
      </c>
    </row>
    <row r="11" spans="1:10" ht="15" customHeight="1" x14ac:dyDescent="0.25">
      <c r="A11" s="43">
        <v>2850</v>
      </c>
      <c r="B11" s="44">
        <v>3076</v>
      </c>
      <c r="C11" s="44">
        <v>3153</v>
      </c>
      <c r="D11" s="44">
        <v>3231</v>
      </c>
      <c r="E11" s="44">
        <v>3304</v>
      </c>
      <c r="F11" s="44">
        <v>3454</v>
      </c>
      <c r="G11" s="44">
        <v>3534</v>
      </c>
      <c r="I11" s="50">
        <v>305</v>
      </c>
      <c r="J11" s="50">
        <v>370</v>
      </c>
    </row>
    <row r="12" spans="1:10" ht="15" customHeight="1" x14ac:dyDescent="0.25">
      <c r="A12" s="46" t="s">
        <v>243</v>
      </c>
      <c r="B12" s="47">
        <v>165</v>
      </c>
      <c r="C12" s="47">
        <v>172</v>
      </c>
      <c r="D12" s="47">
        <v>181</v>
      </c>
      <c r="E12" s="47">
        <v>188</v>
      </c>
      <c r="F12" s="47">
        <v>194</v>
      </c>
      <c r="G12" s="47">
        <v>206</v>
      </c>
    </row>
    <row r="13" spans="1:10" ht="15" customHeight="1" x14ac:dyDescent="0.25">
      <c r="A13" s="46" t="s">
        <v>245</v>
      </c>
      <c r="B13" s="47">
        <v>188</v>
      </c>
      <c r="C13" s="47">
        <v>194</v>
      </c>
      <c r="D13" s="47">
        <v>206</v>
      </c>
      <c r="E13" s="47">
        <v>214</v>
      </c>
      <c r="F13" s="47">
        <v>229</v>
      </c>
      <c r="G13" s="47">
        <v>237</v>
      </c>
    </row>
    <row r="14" spans="1:10" ht="15" customHeight="1" x14ac:dyDescent="0.25">
      <c r="A14" s="46" t="s">
        <v>248</v>
      </c>
      <c r="B14" s="47">
        <v>249</v>
      </c>
      <c r="C14" s="47">
        <v>258</v>
      </c>
      <c r="D14" s="47">
        <v>267</v>
      </c>
      <c r="E14" s="47">
        <v>276</v>
      </c>
      <c r="F14" s="47">
        <v>285</v>
      </c>
      <c r="G14" s="47">
        <v>294</v>
      </c>
    </row>
    <row r="16" spans="1:10" ht="15" customHeight="1" x14ac:dyDescent="0.25">
      <c r="A16" s="121" t="s">
        <v>262</v>
      </c>
      <c r="B16" s="93"/>
      <c r="C16" s="93"/>
      <c r="D16" s="93"/>
      <c r="E16" s="93"/>
      <c r="F16" s="93"/>
      <c r="G16" s="93"/>
    </row>
    <row r="17" spans="1:7" ht="15" customHeight="1" x14ac:dyDescent="0.25">
      <c r="A17" s="48" t="s">
        <v>263</v>
      </c>
      <c r="B17" s="49">
        <f>Paramètres!$B$2</f>
        <v>0.51500000000000001</v>
      </c>
    </row>
    <row r="18" spans="1:7" ht="15" customHeight="1" x14ac:dyDescent="0.25">
      <c r="A18" s="43" t="s">
        <v>260</v>
      </c>
      <c r="B18" s="43">
        <v>800</v>
      </c>
      <c r="C18" s="43">
        <v>900</v>
      </c>
      <c r="D18" s="43">
        <v>1000</v>
      </c>
      <c r="E18" s="43">
        <v>1100</v>
      </c>
      <c r="F18" s="43">
        <v>1200</v>
      </c>
      <c r="G18" s="43">
        <v>1300</v>
      </c>
    </row>
    <row r="19" spans="1:7" ht="15" customHeight="1" x14ac:dyDescent="0.25">
      <c r="A19" s="43">
        <v>1950</v>
      </c>
      <c r="B19" s="44">
        <f>B5*(1-Paramètres!$B$2)</f>
        <v>1337.6299999999999</v>
      </c>
      <c r="C19" s="44">
        <f>C5*(1-Paramètres!$B$2)</f>
        <v>1368.67</v>
      </c>
      <c r="D19" s="44">
        <f>D5*(1-Paramètres!$B$2)</f>
        <v>1402.62</v>
      </c>
      <c r="E19" s="44">
        <f>E5*(1-Paramètres!$B$2)</f>
        <v>1435.115</v>
      </c>
      <c r="F19" s="44">
        <f>F5*(1-Paramètres!$B$2)</f>
        <v>1468.095</v>
      </c>
      <c r="G19" s="44">
        <f>G5*(1-Paramètres!$B$2)</f>
        <v>1499.62</v>
      </c>
    </row>
    <row r="20" spans="1:7" ht="15" customHeight="1" x14ac:dyDescent="0.25">
      <c r="A20" s="43">
        <v>2150</v>
      </c>
      <c r="B20" s="44">
        <f>B6*(1-Paramètres!$B$2)</f>
        <v>1362.85</v>
      </c>
      <c r="C20" s="44">
        <f>C6*(1-Paramètres!$B$2)</f>
        <v>1396.8</v>
      </c>
      <c r="D20" s="44">
        <f>D6*(1-Paramètres!$B$2)</f>
        <v>1429.2950000000001</v>
      </c>
      <c r="E20" s="44">
        <f>E6*(1-Paramètres!$B$2)</f>
        <v>1462.76</v>
      </c>
      <c r="F20" s="44">
        <f>F6*(1-Paramètres!$B$2)</f>
        <v>1496.2249999999999</v>
      </c>
      <c r="G20" s="44">
        <f>G6*(1-Paramètres!$B$2)</f>
        <v>1530.175</v>
      </c>
    </row>
    <row r="21" spans="1:7" ht="15" customHeight="1" x14ac:dyDescent="0.25">
      <c r="A21" s="43">
        <v>2350</v>
      </c>
      <c r="B21" s="44">
        <f>B7*(1-Paramètres!$B$2)</f>
        <v>1388.5550000000001</v>
      </c>
      <c r="C21" s="44">
        <f>C7*(1-Paramètres!$B$2)</f>
        <v>1422.5049999999999</v>
      </c>
      <c r="D21" s="44">
        <f>D7*(1-Paramètres!$B$2)</f>
        <v>1456.94</v>
      </c>
      <c r="E21" s="44">
        <f>E7*(1-Paramètres!$B$2)</f>
        <v>1490.8899999999999</v>
      </c>
      <c r="F21" s="44">
        <f>F7*(1-Paramètres!$B$2)</f>
        <v>1524.84</v>
      </c>
      <c r="G21" s="44">
        <f>G7*(1-Paramètres!$B$2)</f>
        <v>1558.79</v>
      </c>
    </row>
    <row r="22" spans="1:7" ht="15" customHeight="1" x14ac:dyDescent="0.25">
      <c r="A22" s="43">
        <v>2550</v>
      </c>
      <c r="B22" s="44">
        <f>B8*(1-Paramètres!$B$2)</f>
        <v>1413.7749999999999</v>
      </c>
      <c r="C22" s="44">
        <f>C8*(1-Paramètres!$B$2)</f>
        <v>1449.18</v>
      </c>
      <c r="D22" s="44">
        <f>D8*(1-Paramètres!$B$2)</f>
        <v>1484.1</v>
      </c>
      <c r="E22" s="44">
        <f>E8*(1-Paramètres!$B$2)</f>
        <v>1518.5349999999999</v>
      </c>
      <c r="F22" s="44">
        <f>F8*(1-Paramètres!$B$2)</f>
        <v>1553.4549999999999</v>
      </c>
      <c r="G22" s="44">
        <f>G8*(1-Paramètres!$B$2)</f>
        <v>1622.81</v>
      </c>
    </row>
    <row r="23" spans="1:7" ht="15" customHeight="1" x14ac:dyDescent="0.25">
      <c r="A23" s="43">
        <v>2650</v>
      </c>
      <c r="B23" s="44">
        <f>B9*(1-Paramètres!$B$2)</f>
        <v>1440.9349999999999</v>
      </c>
      <c r="C23" s="44">
        <f>C9*(1-Paramètres!$B$2)</f>
        <v>1475.37</v>
      </c>
      <c r="D23" s="44">
        <f>D9*(1-Paramètres!$B$2)</f>
        <v>1511.26</v>
      </c>
      <c r="E23" s="44">
        <f>E9*(1-Paramètres!$B$2)</f>
        <v>1547.1499999999999</v>
      </c>
      <c r="F23" s="44">
        <f>F9*(1-Paramètres!$B$2)</f>
        <v>1581.1</v>
      </c>
      <c r="G23" s="44">
        <f>G9*(1-Paramètres!$B$2)</f>
        <v>1653.365</v>
      </c>
    </row>
    <row r="24" spans="1:7" ht="15" customHeight="1" x14ac:dyDescent="0.25">
      <c r="A24" s="43">
        <v>2750</v>
      </c>
      <c r="B24" s="44">
        <f>B10*(1-Paramètres!$B$2)</f>
        <v>1466.6399999999999</v>
      </c>
      <c r="C24" s="44">
        <f>C10*(1-Paramètres!$B$2)</f>
        <v>1502.53</v>
      </c>
      <c r="D24" s="44">
        <f>D10*(1-Paramètres!$B$2)</f>
        <v>1538.4199999999998</v>
      </c>
      <c r="E24" s="44">
        <f>E10*(1-Paramètres!$B$2)</f>
        <v>1574.31</v>
      </c>
      <c r="F24" s="44">
        <f>F10*(1-Paramètres!$B$2)</f>
        <v>1645.12</v>
      </c>
      <c r="G24" s="44">
        <f>G10*(1-Paramètres!$B$2)</f>
        <v>1683.4349999999999</v>
      </c>
    </row>
    <row r="25" spans="1:7" ht="15" customHeight="1" x14ac:dyDescent="0.25">
      <c r="A25" s="43">
        <v>2850</v>
      </c>
      <c r="B25" s="44">
        <f>B11*(1-Paramètres!$B$2)</f>
        <v>1491.86</v>
      </c>
      <c r="C25" s="44">
        <f>C11*(1-Paramètres!$B$2)</f>
        <v>1529.2049999999999</v>
      </c>
      <c r="D25" s="44">
        <f>D11*(1-Paramètres!$B$2)</f>
        <v>1567.0349999999999</v>
      </c>
      <c r="E25" s="44">
        <f>E11*(1-Paramètres!$B$2)</f>
        <v>1602.44</v>
      </c>
      <c r="F25" s="44">
        <f>F11*(1-Paramètres!$B$2)</f>
        <v>1675.19</v>
      </c>
      <c r="G25" s="44">
        <f>G11*(1-Paramètres!$B$2)</f>
        <v>1713.99</v>
      </c>
    </row>
    <row r="27" spans="1:7" ht="21.75" customHeight="1" x14ac:dyDescent="0.25">
      <c r="A27" s="127" t="s">
        <v>277</v>
      </c>
      <c r="B27" s="128"/>
      <c r="C27" s="128"/>
      <c r="D27" s="128"/>
      <c r="E27" s="128"/>
      <c r="F27" s="128"/>
      <c r="G27" s="128"/>
    </row>
    <row r="28" spans="1:7" ht="21.75" customHeight="1" x14ac:dyDescent="0.25">
      <c r="A28" s="129" t="s">
        <v>278</v>
      </c>
      <c r="B28" s="128"/>
      <c r="C28" s="128"/>
      <c r="D28" s="128"/>
      <c r="E28" s="128"/>
      <c r="F28" s="128"/>
      <c r="G28" s="128"/>
    </row>
    <row r="29" spans="1:7" ht="21.75" customHeight="1" x14ac:dyDescent="0.25">
      <c r="A29" s="129" t="s">
        <v>279</v>
      </c>
      <c r="B29" s="128"/>
      <c r="C29" s="128"/>
      <c r="D29" s="128"/>
      <c r="E29" s="128"/>
      <c r="F29" s="128"/>
      <c r="G29" s="128"/>
    </row>
  </sheetData>
  <mergeCells count="7">
    <mergeCell ref="A1:J1"/>
    <mergeCell ref="A27:G27"/>
    <mergeCell ref="A3:G3"/>
    <mergeCell ref="A16:G16"/>
    <mergeCell ref="A29:G29"/>
    <mergeCell ref="A28:G28"/>
    <mergeCell ref="I3:J3"/>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29"/>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15" width="9" customWidth="1"/>
    <col min="16" max="16" width="2" customWidth="1"/>
    <col min="17" max="18" width="11" customWidth="1"/>
  </cols>
  <sheetData>
    <row r="1" spans="1:18" ht="24" customHeight="1" x14ac:dyDescent="0.25">
      <c r="A1" s="126" t="s">
        <v>280</v>
      </c>
      <c r="B1" s="93"/>
      <c r="C1" s="93"/>
      <c r="D1" s="93"/>
      <c r="E1" s="93"/>
      <c r="F1" s="93"/>
      <c r="G1" s="93"/>
      <c r="H1" s="93"/>
      <c r="I1" s="93"/>
      <c r="J1" s="93"/>
      <c r="K1" s="93"/>
      <c r="L1" s="93"/>
      <c r="M1" s="93"/>
      <c r="N1" s="93"/>
      <c r="O1" s="93"/>
      <c r="P1" s="93"/>
      <c r="Q1" s="93"/>
      <c r="R1" s="93"/>
    </row>
    <row r="3" spans="1:18" ht="15" customHeight="1" x14ac:dyDescent="0.25">
      <c r="A3" s="121" t="s">
        <v>259</v>
      </c>
      <c r="B3" s="93"/>
      <c r="C3" s="93"/>
      <c r="D3" s="93"/>
      <c r="E3" s="93"/>
      <c r="F3" s="93"/>
      <c r="G3" s="93"/>
      <c r="H3" s="93"/>
      <c r="I3" s="93"/>
      <c r="J3" s="93"/>
      <c r="K3" s="93"/>
      <c r="L3" s="93"/>
      <c r="M3" s="93"/>
      <c r="N3" s="93"/>
      <c r="O3" s="93"/>
      <c r="Q3" s="121" t="s">
        <v>273</v>
      </c>
      <c r="R3" s="93"/>
    </row>
    <row r="4" spans="1:18" ht="15" customHeight="1" x14ac:dyDescent="0.25">
      <c r="A4" s="43" t="s">
        <v>260</v>
      </c>
      <c r="B4" s="43">
        <v>1200</v>
      </c>
      <c r="C4" s="43">
        <v>1300</v>
      </c>
      <c r="D4" s="43">
        <v>1400</v>
      </c>
      <c r="E4" s="43">
        <v>1500</v>
      </c>
      <c r="F4" s="43">
        <v>1600</v>
      </c>
      <c r="G4" s="43">
        <v>1700</v>
      </c>
      <c r="H4" s="43">
        <v>1800</v>
      </c>
      <c r="I4" s="43">
        <v>1900</v>
      </c>
      <c r="J4" s="43">
        <v>2000</v>
      </c>
      <c r="K4" s="43">
        <v>2100</v>
      </c>
      <c r="L4" s="43">
        <v>2200</v>
      </c>
      <c r="M4" s="43">
        <v>2300</v>
      </c>
      <c r="N4" s="43">
        <v>2400</v>
      </c>
      <c r="O4" s="43">
        <v>2500</v>
      </c>
      <c r="Q4" s="43" t="s">
        <v>274</v>
      </c>
      <c r="R4" s="43" t="s">
        <v>275</v>
      </c>
    </row>
    <row r="5" spans="1:18" ht="15" customHeight="1" x14ac:dyDescent="0.25">
      <c r="A5" s="43">
        <v>1950</v>
      </c>
      <c r="B5" s="44">
        <v>3837</v>
      </c>
      <c r="C5" s="44">
        <v>3909</v>
      </c>
      <c r="D5" s="44">
        <v>3981</v>
      </c>
      <c r="E5" s="44">
        <v>4052</v>
      </c>
      <c r="F5" s="44">
        <v>4123</v>
      </c>
      <c r="G5" s="44">
        <v>4194</v>
      </c>
      <c r="H5" s="44">
        <v>4266</v>
      </c>
      <c r="I5" s="44">
        <v>4339</v>
      </c>
      <c r="J5" s="44">
        <v>4410</v>
      </c>
      <c r="K5" s="44">
        <v>4482</v>
      </c>
      <c r="L5" s="44">
        <v>4552</v>
      </c>
      <c r="M5" s="44">
        <v>4625</v>
      </c>
      <c r="N5" s="44">
        <v>4697</v>
      </c>
      <c r="O5" s="44">
        <v>4768</v>
      </c>
      <c r="Q5" s="50">
        <v>256</v>
      </c>
      <c r="R5" s="50">
        <v>305</v>
      </c>
    </row>
    <row r="6" spans="1:18" ht="15" customHeight="1" x14ac:dyDescent="0.25">
      <c r="A6" s="43">
        <v>2150</v>
      </c>
      <c r="B6" s="44">
        <v>3918</v>
      </c>
      <c r="C6" s="44">
        <v>3990</v>
      </c>
      <c r="D6" s="44">
        <v>4064</v>
      </c>
      <c r="E6" s="44">
        <v>4137</v>
      </c>
      <c r="F6" s="44">
        <v>4210</v>
      </c>
      <c r="G6" s="44">
        <v>4281</v>
      </c>
      <c r="H6" s="44">
        <v>4356</v>
      </c>
      <c r="I6" s="44">
        <v>4428</v>
      </c>
      <c r="J6" s="44">
        <v>4501</v>
      </c>
      <c r="K6" s="44">
        <v>4574</v>
      </c>
      <c r="L6" s="44">
        <v>4649</v>
      </c>
      <c r="M6" s="44">
        <v>4721</v>
      </c>
      <c r="N6" s="44">
        <v>4796</v>
      </c>
      <c r="O6" s="44">
        <v>4868</v>
      </c>
      <c r="Q6" s="50">
        <v>263</v>
      </c>
      <c r="R6" s="50">
        <v>321</v>
      </c>
    </row>
    <row r="7" spans="1:18" ht="15" customHeight="1" x14ac:dyDescent="0.25">
      <c r="A7" s="43">
        <v>2350</v>
      </c>
      <c r="B7" s="44">
        <v>3997</v>
      </c>
      <c r="C7" s="44">
        <v>4071</v>
      </c>
      <c r="D7" s="44">
        <v>4147</v>
      </c>
      <c r="E7" s="44">
        <v>4221</v>
      </c>
      <c r="F7" s="44">
        <v>4296</v>
      </c>
      <c r="G7" s="44">
        <v>4368</v>
      </c>
      <c r="H7" s="44">
        <v>4444</v>
      </c>
      <c r="I7" s="44">
        <v>4521</v>
      </c>
      <c r="J7" s="44">
        <v>4593</v>
      </c>
      <c r="K7" s="44">
        <v>4667</v>
      </c>
      <c r="L7" s="44">
        <v>4743</v>
      </c>
      <c r="M7" s="44">
        <v>4817</v>
      </c>
      <c r="N7" s="44">
        <v>4891</v>
      </c>
      <c r="O7" s="44">
        <v>4968</v>
      </c>
      <c r="Q7" s="50">
        <v>271</v>
      </c>
      <c r="R7" s="50">
        <v>327</v>
      </c>
    </row>
    <row r="8" spans="1:18" ht="15" customHeight="1" x14ac:dyDescent="0.25">
      <c r="A8" s="43">
        <v>2550</v>
      </c>
      <c r="B8" s="44">
        <v>4077</v>
      </c>
      <c r="C8" s="44">
        <v>4152</v>
      </c>
      <c r="D8" s="44">
        <v>4229</v>
      </c>
      <c r="E8" s="44">
        <v>4306</v>
      </c>
      <c r="F8" s="44">
        <v>4382</v>
      </c>
      <c r="G8" s="44">
        <v>4456</v>
      </c>
      <c r="H8" s="44">
        <v>4534</v>
      </c>
      <c r="I8" s="44">
        <v>4610</v>
      </c>
      <c r="J8" s="44">
        <v>4688</v>
      </c>
      <c r="K8" s="44">
        <v>4762</v>
      </c>
      <c r="L8" s="44">
        <v>4838</v>
      </c>
      <c r="M8" s="44">
        <v>4914</v>
      </c>
      <c r="N8" s="44">
        <v>4988</v>
      </c>
      <c r="O8" s="44">
        <v>5066</v>
      </c>
      <c r="Q8" s="50">
        <v>280</v>
      </c>
      <c r="R8" s="50">
        <v>341</v>
      </c>
    </row>
    <row r="9" spans="1:18" ht="15" customHeight="1" x14ac:dyDescent="0.25">
      <c r="A9" s="43">
        <v>2650</v>
      </c>
      <c r="B9" s="44">
        <v>4157</v>
      </c>
      <c r="C9" s="44">
        <v>4233</v>
      </c>
      <c r="D9" s="44">
        <v>4312</v>
      </c>
      <c r="E9" s="44">
        <v>4389</v>
      </c>
      <c r="F9" s="44">
        <v>4468</v>
      </c>
      <c r="G9" s="44">
        <v>4544</v>
      </c>
      <c r="H9" s="44">
        <v>4620</v>
      </c>
      <c r="I9" s="44">
        <v>4699</v>
      </c>
      <c r="J9" s="44">
        <v>4778</v>
      </c>
      <c r="K9" s="44">
        <v>4856</v>
      </c>
      <c r="L9" s="44">
        <v>4931</v>
      </c>
      <c r="M9" s="44">
        <v>5010</v>
      </c>
      <c r="N9" s="44">
        <v>5088</v>
      </c>
      <c r="O9" s="44">
        <v>5164</v>
      </c>
      <c r="Q9" s="50">
        <v>292</v>
      </c>
      <c r="R9" s="50">
        <v>348</v>
      </c>
    </row>
    <row r="10" spans="1:18" ht="15" customHeight="1" x14ac:dyDescent="0.25">
      <c r="A10" s="43">
        <v>2750</v>
      </c>
      <c r="B10" s="44">
        <v>4235</v>
      </c>
      <c r="C10" s="44">
        <v>4316</v>
      </c>
      <c r="D10" s="44">
        <v>4396</v>
      </c>
      <c r="E10" s="44">
        <v>4474</v>
      </c>
      <c r="F10" s="44">
        <v>4552</v>
      </c>
      <c r="G10" s="44">
        <v>4632</v>
      </c>
      <c r="H10" s="44">
        <v>4711</v>
      </c>
      <c r="I10" s="44">
        <v>4791</v>
      </c>
      <c r="J10" s="44">
        <v>4869</v>
      </c>
      <c r="K10" s="44">
        <v>4949</v>
      </c>
      <c r="L10" s="44">
        <v>5028</v>
      </c>
      <c r="M10" s="44">
        <v>5107</v>
      </c>
      <c r="N10" s="44">
        <v>5185</v>
      </c>
      <c r="O10" s="44">
        <v>5263</v>
      </c>
      <c r="Q10" s="50">
        <v>298</v>
      </c>
      <c r="R10" s="50">
        <v>363</v>
      </c>
    </row>
    <row r="11" spans="1:18" ht="15" customHeight="1" x14ac:dyDescent="0.25">
      <c r="A11" s="43">
        <v>2850</v>
      </c>
      <c r="B11" s="44">
        <v>4316</v>
      </c>
      <c r="C11" s="44">
        <v>4398</v>
      </c>
      <c r="D11" s="44">
        <v>4479</v>
      </c>
      <c r="E11" s="44">
        <v>4559</v>
      </c>
      <c r="F11" s="44">
        <v>4640</v>
      </c>
      <c r="G11" s="44">
        <v>4719</v>
      </c>
      <c r="H11" s="44">
        <v>4800</v>
      </c>
      <c r="I11" s="44">
        <v>4881</v>
      </c>
      <c r="J11" s="44">
        <v>4962</v>
      </c>
      <c r="K11" s="44">
        <v>5042</v>
      </c>
      <c r="L11" s="44">
        <v>5122</v>
      </c>
      <c r="M11" s="44">
        <v>5203</v>
      </c>
      <c r="N11" s="44">
        <v>5284</v>
      </c>
      <c r="O11" s="44">
        <v>5364</v>
      </c>
      <c r="Q11" s="50">
        <v>305</v>
      </c>
      <c r="R11" s="50">
        <v>370</v>
      </c>
    </row>
    <row r="12" spans="1:18" ht="15" customHeight="1" x14ac:dyDescent="0.25">
      <c r="A12" s="46" t="s">
        <v>243</v>
      </c>
      <c r="B12" s="47">
        <v>298</v>
      </c>
      <c r="C12" s="47">
        <v>314</v>
      </c>
      <c r="D12" s="47">
        <v>321</v>
      </c>
      <c r="E12" s="47">
        <v>327</v>
      </c>
      <c r="F12" s="47">
        <v>334</v>
      </c>
      <c r="G12" s="47">
        <v>341</v>
      </c>
      <c r="H12" s="47">
        <v>348</v>
      </c>
      <c r="I12" s="47">
        <v>354</v>
      </c>
      <c r="J12" s="47">
        <v>363</v>
      </c>
      <c r="K12" s="47">
        <v>370</v>
      </c>
      <c r="L12" s="47">
        <v>375</v>
      </c>
      <c r="M12" s="47">
        <v>382</v>
      </c>
      <c r="N12" s="47">
        <v>399</v>
      </c>
      <c r="O12" s="47">
        <v>406</v>
      </c>
    </row>
    <row r="13" spans="1:18" ht="15" customHeight="1" x14ac:dyDescent="0.25">
      <c r="A13" s="46" t="s">
        <v>245</v>
      </c>
      <c r="B13" s="47">
        <v>488</v>
      </c>
      <c r="C13" s="47">
        <v>497</v>
      </c>
      <c r="D13" s="47">
        <v>509</v>
      </c>
      <c r="E13" s="47">
        <v>515</v>
      </c>
      <c r="F13" s="47">
        <v>531</v>
      </c>
      <c r="G13" s="47">
        <v>537</v>
      </c>
      <c r="H13" s="47">
        <v>553</v>
      </c>
      <c r="I13" s="47">
        <v>558</v>
      </c>
      <c r="J13" s="47">
        <v>566</v>
      </c>
      <c r="K13" s="47">
        <v>580</v>
      </c>
      <c r="L13" s="47">
        <v>593</v>
      </c>
      <c r="M13" s="47">
        <v>615</v>
      </c>
      <c r="N13" s="47">
        <v>629</v>
      </c>
      <c r="O13" s="47">
        <v>649</v>
      </c>
    </row>
    <row r="14" spans="1:18" ht="15" customHeight="1" x14ac:dyDescent="0.25">
      <c r="A14" s="46" t="s">
        <v>248</v>
      </c>
      <c r="B14" s="47">
        <v>570</v>
      </c>
      <c r="C14" s="47">
        <v>588</v>
      </c>
      <c r="D14" s="47">
        <v>606</v>
      </c>
      <c r="E14" s="47">
        <v>624</v>
      </c>
      <c r="F14" s="47">
        <v>642</v>
      </c>
      <c r="G14" s="47">
        <v>660</v>
      </c>
      <c r="H14" s="47">
        <v>678</v>
      </c>
      <c r="I14" s="47">
        <v>696</v>
      </c>
      <c r="J14" s="47">
        <v>714</v>
      </c>
      <c r="K14" s="47">
        <v>732</v>
      </c>
      <c r="L14" s="47">
        <v>750</v>
      </c>
      <c r="M14" s="47">
        <v>768</v>
      </c>
      <c r="N14" s="47">
        <v>786</v>
      </c>
      <c r="O14" s="47">
        <v>804</v>
      </c>
    </row>
    <row r="16" spans="1:18" ht="15" customHeight="1" x14ac:dyDescent="0.25">
      <c r="A16" s="121" t="s">
        <v>262</v>
      </c>
      <c r="B16" s="93"/>
      <c r="C16" s="93"/>
      <c r="D16" s="93"/>
      <c r="E16" s="93"/>
      <c r="F16" s="93"/>
      <c r="G16" s="93"/>
      <c r="H16" s="93"/>
      <c r="I16" s="93"/>
      <c r="J16" s="93"/>
      <c r="K16" s="93"/>
      <c r="L16" s="93"/>
      <c r="M16" s="93"/>
      <c r="N16" s="93"/>
      <c r="O16" s="93"/>
    </row>
    <row r="17" spans="1:15" ht="15" customHeight="1" x14ac:dyDescent="0.25">
      <c r="A17" s="48" t="s">
        <v>263</v>
      </c>
      <c r="B17" s="49">
        <f>Paramètres!$B$2</f>
        <v>0.51500000000000001</v>
      </c>
    </row>
    <row r="18" spans="1:15" ht="15" customHeight="1" x14ac:dyDescent="0.25">
      <c r="A18" s="43" t="s">
        <v>260</v>
      </c>
      <c r="B18" s="43">
        <v>1200</v>
      </c>
      <c r="C18" s="43">
        <v>1300</v>
      </c>
      <c r="D18" s="43">
        <v>1400</v>
      </c>
      <c r="E18" s="43">
        <v>1500</v>
      </c>
      <c r="F18" s="43">
        <v>1600</v>
      </c>
      <c r="G18" s="43">
        <v>1700</v>
      </c>
      <c r="H18" s="43">
        <v>1800</v>
      </c>
      <c r="I18" s="43">
        <v>1900</v>
      </c>
      <c r="J18" s="43">
        <v>2000</v>
      </c>
      <c r="K18" s="43">
        <v>2100</v>
      </c>
      <c r="L18" s="43">
        <v>2200</v>
      </c>
      <c r="M18" s="43">
        <v>2300</v>
      </c>
      <c r="N18" s="43">
        <v>2400</v>
      </c>
      <c r="O18" s="43">
        <v>2500</v>
      </c>
    </row>
    <row r="19" spans="1:15" ht="15" customHeight="1" x14ac:dyDescent="0.25">
      <c r="A19" s="43">
        <v>1950</v>
      </c>
      <c r="B19" s="44">
        <f>B5*(1-Paramètres!$B$2)</f>
        <v>1860.9449999999999</v>
      </c>
      <c r="C19" s="44">
        <f>C5*(1-Paramètres!$B$2)</f>
        <v>1895.865</v>
      </c>
      <c r="D19" s="44">
        <f>D5*(1-Paramètres!$B$2)</f>
        <v>1930.7849999999999</v>
      </c>
      <c r="E19" s="44">
        <f>E5*(1-Paramètres!$B$2)</f>
        <v>1965.22</v>
      </c>
      <c r="F19" s="44">
        <f>F5*(1-Paramètres!$B$2)</f>
        <v>1999.655</v>
      </c>
      <c r="G19" s="44">
        <f>G5*(1-Paramètres!$B$2)</f>
        <v>2034.09</v>
      </c>
      <c r="H19" s="44">
        <f>H5*(1-Paramètres!$B$2)</f>
        <v>2069.0099999999998</v>
      </c>
      <c r="I19" s="44">
        <f>I5*(1-Paramètres!$B$2)</f>
        <v>2104.415</v>
      </c>
      <c r="J19" s="44">
        <f>J5*(1-Paramètres!$B$2)</f>
        <v>2138.85</v>
      </c>
      <c r="K19" s="44">
        <f>K5*(1-Paramètres!$B$2)</f>
        <v>2173.77</v>
      </c>
      <c r="L19" s="44">
        <f>L5*(1-Paramètres!$B$2)</f>
        <v>2207.7199999999998</v>
      </c>
      <c r="M19" s="44">
        <f>M5*(1-Paramètres!$B$2)</f>
        <v>2243.125</v>
      </c>
      <c r="N19" s="44">
        <f>N5*(1-Paramètres!$B$2)</f>
        <v>2278.0450000000001</v>
      </c>
      <c r="O19" s="44">
        <f>O5*(1-Paramètres!$B$2)</f>
        <v>2312.48</v>
      </c>
    </row>
    <row r="20" spans="1:15" ht="15" customHeight="1" x14ac:dyDescent="0.25">
      <c r="A20" s="43">
        <v>2150</v>
      </c>
      <c r="B20" s="44">
        <f>B6*(1-Paramètres!$B$2)</f>
        <v>1900.23</v>
      </c>
      <c r="C20" s="44">
        <f>C6*(1-Paramètres!$B$2)</f>
        <v>1935.1499999999999</v>
      </c>
      <c r="D20" s="44">
        <f>D6*(1-Paramètres!$B$2)</f>
        <v>1971.04</v>
      </c>
      <c r="E20" s="44">
        <f>E6*(1-Paramètres!$B$2)</f>
        <v>2006.4449999999999</v>
      </c>
      <c r="F20" s="44">
        <f>F6*(1-Paramètres!$B$2)</f>
        <v>2041.85</v>
      </c>
      <c r="G20" s="44">
        <f>G6*(1-Paramètres!$B$2)</f>
        <v>2076.2849999999999</v>
      </c>
      <c r="H20" s="44">
        <f>H6*(1-Paramètres!$B$2)</f>
        <v>2112.66</v>
      </c>
      <c r="I20" s="44">
        <f>I6*(1-Paramètres!$B$2)</f>
        <v>2147.58</v>
      </c>
      <c r="J20" s="44">
        <f>J6*(1-Paramètres!$B$2)</f>
        <v>2182.9850000000001</v>
      </c>
      <c r="K20" s="44">
        <f>K6*(1-Paramètres!$B$2)</f>
        <v>2218.39</v>
      </c>
      <c r="L20" s="44">
        <f>L6*(1-Paramètres!$B$2)</f>
        <v>2254.7649999999999</v>
      </c>
      <c r="M20" s="44">
        <f>M6*(1-Paramètres!$B$2)</f>
        <v>2289.6849999999999</v>
      </c>
      <c r="N20" s="44">
        <f>N6*(1-Paramètres!$B$2)</f>
        <v>2326.06</v>
      </c>
      <c r="O20" s="44">
        <f>O6*(1-Paramètres!$B$2)</f>
        <v>2360.98</v>
      </c>
    </row>
    <row r="21" spans="1:15" ht="15" customHeight="1" x14ac:dyDescent="0.25">
      <c r="A21" s="43">
        <v>2350</v>
      </c>
      <c r="B21" s="44">
        <f>B7*(1-Paramètres!$B$2)</f>
        <v>1938.5449999999998</v>
      </c>
      <c r="C21" s="44">
        <f>C7*(1-Paramètres!$B$2)</f>
        <v>1974.4349999999999</v>
      </c>
      <c r="D21" s="44">
        <f>D7*(1-Paramètres!$B$2)</f>
        <v>2011.2949999999998</v>
      </c>
      <c r="E21" s="44">
        <f>E7*(1-Paramètres!$B$2)</f>
        <v>2047.1849999999999</v>
      </c>
      <c r="F21" s="44">
        <f>F7*(1-Paramètres!$B$2)</f>
        <v>2083.56</v>
      </c>
      <c r="G21" s="44">
        <f>G7*(1-Paramètres!$B$2)</f>
        <v>2118.48</v>
      </c>
      <c r="H21" s="44">
        <f>H7*(1-Paramètres!$B$2)</f>
        <v>2155.34</v>
      </c>
      <c r="I21" s="44">
        <f>I7*(1-Paramètres!$B$2)</f>
        <v>2192.6849999999999</v>
      </c>
      <c r="J21" s="44">
        <f>J7*(1-Paramètres!$B$2)</f>
        <v>2227.605</v>
      </c>
      <c r="K21" s="44">
        <f>K7*(1-Paramètres!$B$2)</f>
        <v>2263.4949999999999</v>
      </c>
      <c r="L21" s="44">
        <f>L7*(1-Paramètres!$B$2)</f>
        <v>2300.355</v>
      </c>
      <c r="M21" s="44">
        <f>M7*(1-Paramètres!$B$2)</f>
        <v>2336.2449999999999</v>
      </c>
      <c r="N21" s="44">
        <f>N7*(1-Paramètres!$B$2)</f>
        <v>2372.1349999999998</v>
      </c>
      <c r="O21" s="44">
        <f>O7*(1-Paramètres!$B$2)</f>
        <v>2409.48</v>
      </c>
    </row>
    <row r="22" spans="1:15" ht="15" customHeight="1" x14ac:dyDescent="0.25">
      <c r="A22" s="43">
        <v>2550</v>
      </c>
      <c r="B22" s="44">
        <f>B8*(1-Paramètres!$B$2)</f>
        <v>1977.345</v>
      </c>
      <c r="C22" s="44">
        <f>C8*(1-Paramètres!$B$2)</f>
        <v>2013.72</v>
      </c>
      <c r="D22" s="44">
        <f>D8*(1-Paramètres!$B$2)</f>
        <v>2051.0650000000001</v>
      </c>
      <c r="E22" s="44">
        <f>E8*(1-Paramètres!$B$2)</f>
        <v>2088.41</v>
      </c>
      <c r="F22" s="44">
        <f>F8*(1-Paramètres!$B$2)</f>
        <v>2125.27</v>
      </c>
      <c r="G22" s="44">
        <f>G8*(1-Paramètres!$B$2)</f>
        <v>2161.16</v>
      </c>
      <c r="H22" s="44">
        <f>H8*(1-Paramètres!$B$2)</f>
        <v>2198.9899999999998</v>
      </c>
      <c r="I22" s="44">
        <f>I8*(1-Paramètres!$B$2)</f>
        <v>2235.85</v>
      </c>
      <c r="J22" s="44">
        <f>J8*(1-Paramètres!$B$2)</f>
        <v>2273.6799999999998</v>
      </c>
      <c r="K22" s="44">
        <f>K8*(1-Paramètres!$B$2)</f>
        <v>2309.5700000000002</v>
      </c>
      <c r="L22" s="44">
        <f>L8*(1-Paramètres!$B$2)</f>
        <v>2346.4299999999998</v>
      </c>
      <c r="M22" s="44">
        <f>M8*(1-Paramètres!$B$2)</f>
        <v>2383.29</v>
      </c>
      <c r="N22" s="44">
        <f>N8*(1-Paramètres!$B$2)</f>
        <v>2419.1799999999998</v>
      </c>
      <c r="O22" s="44">
        <f>O8*(1-Paramètres!$B$2)</f>
        <v>2457.0099999999998</v>
      </c>
    </row>
    <row r="23" spans="1:15" ht="15" customHeight="1" x14ac:dyDescent="0.25">
      <c r="A23" s="43">
        <v>2650</v>
      </c>
      <c r="B23" s="44">
        <f>B9*(1-Paramètres!$B$2)</f>
        <v>2016.145</v>
      </c>
      <c r="C23" s="44">
        <f>C9*(1-Paramètres!$B$2)</f>
        <v>2053.0050000000001</v>
      </c>
      <c r="D23" s="44">
        <f>D9*(1-Paramètres!$B$2)</f>
        <v>2091.3200000000002</v>
      </c>
      <c r="E23" s="44">
        <f>E9*(1-Paramètres!$B$2)</f>
        <v>2128.665</v>
      </c>
      <c r="F23" s="44">
        <f>F9*(1-Paramètres!$B$2)</f>
        <v>2166.98</v>
      </c>
      <c r="G23" s="44">
        <f>G9*(1-Paramètres!$B$2)</f>
        <v>2203.84</v>
      </c>
      <c r="H23" s="44">
        <f>H9*(1-Paramètres!$B$2)</f>
        <v>2240.6999999999998</v>
      </c>
      <c r="I23" s="44">
        <f>I9*(1-Paramètres!$B$2)</f>
        <v>2279.0149999999999</v>
      </c>
      <c r="J23" s="44">
        <f>J9*(1-Paramètres!$B$2)</f>
        <v>2317.33</v>
      </c>
      <c r="K23" s="44">
        <f>K9*(1-Paramètres!$B$2)</f>
        <v>2355.16</v>
      </c>
      <c r="L23" s="44">
        <f>L9*(1-Paramètres!$B$2)</f>
        <v>2391.5349999999999</v>
      </c>
      <c r="M23" s="44">
        <f>M9*(1-Paramètres!$B$2)</f>
        <v>2429.85</v>
      </c>
      <c r="N23" s="44">
        <f>N9*(1-Paramètres!$B$2)</f>
        <v>2467.6799999999998</v>
      </c>
      <c r="O23" s="44">
        <f>O9*(1-Paramètres!$B$2)</f>
        <v>2504.54</v>
      </c>
    </row>
    <row r="24" spans="1:15" ht="15" customHeight="1" x14ac:dyDescent="0.25">
      <c r="A24" s="43">
        <v>2750</v>
      </c>
      <c r="B24" s="44">
        <f>B10*(1-Paramètres!$B$2)</f>
        <v>2053.9749999999999</v>
      </c>
      <c r="C24" s="44">
        <f>C10*(1-Paramètres!$B$2)</f>
        <v>2093.2599999999998</v>
      </c>
      <c r="D24" s="44">
        <f>D10*(1-Paramètres!$B$2)</f>
        <v>2132.06</v>
      </c>
      <c r="E24" s="44">
        <f>E10*(1-Paramètres!$B$2)</f>
        <v>2169.89</v>
      </c>
      <c r="F24" s="44">
        <f>F10*(1-Paramètres!$B$2)</f>
        <v>2207.7199999999998</v>
      </c>
      <c r="G24" s="44">
        <f>G10*(1-Paramètres!$B$2)</f>
        <v>2246.52</v>
      </c>
      <c r="H24" s="44">
        <f>H10*(1-Paramètres!$B$2)</f>
        <v>2284.835</v>
      </c>
      <c r="I24" s="44">
        <f>I10*(1-Paramètres!$B$2)</f>
        <v>2323.6349999999998</v>
      </c>
      <c r="J24" s="44">
        <f>J10*(1-Paramètres!$B$2)</f>
        <v>2361.4650000000001</v>
      </c>
      <c r="K24" s="44">
        <f>K10*(1-Paramètres!$B$2)</f>
        <v>2400.2649999999999</v>
      </c>
      <c r="L24" s="44">
        <f>L10*(1-Paramètres!$B$2)</f>
        <v>2438.58</v>
      </c>
      <c r="M24" s="44">
        <f>M10*(1-Paramètres!$B$2)</f>
        <v>2476.895</v>
      </c>
      <c r="N24" s="44">
        <f>N10*(1-Paramètres!$B$2)</f>
        <v>2514.7249999999999</v>
      </c>
      <c r="O24" s="44">
        <f>O10*(1-Paramètres!$B$2)</f>
        <v>2552.5549999999998</v>
      </c>
    </row>
    <row r="25" spans="1:15" ht="15" customHeight="1" x14ac:dyDescent="0.25">
      <c r="A25" s="43">
        <v>2850</v>
      </c>
      <c r="B25" s="44">
        <f>B11*(1-Paramètres!$B$2)</f>
        <v>2093.2599999999998</v>
      </c>
      <c r="C25" s="44">
        <f>C11*(1-Paramètres!$B$2)</f>
        <v>2133.0299999999997</v>
      </c>
      <c r="D25" s="44">
        <f>D11*(1-Paramètres!$B$2)</f>
        <v>2172.3150000000001</v>
      </c>
      <c r="E25" s="44">
        <f>E11*(1-Paramètres!$B$2)</f>
        <v>2211.1149999999998</v>
      </c>
      <c r="F25" s="44">
        <f>F11*(1-Paramètres!$B$2)</f>
        <v>2250.4</v>
      </c>
      <c r="G25" s="44">
        <f>G11*(1-Paramètres!$B$2)</f>
        <v>2288.7150000000001</v>
      </c>
      <c r="H25" s="44">
        <f>H11*(1-Paramètres!$B$2)</f>
        <v>2328</v>
      </c>
      <c r="I25" s="44">
        <f>I11*(1-Paramètres!$B$2)</f>
        <v>2367.2849999999999</v>
      </c>
      <c r="J25" s="44">
        <f>J11*(1-Paramètres!$B$2)</f>
        <v>2406.5699999999997</v>
      </c>
      <c r="K25" s="44">
        <f>K11*(1-Paramètres!$B$2)</f>
        <v>2445.37</v>
      </c>
      <c r="L25" s="44">
        <f>L11*(1-Paramètres!$B$2)</f>
        <v>2484.17</v>
      </c>
      <c r="M25" s="44">
        <f>M11*(1-Paramètres!$B$2)</f>
        <v>2523.4549999999999</v>
      </c>
      <c r="N25" s="44">
        <f>N11*(1-Paramètres!$B$2)</f>
        <v>2562.7399999999998</v>
      </c>
      <c r="O25" s="44">
        <f>O11*(1-Paramètres!$B$2)</f>
        <v>2601.54</v>
      </c>
    </row>
    <row r="27" spans="1:15" ht="21.75" customHeight="1" x14ac:dyDescent="0.25">
      <c r="A27" s="127" t="s">
        <v>277</v>
      </c>
      <c r="B27" s="128"/>
      <c r="C27" s="128"/>
      <c r="D27" s="128"/>
      <c r="E27" s="128"/>
      <c r="F27" s="128"/>
      <c r="G27" s="128"/>
      <c r="H27" s="128"/>
      <c r="I27" s="128"/>
      <c r="J27" s="128"/>
      <c r="K27" s="128"/>
      <c r="L27" s="128"/>
      <c r="M27" s="128"/>
      <c r="N27" s="128"/>
      <c r="O27" s="128"/>
    </row>
    <row r="28" spans="1:15" ht="21.75" customHeight="1" x14ac:dyDescent="0.25">
      <c r="A28" s="129" t="s">
        <v>278</v>
      </c>
      <c r="B28" s="128"/>
      <c r="C28" s="128"/>
      <c r="D28" s="128"/>
      <c r="E28" s="128"/>
      <c r="F28" s="128"/>
      <c r="G28" s="128"/>
      <c r="H28" s="128"/>
      <c r="I28" s="128"/>
      <c r="J28" s="128"/>
      <c r="K28" s="128"/>
      <c r="L28" s="128"/>
      <c r="M28" s="128"/>
      <c r="N28" s="128"/>
      <c r="O28" s="128"/>
    </row>
    <row r="29" spans="1:15" ht="21.75" customHeight="1" x14ac:dyDescent="0.25">
      <c r="A29" s="129" t="s">
        <v>279</v>
      </c>
      <c r="B29" s="128"/>
      <c r="C29" s="128"/>
      <c r="D29" s="128"/>
      <c r="E29" s="128"/>
      <c r="F29" s="128"/>
      <c r="G29" s="128"/>
      <c r="H29" s="128"/>
      <c r="I29" s="128"/>
      <c r="J29" s="128"/>
      <c r="K29" s="128"/>
      <c r="L29" s="128"/>
      <c r="M29" s="128"/>
      <c r="N29" s="128"/>
      <c r="O29" s="128"/>
    </row>
  </sheetData>
  <mergeCells count="7">
    <mergeCell ref="A1:R1"/>
    <mergeCell ref="A3:O3"/>
    <mergeCell ref="A29:O29"/>
    <mergeCell ref="Q3:R3"/>
    <mergeCell ref="A16:O16"/>
    <mergeCell ref="A28:O28"/>
    <mergeCell ref="A27:O2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77"/>
  <sheetViews>
    <sheetView zoomScaleNormal="100" workbookViewId="0">
      <pane ySplit="1" topLeftCell="A2" activePane="bottomLeft" state="frozen"/>
      <selection pane="bottomLeft"/>
    </sheetView>
  </sheetViews>
  <sheetFormatPr baseColWidth="10" defaultColWidth="8.7109375" defaultRowHeight="15" x14ac:dyDescent="0.25"/>
  <cols>
    <col min="1" max="1" width="22" customWidth="1"/>
    <col min="2" max="2" width="10" customWidth="1"/>
    <col min="3" max="3" width="18" customWidth="1"/>
    <col min="4" max="4" width="50" customWidth="1"/>
    <col min="5" max="7" width="12" customWidth="1"/>
    <col min="8" max="8" width="18" customWidth="1"/>
    <col min="9" max="9" width="11" customWidth="1"/>
    <col min="10" max="10" width="13" customWidth="1"/>
    <col min="11" max="11" width="18" customWidth="1"/>
    <col min="12" max="12" width="14" customWidth="1"/>
  </cols>
  <sheetData>
    <row r="1" spans="1:12" ht="25.5" customHeight="1" x14ac:dyDescent="0.25">
      <c r="A1" s="131" t="s">
        <v>281</v>
      </c>
      <c r="B1" s="93"/>
      <c r="C1" s="93"/>
      <c r="D1" s="93"/>
      <c r="E1" s="93"/>
      <c r="F1" s="93"/>
      <c r="G1" s="93"/>
      <c r="H1" s="93"/>
      <c r="I1" s="93"/>
      <c r="J1" s="93"/>
      <c r="K1" s="93"/>
      <c r="L1" s="93"/>
    </row>
    <row r="3" spans="1:12" ht="21.75" customHeight="1" x14ac:dyDescent="0.25">
      <c r="A3" s="130" t="s">
        <v>282</v>
      </c>
      <c r="B3" s="93"/>
      <c r="C3" s="93"/>
      <c r="D3" s="93"/>
      <c r="E3" s="93"/>
      <c r="F3" s="93"/>
      <c r="G3" s="93"/>
      <c r="H3" s="93"/>
      <c r="I3" s="93"/>
      <c r="J3" s="93"/>
      <c r="K3" s="93"/>
      <c r="L3" s="55" t="s">
        <v>283</v>
      </c>
    </row>
    <row r="4" spans="1:12" ht="31.5" customHeight="1" x14ac:dyDescent="0.25">
      <c r="A4" s="56" t="s">
        <v>284</v>
      </c>
      <c r="B4" s="56" t="s">
        <v>285</v>
      </c>
      <c r="C4" s="56" t="s">
        <v>286</v>
      </c>
      <c r="D4" s="56" t="s">
        <v>287</v>
      </c>
      <c r="E4" s="56" t="s">
        <v>288</v>
      </c>
      <c r="F4" s="56" t="s">
        <v>289</v>
      </c>
      <c r="G4" s="56" t="s">
        <v>290</v>
      </c>
      <c r="H4" s="56" t="s">
        <v>291</v>
      </c>
      <c r="I4" s="56" t="s">
        <v>292</v>
      </c>
      <c r="J4" s="56" t="s">
        <v>293</v>
      </c>
      <c r="K4" s="56" t="s">
        <v>294</v>
      </c>
      <c r="L4" s="56" t="s">
        <v>295</v>
      </c>
    </row>
    <row r="5" spans="1:12" ht="15" customHeight="1" x14ac:dyDescent="0.25">
      <c r="A5" s="57" t="s">
        <v>296</v>
      </c>
      <c r="B5" s="57">
        <v>20</v>
      </c>
      <c r="C5" s="57" t="s">
        <v>297</v>
      </c>
      <c r="D5" s="58" t="s">
        <v>60</v>
      </c>
      <c r="E5" s="57">
        <v>1.1000000000000001</v>
      </c>
      <c r="F5" s="57" t="s">
        <v>298</v>
      </c>
      <c r="G5" s="57" t="s">
        <v>299</v>
      </c>
      <c r="H5" s="57" t="s">
        <v>300</v>
      </c>
      <c r="I5" s="57">
        <v>28</v>
      </c>
      <c r="J5" s="59" t="s">
        <v>301</v>
      </c>
      <c r="K5" s="57" t="s">
        <v>302</v>
      </c>
      <c r="L5" s="60" t="str">
        <f>IF(ISNUMBER(J5),J5*(1-Paramètres!$B$2),"")</f>
        <v/>
      </c>
    </row>
    <row r="6" spans="1:12" ht="15" customHeight="1" x14ac:dyDescent="0.25">
      <c r="A6" s="57" t="s">
        <v>303</v>
      </c>
      <c r="B6" s="57">
        <v>18</v>
      </c>
      <c r="C6" s="57" t="s">
        <v>297</v>
      </c>
      <c r="D6" s="58" t="s">
        <v>304</v>
      </c>
      <c r="E6" s="57">
        <v>1.1000000000000001</v>
      </c>
      <c r="F6" s="57" t="s">
        <v>305</v>
      </c>
      <c r="G6" s="57" t="s">
        <v>306</v>
      </c>
      <c r="H6" s="57" t="s">
        <v>307</v>
      </c>
      <c r="I6" s="57">
        <v>28</v>
      </c>
      <c r="J6" s="61">
        <v>30</v>
      </c>
      <c r="K6" s="57" t="s">
        <v>308</v>
      </c>
      <c r="L6" s="60">
        <f>IF(ISNUMBER(J6),J6*(1-Paramètres!$B$2),"")</f>
        <v>14.549999999999999</v>
      </c>
    </row>
    <row r="7" spans="1:12" ht="15" customHeight="1" x14ac:dyDescent="0.25">
      <c r="A7" s="57" t="s">
        <v>303</v>
      </c>
      <c r="B7" s="57">
        <v>16</v>
      </c>
      <c r="C7" s="57" t="s">
        <v>309</v>
      </c>
      <c r="D7" s="58" t="s">
        <v>310</v>
      </c>
      <c r="E7" s="57">
        <v>1.1000000000000001</v>
      </c>
      <c r="F7" s="57" t="s">
        <v>305</v>
      </c>
      <c r="G7" s="57" t="s">
        <v>311</v>
      </c>
      <c r="H7" s="57" t="s">
        <v>312</v>
      </c>
      <c r="I7" s="57">
        <v>26</v>
      </c>
      <c r="J7" s="61">
        <v>88</v>
      </c>
      <c r="K7" s="57" t="s">
        <v>302</v>
      </c>
      <c r="L7" s="60">
        <f>IF(ISNUMBER(J7),J7*(1-Paramètres!$B$2),"")</f>
        <v>42.68</v>
      </c>
    </row>
    <row r="8" spans="1:12" ht="15" customHeight="1" x14ac:dyDescent="0.25">
      <c r="A8" s="57" t="s">
        <v>313</v>
      </c>
      <c r="B8" s="57">
        <v>12</v>
      </c>
      <c r="C8" s="57" t="s">
        <v>314</v>
      </c>
      <c r="D8" s="58" t="s">
        <v>315</v>
      </c>
      <c r="E8" s="57">
        <v>1.1000000000000001</v>
      </c>
      <c r="F8" s="57" t="s">
        <v>316</v>
      </c>
      <c r="G8" s="57" t="s">
        <v>317</v>
      </c>
      <c r="H8" s="57" t="s">
        <v>318</v>
      </c>
      <c r="I8" s="57">
        <v>28</v>
      </c>
      <c r="J8" s="59"/>
      <c r="K8" s="57" t="s">
        <v>319</v>
      </c>
      <c r="L8" s="60" t="str">
        <f>IF(ISNUMBER(J8),J8*(1-Paramètres!$B$2),"")</f>
        <v/>
      </c>
    </row>
    <row r="10" spans="1:12" ht="21.75" customHeight="1" x14ac:dyDescent="0.25">
      <c r="A10" s="130" t="s">
        <v>320</v>
      </c>
      <c r="B10" s="93"/>
      <c r="C10" s="93"/>
      <c r="D10" s="93"/>
      <c r="E10" s="93"/>
      <c r="F10" s="93"/>
      <c r="G10" s="93"/>
      <c r="H10" s="93"/>
      <c r="I10" s="93"/>
      <c r="J10" s="93"/>
      <c r="K10" s="93"/>
      <c r="L10" s="55" t="s">
        <v>283</v>
      </c>
    </row>
    <row r="11" spans="1:12" ht="31.5" customHeight="1" x14ac:dyDescent="0.25">
      <c r="A11" s="56" t="s">
        <v>284</v>
      </c>
      <c r="B11" s="56" t="s">
        <v>285</v>
      </c>
      <c r="C11" s="56" t="s">
        <v>286</v>
      </c>
      <c r="D11" s="56" t="s">
        <v>287</v>
      </c>
      <c r="E11" s="56" t="s">
        <v>288</v>
      </c>
      <c r="F11" s="56" t="s">
        <v>289</v>
      </c>
      <c r="G11" s="56" t="s">
        <v>290</v>
      </c>
      <c r="H11" s="56" t="s">
        <v>291</v>
      </c>
      <c r="I11" s="56" t="s">
        <v>292</v>
      </c>
      <c r="J11" s="56" t="s">
        <v>293</v>
      </c>
      <c r="K11" s="56" t="s">
        <v>294</v>
      </c>
      <c r="L11" s="56" t="s">
        <v>295</v>
      </c>
    </row>
    <row r="12" spans="1:12" ht="15" customHeight="1" x14ac:dyDescent="0.25">
      <c r="A12" s="57" t="s">
        <v>321</v>
      </c>
      <c r="B12" s="57">
        <v>20</v>
      </c>
      <c r="C12" s="57" t="s">
        <v>297</v>
      </c>
      <c r="D12" s="58" t="s">
        <v>322</v>
      </c>
      <c r="E12" s="57">
        <v>1.1000000000000001</v>
      </c>
      <c r="F12" s="57"/>
      <c r="G12" s="57"/>
      <c r="H12" s="57"/>
      <c r="I12" s="57">
        <v>28</v>
      </c>
      <c r="J12" s="61">
        <v>29</v>
      </c>
      <c r="K12" s="57" t="s">
        <v>302</v>
      </c>
      <c r="L12" s="60">
        <f>IF(ISNUMBER(J12),J12*(1-Paramètres!$B$2),"")</f>
        <v>14.065</v>
      </c>
    </row>
    <row r="13" spans="1:12" ht="15" customHeight="1" x14ac:dyDescent="0.25">
      <c r="A13" s="57" t="s">
        <v>321</v>
      </c>
      <c r="B13" s="57">
        <v>18</v>
      </c>
      <c r="C13" s="57" t="s">
        <v>309</v>
      </c>
      <c r="D13" s="58" t="s">
        <v>323</v>
      </c>
      <c r="E13" s="57">
        <v>1.1000000000000001</v>
      </c>
      <c r="F13" s="57"/>
      <c r="G13" s="57"/>
      <c r="H13" s="57"/>
      <c r="I13" s="57">
        <v>28</v>
      </c>
      <c r="J13" s="61">
        <v>136</v>
      </c>
      <c r="K13" s="57" t="s">
        <v>302</v>
      </c>
      <c r="L13" s="60">
        <f>IF(ISNUMBER(J13),J13*(1-Paramètres!$B$2),"")</f>
        <v>65.959999999999994</v>
      </c>
    </row>
    <row r="14" spans="1:12" ht="15" customHeight="1" x14ac:dyDescent="0.25">
      <c r="A14" s="57" t="s">
        <v>324</v>
      </c>
      <c r="B14" s="57">
        <v>16</v>
      </c>
      <c r="C14" s="57" t="s">
        <v>309</v>
      </c>
      <c r="D14" s="58" t="s">
        <v>325</v>
      </c>
      <c r="E14" s="57">
        <v>1.1000000000000001</v>
      </c>
      <c r="F14" s="57"/>
      <c r="G14" s="57"/>
      <c r="H14" s="57"/>
      <c r="I14" s="57">
        <v>28</v>
      </c>
      <c r="J14" s="61">
        <v>194</v>
      </c>
      <c r="K14" s="57" t="s">
        <v>308</v>
      </c>
      <c r="L14" s="60">
        <f>IF(ISNUMBER(J14),J14*(1-Paramètres!$B$2),"")</f>
        <v>94.09</v>
      </c>
    </row>
    <row r="15" spans="1:12" ht="15" customHeight="1" x14ac:dyDescent="0.25">
      <c r="A15" s="57" t="s">
        <v>326</v>
      </c>
      <c r="B15" s="57">
        <v>20</v>
      </c>
      <c r="C15" s="57" t="s">
        <v>297</v>
      </c>
      <c r="D15" s="58" t="s">
        <v>327</v>
      </c>
      <c r="E15" s="57">
        <v>1.1000000000000001</v>
      </c>
      <c r="F15" s="57"/>
      <c r="G15" s="57"/>
      <c r="H15" s="57"/>
      <c r="I15" s="57">
        <v>28</v>
      </c>
      <c r="J15" s="61">
        <v>146</v>
      </c>
      <c r="K15" s="57" t="s">
        <v>302</v>
      </c>
      <c r="L15" s="60">
        <f>IF(ISNUMBER(J15),J15*(1-Paramètres!$B$2),"")</f>
        <v>70.81</v>
      </c>
    </row>
    <row r="16" spans="1:12" ht="15" customHeight="1" x14ac:dyDescent="0.25">
      <c r="A16" s="57" t="s">
        <v>328</v>
      </c>
      <c r="B16" s="57">
        <v>18</v>
      </c>
      <c r="C16" s="57" t="s">
        <v>297</v>
      </c>
      <c r="D16" s="58" t="s">
        <v>329</v>
      </c>
      <c r="E16" s="57">
        <v>1.1000000000000001</v>
      </c>
      <c r="F16" s="57"/>
      <c r="G16" s="57"/>
      <c r="H16" s="57"/>
      <c r="I16" s="57">
        <v>28</v>
      </c>
      <c r="J16" s="61">
        <v>206</v>
      </c>
      <c r="K16" s="57" t="s">
        <v>302</v>
      </c>
      <c r="L16" s="60">
        <f>IF(ISNUMBER(J16),J16*(1-Paramètres!$B$2),"")</f>
        <v>99.91</v>
      </c>
    </row>
    <row r="17" spans="1:12" ht="15" customHeight="1" x14ac:dyDescent="0.25">
      <c r="A17" s="57" t="s">
        <v>328</v>
      </c>
      <c r="B17" s="57">
        <v>16</v>
      </c>
      <c r="C17" s="57" t="s">
        <v>309</v>
      </c>
      <c r="D17" s="58" t="s">
        <v>330</v>
      </c>
      <c r="E17" s="57">
        <v>1.1000000000000001</v>
      </c>
      <c r="F17" s="57"/>
      <c r="G17" s="57"/>
      <c r="H17" s="57"/>
      <c r="I17" s="57">
        <v>28</v>
      </c>
      <c r="J17" s="61">
        <v>266</v>
      </c>
      <c r="K17" s="57" t="s">
        <v>308</v>
      </c>
      <c r="L17" s="60">
        <f>IF(ISNUMBER(J17),J17*(1-Paramètres!$B$2),"")</f>
        <v>129.01</v>
      </c>
    </row>
    <row r="18" spans="1:12" ht="15" customHeight="1" x14ac:dyDescent="0.25">
      <c r="A18" s="57" t="s">
        <v>331</v>
      </c>
      <c r="B18" s="57">
        <v>20</v>
      </c>
      <c r="C18" s="57" t="s">
        <v>297</v>
      </c>
      <c r="D18" s="58" t="s">
        <v>332</v>
      </c>
      <c r="E18" s="57">
        <v>1.1000000000000001</v>
      </c>
      <c r="F18" s="57"/>
      <c r="G18" s="57"/>
      <c r="H18" s="57"/>
      <c r="I18" s="57">
        <v>28</v>
      </c>
      <c r="J18" s="61">
        <v>258</v>
      </c>
      <c r="K18" s="57" t="s">
        <v>302</v>
      </c>
      <c r="L18" s="60">
        <f>IF(ISNUMBER(J18),J18*(1-Paramètres!$B$2),"")</f>
        <v>125.13</v>
      </c>
    </row>
    <row r="19" spans="1:12" ht="15" customHeight="1" x14ac:dyDescent="0.25">
      <c r="A19" s="57" t="s">
        <v>331</v>
      </c>
      <c r="B19" s="57">
        <v>18</v>
      </c>
      <c r="C19" s="57" t="s">
        <v>309</v>
      </c>
      <c r="D19" s="58" t="s">
        <v>333</v>
      </c>
      <c r="E19" s="57">
        <v>1.1000000000000001</v>
      </c>
      <c r="F19" s="57"/>
      <c r="G19" s="57"/>
      <c r="H19" s="57"/>
      <c r="I19" s="57">
        <v>28</v>
      </c>
      <c r="J19" s="61">
        <v>319</v>
      </c>
      <c r="K19" s="57" t="s">
        <v>302</v>
      </c>
      <c r="L19" s="60">
        <f>IF(ISNUMBER(J19),J19*(1-Paramètres!$B$2),"")</f>
        <v>154.715</v>
      </c>
    </row>
    <row r="20" spans="1:12" ht="15" customHeight="1" x14ac:dyDescent="0.25">
      <c r="A20" s="57" t="s">
        <v>334</v>
      </c>
      <c r="B20" s="57">
        <v>20</v>
      </c>
      <c r="C20" s="57" t="s">
        <v>297</v>
      </c>
      <c r="D20" s="58" t="s">
        <v>335</v>
      </c>
      <c r="E20" s="57">
        <v>1.1000000000000001</v>
      </c>
      <c r="F20" s="57"/>
      <c r="G20" s="57"/>
      <c r="H20" s="57"/>
      <c r="I20" s="57">
        <v>28</v>
      </c>
      <c r="J20" s="61">
        <v>203</v>
      </c>
      <c r="K20" s="57" t="s">
        <v>302</v>
      </c>
      <c r="L20" s="60">
        <f>IF(ISNUMBER(J20),J20*(1-Paramètres!$B$2),"")</f>
        <v>98.454999999999998</v>
      </c>
    </row>
    <row r="21" spans="1:12" ht="15" customHeight="1" x14ac:dyDescent="0.25">
      <c r="A21" s="57" t="s">
        <v>334</v>
      </c>
      <c r="B21" s="57">
        <v>18</v>
      </c>
      <c r="C21" s="57" t="s">
        <v>309</v>
      </c>
      <c r="D21" s="58" t="s">
        <v>336</v>
      </c>
      <c r="E21" s="57">
        <v>1.1000000000000001</v>
      </c>
      <c r="F21" s="57"/>
      <c r="G21" s="57"/>
      <c r="H21" s="57"/>
      <c r="I21" s="57">
        <v>28</v>
      </c>
      <c r="J21" s="61">
        <v>262</v>
      </c>
      <c r="K21" s="57" t="s">
        <v>302</v>
      </c>
      <c r="L21" s="60">
        <f>IF(ISNUMBER(J21),J21*(1-Paramètres!$B$2),"")</f>
        <v>127.07</v>
      </c>
    </row>
    <row r="23" spans="1:12" ht="21.75" customHeight="1" x14ac:dyDescent="0.25">
      <c r="A23" s="130" t="s">
        <v>337</v>
      </c>
      <c r="B23" s="93"/>
      <c r="C23" s="93"/>
      <c r="D23" s="93"/>
      <c r="E23" s="93"/>
      <c r="F23" s="93"/>
      <c r="G23" s="93"/>
      <c r="H23" s="93"/>
      <c r="I23" s="93"/>
      <c r="J23" s="93"/>
      <c r="K23" s="93"/>
      <c r="L23" s="55" t="s">
        <v>283</v>
      </c>
    </row>
    <row r="24" spans="1:12" ht="31.5" customHeight="1" x14ac:dyDescent="0.25">
      <c r="A24" s="56" t="s">
        <v>284</v>
      </c>
      <c r="B24" s="56" t="s">
        <v>285</v>
      </c>
      <c r="C24" s="56" t="s">
        <v>286</v>
      </c>
      <c r="D24" s="56" t="s">
        <v>287</v>
      </c>
      <c r="E24" s="56" t="s">
        <v>288</v>
      </c>
      <c r="F24" s="56" t="s">
        <v>289</v>
      </c>
      <c r="G24" s="56" t="s">
        <v>290</v>
      </c>
      <c r="H24" s="56" t="s">
        <v>291</v>
      </c>
      <c r="I24" s="56" t="s">
        <v>292</v>
      </c>
      <c r="J24" s="56" t="s">
        <v>293</v>
      </c>
      <c r="K24" s="56" t="s">
        <v>294</v>
      </c>
      <c r="L24" s="56" t="s">
        <v>295</v>
      </c>
    </row>
    <row r="25" spans="1:12" ht="15" customHeight="1" x14ac:dyDescent="0.25">
      <c r="A25" s="57" t="s">
        <v>338</v>
      </c>
      <c r="B25" s="57">
        <v>18</v>
      </c>
      <c r="C25" s="57" t="s">
        <v>297</v>
      </c>
      <c r="D25" s="58" t="s">
        <v>339</v>
      </c>
      <c r="E25" s="57">
        <v>1.1000000000000001</v>
      </c>
      <c r="F25" s="57" t="s">
        <v>340</v>
      </c>
      <c r="G25" s="57" t="s">
        <v>341</v>
      </c>
      <c r="H25" s="57" t="s">
        <v>342</v>
      </c>
      <c r="I25" s="57">
        <v>28</v>
      </c>
      <c r="J25" s="61">
        <v>293</v>
      </c>
      <c r="K25" s="57" t="s">
        <v>302</v>
      </c>
      <c r="L25" s="60">
        <f>IF(ISNUMBER(J25),J25*(1-Paramètres!$B$2),"")</f>
        <v>142.10499999999999</v>
      </c>
    </row>
    <row r="26" spans="1:12" ht="15" customHeight="1" x14ac:dyDescent="0.25">
      <c r="A26" s="57" t="s">
        <v>338</v>
      </c>
      <c r="B26" s="57">
        <v>16</v>
      </c>
      <c r="C26" s="57" t="s">
        <v>309</v>
      </c>
      <c r="D26" s="58" t="s">
        <v>343</v>
      </c>
      <c r="E26" s="57">
        <v>1.1000000000000001</v>
      </c>
      <c r="F26" s="57" t="s">
        <v>340</v>
      </c>
      <c r="G26" s="57" t="s">
        <v>341</v>
      </c>
      <c r="H26" s="57" t="s">
        <v>342</v>
      </c>
      <c r="I26" s="57">
        <v>28</v>
      </c>
      <c r="J26" s="61">
        <v>270</v>
      </c>
      <c r="K26" s="57" t="s">
        <v>308</v>
      </c>
      <c r="L26" s="60">
        <f>IF(ISNUMBER(J26),J26*(1-Paramètres!$B$2),"")</f>
        <v>130.94999999999999</v>
      </c>
    </row>
    <row r="27" spans="1:12" ht="15" customHeight="1" x14ac:dyDescent="0.25">
      <c r="A27" s="57" t="s">
        <v>344</v>
      </c>
      <c r="B27" s="57">
        <v>18</v>
      </c>
      <c r="C27" s="57" t="s">
        <v>297</v>
      </c>
      <c r="D27" s="58" t="s">
        <v>345</v>
      </c>
      <c r="E27" s="57">
        <v>1.1000000000000001</v>
      </c>
      <c r="F27" s="57" t="s">
        <v>346</v>
      </c>
      <c r="G27" s="57" t="s">
        <v>347</v>
      </c>
      <c r="H27" s="57" t="s">
        <v>342</v>
      </c>
      <c r="I27" s="57">
        <v>28</v>
      </c>
      <c r="J27" s="61">
        <v>206</v>
      </c>
      <c r="K27" s="57" t="s">
        <v>302</v>
      </c>
      <c r="L27" s="60">
        <f>IF(ISNUMBER(J27),J27*(1-Paramètres!$B$2),"")</f>
        <v>99.91</v>
      </c>
    </row>
    <row r="28" spans="1:12" ht="15" customHeight="1" x14ac:dyDescent="0.25">
      <c r="A28" s="57" t="s">
        <v>344</v>
      </c>
      <c r="B28" s="57">
        <v>16</v>
      </c>
      <c r="C28" s="57" t="s">
        <v>309</v>
      </c>
      <c r="D28" s="58" t="s">
        <v>348</v>
      </c>
      <c r="E28" s="57">
        <v>1.1000000000000001</v>
      </c>
      <c r="F28" s="57" t="s">
        <v>346</v>
      </c>
      <c r="G28" s="57" t="s">
        <v>347</v>
      </c>
      <c r="H28" s="57" t="s">
        <v>342</v>
      </c>
      <c r="I28" s="57">
        <v>28</v>
      </c>
      <c r="J28" s="61">
        <v>266</v>
      </c>
      <c r="K28" s="57" t="s">
        <v>308</v>
      </c>
      <c r="L28" s="60">
        <f>IF(ISNUMBER(J28),J28*(1-Paramètres!$B$2),"")</f>
        <v>129.01</v>
      </c>
    </row>
    <row r="29" spans="1:12" ht="15" customHeight="1" x14ac:dyDescent="0.25">
      <c r="A29" s="57" t="s">
        <v>349</v>
      </c>
      <c r="B29" s="57">
        <v>18</v>
      </c>
      <c r="C29" s="57" t="s">
        <v>297</v>
      </c>
      <c r="D29" s="58" t="s">
        <v>350</v>
      </c>
      <c r="E29" s="57">
        <v>1.1000000000000001</v>
      </c>
      <c r="F29" s="57"/>
      <c r="G29" s="57"/>
      <c r="H29" s="57"/>
      <c r="I29" s="57">
        <v>28</v>
      </c>
      <c r="J29" s="61">
        <v>284</v>
      </c>
      <c r="K29" s="57" t="s">
        <v>302</v>
      </c>
      <c r="L29" s="60">
        <f>IF(ISNUMBER(J29),J29*(1-Paramètres!$B$2),"")</f>
        <v>137.74</v>
      </c>
    </row>
    <row r="30" spans="1:12" ht="15" customHeight="1" x14ac:dyDescent="0.25">
      <c r="A30" s="57" t="s">
        <v>349</v>
      </c>
      <c r="B30" s="57">
        <v>16</v>
      </c>
      <c r="C30" s="57" t="s">
        <v>309</v>
      </c>
      <c r="D30" s="58" t="s">
        <v>351</v>
      </c>
      <c r="E30" s="57">
        <v>1.1000000000000001</v>
      </c>
      <c r="F30" s="57"/>
      <c r="G30" s="57"/>
      <c r="H30" s="57"/>
      <c r="I30" s="57">
        <v>28</v>
      </c>
      <c r="J30" s="61">
        <v>341</v>
      </c>
      <c r="K30" s="57" t="s">
        <v>308</v>
      </c>
      <c r="L30" s="60">
        <f>IF(ISNUMBER(J30),J30*(1-Paramètres!$B$2),"")</f>
        <v>165.38499999999999</v>
      </c>
    </row>
    <row r="31" spans="1:12" ht="15" customHeight="1" x14ac:dyDescent="0.25">
      <c r="A31" s="57" t="s">
        <v>352</v>
      </c>
      <c r="B31" s="57">
        <v>20</v>
      </c>
      <c r="C31" s="57" t="s">
        <v>297</v>
      </c>
      <c r="D31" s="58" t="s">
        <v>353</v>
      </c>
      <c r="E31" s="57">
        <v>1</v>
      </c>
      <c r="F31" s="57" t="s">
        <v>354</v>
      </c>
      <c r="G31" s="57" t="s">
        <v>355</v>
      </c>
      <c r="H31" s="57" t="s">
        <v>356</v>
      </c>
      <c r="I31" s="57">
        <v>28</v>
      </c>
      <c r="J31" s="61">
        <v>132</v>
      </c>
      <c r="K31" s="57" t="s">
        <v>302</v>
      </c>
      <c r="L31" s="60">
        <f>IF(ISNUMBER(J31),J31*(1-Paramètres!$B$2),"")</f>
        <v>64.02</v>
      </c>
    </row>
    <row r="32" spans="1:12" ht="23.25" customHeight="1" x14ac:dyDescent="0.25">
      <c r="A32" s="57" t="s">
        <v>352</v>
      </c>
      <c r="B32" s="57">
        <v>14</v>
      </c>
      <c r="C32" s="57" t="s">
        <v>357</v>
      </c>
      <c r="D32" s="58" t="s">
        <v>358</v>
      </c>
      <c r="E32" s="57">
        <v>1.1000000000000001</v>
      </c>
      <c r="F32" s="57" t="s">
        <v>354</v>
      </c>
      <c r="G32" s="57" t="s">
        <v>359</v>
      </c>
      <c r="H32" s="57" t="s">
        <v>360</v>
      </c>
      <c r="I32" s="57">
        <v>28</v>
      </c>
      <c r="J32" s="61">
        <v>191</v>
      </c>
      <c r="K32" s="57" t="s">
        <v>302</v>
      </c>
      <c r="L32" s="60">
        <f>IF(ISNUMBER(J32),J32*(1-Paramètres!$B$2),"")</f>
        <v>92.634999999999991</v>
      </c>
    </row>
    <row r="33" spans="1:12" ht="23.25" customHeight="1" x14ac:dyDescent="0.25">
      <c r="A33" s="57" t="s">
        <v>361</v>
      </c>
      <c r="B33" s="57">
        <v>12</v>
      </c>
      <c r="C33" s="57" t="s">
        <v>309</v>
      </c>
      <c r="D33" s="58" t="s">
        <v>362</v>
      </c>
      <c r="E33" s="57">
        <v>1.2</v>
      </c>
      <c r="F33" s="57" t="s">
        <v>354</v>
      </c>
      <c r="G33" s="57" t="s">
        <v>355</v>
      </c>
      <c r="H33" s="57" t="s">
        <v>307</v>
      </c>
      <c r="I33" s="57">
        <v>28</v>
      </c>
      <c r="J33" s="61">
        <v>248</v>
      </c>
      <c r="K33" s="57" t="s">
        <v>363</v>
      </c>
      <c r="L33" s="60">
        <f>IF(ISNUMBER(J33),J33*(1-Paramètres!$B$2),"")</f>
        <v>120.28</v>
      </c>
    </row>
    <row r="35" spans="1:12" ht="21.75" customHeight="1" x14ac:dyDescent="0.25">
      <c r="A35" s="130" t="s">
        <v>364</v>
      </c>
      <c r="B35" s="93"/>
      <c r="C35" s="93"/>
      <c r="D35" s="93"/>
      <c r="E35" s="93"/>
      <c r="F35" s="93"/>
      <c r="G35" s="93"/>
      <c r="H35" s="93"/>
      <c r="I35" s="93"/>
      <c r="J35" s="93"/>
      <c r="K35" s="93"/>
      <c r="L35" s="55" t="s">
        <v>283</v>
      </c>
    </row>
    <row r="36" spans="1:12" ht="31.5" customHeight="1" x14ac:dyDescent="0.25">
      <c r="A36" s="56" t="s">
        <v>284</v>
      </c>
      <c r="B36" s="56" t="s">
        <v>285</v>
      </c>
      <c r="C36" s="56" t="s">
        <v>286</v>
      </c>
      <c r="D36" s="56" t="s">
        <v>287</v>
      </c>
      <c r="E36" s="56" t="s">
        <v>288</v>
      </c>
      <c r="F36" s="56" t="s">
        <v>289</v>
      </c>
      <c r="G36" s="56" t="s">
        <v>290</v>
      </c>
      <c r="H36" s="56" t="s">
        <v>291</v>
      </c>
      <c r="I36" s="56" t="s">
        <v>292</v>
      </c>
      <c r="J36" s="56" t="s">
        <v>293</v>
      </c>
      <c r="K36" s="56" t="s">
        <v>294</v>
      </c>
      <c r="L36" s="56" t="s">
        <v>295</v>
      </c>
    </row>
    <row r="37" spans="1:12" ht="15" customHeight="1" x14ac:dyDescent="0.25">
      <c r="A37" s="57" t="s">
        <v>365</v>
      </c>
      <c r="B37" s="57">
        <v>20</v>
      </c>
      <c r="C37" s="57" t="s">
        <v>297</v>
      </c>
      <c r="D37" s="58" t="s">
        <v>366</v>
      </c>
      <c r="E37" s="57">
        <v>1.1000000000000001</v>
      </c>
      <c r="F37" s="57"/>
      <c r="G37" s="57"/>
      <c r="H37" s="57"/>
      <c r="I37" s="57">
        <v>28</v>
      </c>
      <c r="J37" s="61">
        <v>229</v>
      </c>
      <c r="K37" s="57" t="s">
        <v>363</v>
      </c>
      <c r="L37" s="60">
        <f>IF(ISNUMBER(J37),J37*(1-Paramètres!$B$2),"")</f>
        <v>111.065</v>
      </c>
    </row>
    <row r="38" spans="1:12" ht="15" customHeight="1" x14ac:dyDescent="0.25">
      <c r="A38" s="57" t="s">
        <v>367</v>
      </c>
      <c r="B38" s="57">
        <v>18</v>
      </c>
      <c r="C38" s="57" t="s">
        <v>297</v>
      </c>
      <c r="D38" s="58" t="s">
        <v>368</v>
      </c>
      <c r="E38" s="57">
        <v>1.1000000000000001</v>
      </c>
      <c r="F38" s="57"/>
      <c r="G38" s="57"/>
      <c r="H38" s="57"/>
      <c r="I38" s="57">
        <v>28</v>
      </c>
      <c r="J38" s="61">
        <v>289</v>
      </c>
      <c r="K38" s="57" t="s">
        <v>363</v>
      </c>
      <c r="L38" s="60">
        <f>IF(ISNUMBER(J38),J38*(1-Paramètres!$B$2),"")</f>
        <v>140.16499999999999</v>
      </c>
    </row>
    <row r="40" spans="1:12" ht="21.75" customHeight="1" x14ac:dyDescent="0.25">
      <c r="A40" s="130" t="s">
        <v>369</v>
      </c>
      <c r="B40" s="93"/>
      <c r="C40" s="93"/>
      <c r="D40" s="93"/>
      <c r="E40" s="93"/>
      <c r="F40" s="93"/>
      <c r="G40" s="93"/>
      <c r="H40" s="93"/>
      <c r="I40" s="93"/>
      <c r="J40" s="93"/>
      <c r="K40" s="93"/>
      <c r="L40" s="55" t="s">
        <v>283</v>
      </c>
    </row>
    <row r="41" spans="1:12" ht="31.5" customHeight="1" x14ac:dyDescent="0.25">
      <c r="A41" s="56" t="s">
        <v>284</v>
      </c>
      <c r="B41" s="56" t="s">
        <v>285</v>
      </c>
      <c r="C41" s="56" t="s">
        <v>286</v>
      </c>
      <c r="D41" s="56" t="s">
        <v>287</v>
      </c>
      <c r="E41" s="56" t="s">
        <v>288</v>
      </c>
      <c r="F41" s="56" t="s">
        <v>289</v>
      </c>
      <c r="G41" s="56" t="s">
        <v>290</v>
      </c>
      <c r="H41" s="56" t="s">
        <v>291</v>
      </c>
      <c r="I41" s="56" t="s">
        <v>292</v>
      </c>
      <c r="J41" s="56" t="s">
        <v>293</v>
      </c>
      <c r="K41" s="56" t="s">
        <v>294</v>
      </c>
      <c r="L41" s="56" t="s">
        <v>295</v>
      </c>
    </row>
    <row r="42" spans="1:12" ht="15" customHeight="1" x14ac:dyDescent="0.25">
      <c r="A42" s="57" t="s">
        <v>370</v>
      </c>
      <c r="B42" s="57">
        <v>18</v>
      </c>
      <c r="C42" s="57" t="s">
        <v>297</v>
      </c>
      <c r="D42" s="58" t="s">
        <v>371</v>
      </c>
      <c r="E42" s="57">
        <v>1.1000000000000001</v>
      </c>
      <c r="F42" s="57" t="s">
        <v>347</v>
      </c>
      <c r="G42" s="57" t="s">
        <v>311</v>
      </c>
      <c r="H42" s="57" t="s">
        <v>372</v>
      </c>
      <c r="I42" s="57">
        <v>30.8</v>
      </c>
      <c r="J42" s="61">
        <v>126</v>
      </c>
      <c r="K42" s="57" t="s">
        <v>302</v>
      </c>
      <c r="L42" s="60">
        <f>IF(ISNUMBER(J42),J42*(1-Paramètres!$B$2),"")</f>
        <v>61.11</v>
      </c>
    </row>
    <row r="43" spans="1:12" ht="15" customHeight="1" x14ac:dyDescent="0.25">
      <c r="A43" s="57" t="s">
        <v>370</v>
      </c>
      <c r="B43" s="57">
        <v>16</v>
      </c>
      <c r="C43" s="57" t="s">
        <v>309</v>
      </c>
      <c r="D43" s="58" t="s">
        <v>373</v>
      </c>
      <c r="E43" s="57">
        <v>1.1000000000000001</v>
      </c>
      <c r="F43" s="57" t="s">
        <v>374</v>
      </c>
      <c r="G43" s="57" t="s">
        <v>375</v>
      </c>
      <c r="H43" s="57" t="s">
        <v>376</v>
      </c>
      <c r="I43" s="57">
        <v>30.8</v>
      </c>
      <c r="J43" s="61">
        <v>187</v>
      </c>
      <c r="K43" s="57" t="s">
        <v>363</v>
      </c>
      <c r="L43" s="60">
        <f>IF(ISNUMBER(J43),J43*(1-Paramètres!$B$2),"")</f>
        <v>90.694999999999993</v>
      </c>
    </row>
    <row r="44" spans="1:12" ht="15" customHeight="1" x14ac:dyDescent="0.25">
      <c r="A44" s="57" t="s">
        <v>370</v>
      </c>
      <c r="B44" s="57">
        <v>14</v>
      </c>
      <c r="C44" s="57" t="s">
        <v>357</v>
      </c>
      <c r="D44" s="58" t="s">
        <v>377</v>
      </c>
      <c r="E44" s="57">
        <v>1.1000000000000001</v>
      </c>
      <c r="F44" s="57" t="s">
        <v>378</v>
      </c>
      <c r="G44" s="57" t="s">
        <v>375</v>
      </c>
      <c r="H44" s="57" t="s">
        <v>379</v>
      </c>
      <c r="I44" s="57">
        <v>31.6</v>
      </c>
      <c r="J44" s="61">
        <v>319</v>
      </c>
      <c r="K44" s="57" t="s">
        <v>363</v>
      </c>
      <c r="L44" s="60">
        <f>IF(ISNUMBER(J44),J44*(1-Paramètres!$B$2),"")</f>
        <v>154.715</v>
      </c>
    </row>
    <row r="45" spans="1:12" ht="15" customHeight="1" x14ac:dyDescent="0.25">
      <c r="A45" s="57" t="s">
        <v>380</v>
      </c>
      <c r="B45" s="57">
        <v>18</v>
      </c>
      <c r="C45" s="57" t="s">
        <v>297</v>
      </c>
      <c r="D45" s="58" t="s">
        <v>381</v>
      </c>
      <c r="E45" s="57">
        <v>1.1000000000000001</v>
      </c>
      <c r="F45" s="57"/>
      <c r="G45" s="57"/>
      <c r="H45" s="57"/>
      <c r="I45" s="57">
        <v>30.8</v>
      </c>
      <c r="J45" s="61">
        <v>218</v>
      </c>
      <c r="K45" s="57" t="s">
        <v>302</v>
      </c>
      <c r="L45" s="60">
        <f>IF(ISNUMBER(J45),J45*(1-Paramètres!$B$2),"")</f>
        <v>105.73</v>
      </c>
    </row>
    <row r="46" spans="1:12" ht="15" customHeight="1" x14ac:dyDescent="0.25">
      <c r="A46" s="57" t="s">
        <v>380</v>
      </c>
      <c r="B46" s="57">
        <v>16</v>
      </c>
      <c r="C46" s="57" t="s">
        <v>309</v>
      </c>
      <c r="D46" s="58" t="s">
        <v>382</v>
      </c>
      <c r="E46" s="57">
        <v>1.1000000000000001</v>
      </c>
      <c r="F46" s="57"/>
      <c r="G46" s="57"/>
      <c r="H46" s="57"/>
      <c r="I46" s="57">
        <v>30.8</v>
      </c>
      <c r="J46" s="61">
        <v>326</v>
      </c>
      <c r="K46" s="57" t="s">
        <v>363</v>
      </c>
      <c r="L46" s="60">
        <f>IF(ISNUMBER(J46),J46*(1-Paramètres!$B$2),"")</f>
        <v>158.10999999999999</v>
      </c>
    </row>
    <row r="47" spans="1:12" ht="15" customHeight="1" x14ac:dyDescent="0.25">
      <c r="A47" s="57" t="s">
        <v>380</v>
      </c>
      <c r="B47" s="57">
        <v>14</v>
      </c>
      <c r="C47" s="57" t="s">
        <v>357</v>
      </c>
      <c r="D47" s="58" t="s">
        <v>383</v>
      </c>
      <c r="E47" s="57">
        <v>1.1000000000000001</v>
      </c>
      <c r="F47" s="57"/>
      <c r="G47" s="57"/>
      <c r="H47" s="57"/>
      <c r="I47" s="57">
        <v>31.6</v>
      </c>
      <c r="J47" s="61">
        <v>501</v>
      </c>
      <c r="K47" s="57" t="s">
        <v>363</v>
      </c>
      <c r="L47" s="60">
        <f>IF(ISNUMBER(J47),J47*(1-Paramètres!$B$2),"")</f>
        <v>242.98499999999999</v>
      </c>
    </row>
    <row r="48" spans="1:12" ht="15" customHeight="1" x14ac:dyDescent="0.25">
      <c r="A48" s="57" t="s">
        <v>384</v>
      </c>
      <c r="B48" s="57">
        <v>18</v>
      </c>
      <c r="C48" s="57" t="s">
        <v>297</v>
      </c>
      <c r="D48" s="58" t="s">
        <v>385</v>
      </c>
      <c r="E48" s="57">
        <v>1.1000000000000001</v>
      </c>
      <c r="F48" s="57"/>
      <c r="G48" s="57"/>
      <c r="H48" s="57"/>
      <c r="I48" s="57">
        <v>30.8</v>
      </c>
      <c r="J48" s="61">
        <v>337</v>
      </c>
      <c r="K48" s="57" t="s">
        <v>302</v>
      </c>
      <c r="L48" s="60">
        <f>IF(ISNUMBER(J48),J48*(1-Paramètres!$B$2),"")</f>
        <v>163.44499999999999</v>
      </c>
    </row>
    <row r="49" spans="1:12" ht="15" customHeight="1" x14ac:dyDescent="0.25">
      <c r="A49" s="57" t="s">
        <v>384</v>
      </c>
      <c r="B49" s="57">
        <v>16</v>
      </c>
      <c r="C49" s="57" t="s">
        <v>309</v>
      </c>
      <c r="D49" s="58" t="s">
        <v>386</v>
      </c>
      <c r="E49" s="57">
        <v>1.1000000000000001</v>
      </c>
      <c r="F49" s="57"/>
      <c r="G49" s="57"/>
      <c r="H49" s="57"/>
      <c r="I49" s="57">
        <v>30.8</v>
      </c>
      <c r="J49" s="61">
        <v>400</v>
      </c>
      <c r="K49" s="57" t="s">
        <v>363</v>
      </c>
      <c r="L49" s="60">
        <f>IF(ISNUMBER(J49),J49*(1-Paramètres!$B$2),"")</f>
        <v>194</v>
      </c>
    </row>
    <row r="50" spans="1:12" ht="15" customHeight="1" x14ac:dyDescent="0.25">
      <c r="A50" s="57" t="s">
        <v>387</v>
      </c>
      <c r="B50" s="57">
        <v>14</v>
      </c>
      <c r="C50" s="57" t="s">
        <v>357</v>
      </c>
      <c r="D50" s="58" t="s">
        <v>388</v>
      </c>
      <c r="E50" s="57">
        <v>1.1000000000000001</v>
      </c>
      <c r="F50" s="57"/>
      <c r="G50" s="57"/>
      <c r="H50" s="57"/>
      <c r="I50" s="57">
        <v>31.6</v>
      </c>
      <c r="J50" s="61">
        <v>420</v>
      </c>
      <c r="K50" s="57" t="s">
        <v>363</v>
      </c>
      <c r="L50" s="60">
        <f>IF(ISNUMBER(J50),J50*(1-Paramètres!$B$2),"")</f>
        <v>203.7</v>
      </c>
    </row>
    <row r="51" spans="1:12" ht="15" customHeight="1" x14ac:dyDescent="0.25">
      <c r="A51" s="57" t="s">
        <v>389</v>
      </c>
      <c r="B51" s="57">
        <v>18</v>
      </c>
      <c r="C51" s="57" t="s">
        <v>390</v>
      </c>
      <c r="D51" s="58" t="s">
        <v>391</v>
      </c>
      <c r="E51" s="57">
        <v>1.1000000000000001</v>
      </c>
      <c r="F51" s="57"/>
      <c r="G51" s="57"/>
      <c r="H51" s="57"/>
      <c r="I51" s="57">
        <v>30.8</v>
      </c>
      <c r="J51" s="61">
        <v>451</v>
      </c>
      <c r="K51" s="57" t="s">
        <v>302</v>
      </c>
      <c r="L51" s="60">
        <f>IF(ISNUMBER(J51),J51*(1-Paramètres!$B$2),"")</f>
        <v>218.73499999999999</v>
      </c>
    </row>
    <row r="52" spans="1:12" ht="15" customHeight="1" x14ac:dyDescent="0.25">
      <c r="A52" s="57" t="s">
        <v>389</v>
      </c>
      <c r="B52" s="57">
        <v>18</v>
      </c>
      <c r="C52" s="57" t="s">
        <v>392</v>
      </c>
      <c r="D52" s="58" t="s">
        <v>393</v>
      </c>
      <c r="E52" s="57">
        <v>1.1000000000000001</v>
      </c>
      <c r="F52" s="57"/>
      <c r="G52" s="57"/>
      <c r="H52" s="57"/>
      <c r="I52" s="57">
        <v>30.8</v>
      </c>
      <c r="J52" s="61">
        <v>394</v>
      </c>
      <c r="K52" s="57" t="s">
        <v>302</v>
      </c>
      <c r="L52" s="60">
        <f>IF(ISNUMBER(J52),J52*(1-Paramètres!$B$2),"")</f>
        <v>191.09</v>
      </c>
    </row>
    <row r="53" spans="1:12" ht="15" customHeight="1" x14ac:dyDescent="0.25">
      <c r="A53" s="57" t="s">
        <v>394</v>
      </c>
      <c r="B53" s="57">
        <v>18</v>
      </c>
      <c r="C53" s="57" t="s">
        <v>297</v>
      </c>
      <c r="D53" s="58" t="s">
        <v>395</v>
      </c>
      <c r="E53" s="57">
        <v>1.1000000000000001</v>
      </c>
      <c r="F53" s="57"/>
      <c r="G53" s="57"/>
      <c r="H53" s="57"/>
      <c r="I53" s="57">
        <v>30.8</v>
      </c>
      <c r="J53" s="61">
        <v>424</v>
      </c>
      <c r="K53" s="57" t="s">
        <v>363</v>
      </c>
      <c r="L53" s="60">
        <f>IF(ISNUMBER(J53),J53*(1-Paramètres!$B$2),"")</f>
        <v>205.64</v>
      </c>
    </row>
    <row r="54" spans="1:12" ht="15" customHeight="1" x14ac:dyDescent="0.25">
      <c r="A54" s="57" t="s">
        <v>394</v>
      </c>
      <c r="B54" s="57">
        <v>16</v>
      </c>
      <c r="C54" s="57" t="s">
        <v>309</v>
      </c>
      <c r="D54" s="58" t="s">
        <v>396</v>
      </c>
      <c r="E54" s="57">
        <v>1.1000000000000001</v>
      </c>
      <c r="F54" s="57"/>
      <c r="G54" s="57"/>
      <c r="H54" s="57"/>
      <c r="I54" s="57">
        <v>30.8</v>
      </c>
      <c r="J54" s="61">
        <v>406</v>
      </c>
      <c r="K54" s="57" t="s">
        <v>363</v>
      </c>
      <c r="L54" s="60">
        <f>IF(ISNUMBER(J54),J54*(1-Paramètres!$B$2),"")</f>
        <v>196.91</v>
      </c>
    </row>
    <row r="55" spans="1:12" ht="23.25" customHeight="1" x14ac:dyDescent="0.25">
      <c r="A55" s="57" t="s">
        <v>397</v>
      </c>
      <c r="B55" s="57">
        <v>16</v>
      </c>
      <c r="C55" s="57" t="s">
        <v>309</v>
      </c>
      <c r="D55" s="58" t="s">
        <v>398</v>
      </c>
      <c r="E55" s="57">
        <v>1.1000000000000001</v>
      </c>
      <c r="F55" s="57"/>
      <c r="G55" s="57"/>
      <c r="H55" s="57"/>
      <c r="I55" s="57">
        <v>30.8</v>
      </c>
      <c r="J55" s="61">
        <v>400</v>
      </c>
      <c r="K55" s="57" t="s">
        <v>363</v>
      </c>
      <c r="L55" s="60">
        <f>IF(ISNUMBER(J55),J55*(1-Paramètres!$B$2),"")</f>
        <v>194</v>
      </c>
    </row>
    <row r="56" spans="1:12" ht="23.25" customHeight="1" x14ac:dyDescent="0.25">
      <c r="A56" s="57" t="s">
        <v>399</v>
      </c>
      <c r="B56" s="57">
        <v>16</v>
      </c>
      <c r="C56" s="57" t="s">
        <v>309</v>
      </c>
      <c r="D56" s="58" t="s">
        <v>400</v>
      </c>
      <c r="E56" s="57">
        <v>1.1000000000000001</v>
      </c>
      <c r="F56" s="57"/>
      <c r="G56" s="57"/>
      <c r="H56" s="57"/>
      <c r="I56" s="57">
        <v>30.8</v>
      </c>
      <c r="J56" s="61">
        <v>370</v>
      </c>
      <c r="K56" s="57" t="s">
        <v>363</v>
      </c>
      <c r="L56" s="60">
        <f>IF(ISNUMBER(J56),J56*(1-Paramètres!$B$2),"")</f>
        <v>179.45</v>
      </c>
    </row>
    <row r="57" spans="1:12" ht="15" customHeight="1" x14ac:dyDescent="0.25">
      <c r="A57" s="57" t="s">
        <v>401</v>
      </c>
      <c r="B57" s="57">
        <v>16</v>
      </c>
      <c r="C57" s="57" t="s">
        <v>297</v>
      </c>
      <c r="D57" s="58" t="s">
        <v>64</v>
      </c>
      <c r="E57" s="57">
        <v>1.1000000000000001</v>
      </c>
      <c r="F57" s="57"/>
      <c r="G57" s="57"/>
      <c r="H57" s="57"/>
      <c r="I57" s="57">
        <v>30</v>
      </c>
      <c r="J57" s="61">
        <v>241</v>
      </c>
      <c r="K57" s="57" t="s">
        <v>302</v>
      </c>
      <c r="L57" s="60">
        <f>IF(ISNUMBER(J57),J57*(1-Paramètres!$B$2),"")</f>
        <v>116.88499999999999</v>
      </c>
    </row>
    <row r="58" spans="1:12" ht="15" customHeight="1" x14ac:dyDescent="0.25">
      <c r="A58" s="57" t="s">
        <v>401</v>
      </c>
      <c r="B58" s="57">
        <v>14</v>
      </c>
      <c r="C58" s="57" t="s">
        <v>309</v>
      </c>
      <c r="D58" s="58" t="s">
        <v>402</v>
      </c>
      <c r="E58" s="57">
        <v>1.3</v>
      </c>
      <c r="F58" s="57"/>
      <c r="G58" s="57"/>
      <c r="H58" s="57"/>
      <c r="I58" s="57">
        <v>30</v>
      </c>
      <c r="J58" s="61">
        <v>298</v>
      </c>
      <c r="K58" s="57" t="s">
        <v>363</v>
      </c>
      <c r="L58" s="60">
        <f>IF(ISNUMBER(J58),J58*(1-Paramètres!$B$2),"")</f>
        <v>144.53</v>
      </c>
    </row>
    <row r="59" spans="1:12" ht="15" customHeight="1" x14ac:dyDescent="0.25">
      <c r="A59" s="57" t="s">
        <v>403</v>
      </c>
      <c r="B59" s="57">
        <v>16</v>
      </c>
      <c r="C59" s="57" t="s">
        <v>321</v>
      </c>
      <c r="D59" s="58" t="s">
        <v>404</v>
      </c>
      <c r="E59" s="57">
        <v>1.1000000000000001</v>
      </c>
      <c r="F59" s="57"/>
      <c r="G59" s="57"/>
      <c r="H59" s="57"/>
      <c r="I59" s="57">
        <v>30</v>
      </c>
      <c r="J59" s="61">
        <v>334</v>
      </c>
      <c r="K59" s="57" t="s">
        <v>302</v>
      </c>
      <c r="L59" s="60">
        <f>IF(ISNUMBER(J59),J59*(1-Paramètres!$B$2),"")</f>
        <v>161.99</v>
      </c>
    </row>
    <row r="60" spans="1:12" ht="15" customHeight="1" x14ac:dyDescent="0.25">
      <c r="A60" s="57" t="s">
        <v>403</v>
      </c>
      <c r="B60" s="57">
        <v>14</v>
      </c>
      <c r="C60" s="57" t="s">
        <v>324</v>
      </c>
      <c r="D60" s="58" t="s">
        <v>405</v>
      </c>
      <c r="E60" s="57">
        <v>1.1000000000000001</v>
      </c>
      <c r="F60" s="57"/>
      <c r="G60" s="57"/>
      <c r="H60" s="57"/>
      <c r="I60" s="57">
        <v>30</v>
      </c>
      <c r="J60" s="61">
        <v>441</v>
      </c>
      <c r="K60" s="57" t="s">
        <v>363</v>
      </c>
      <c r="L60" s="60">
        <f>IF(ISNUMBER(J60),J60*(1-Paramètres!$B$2),"")</f>
        <v>213.88499999999999</v>
      </c>
    </row>
    <row r="61" spans="1:12" ht="15" customHeight="1" x14ac:dyDescent="0.25">
      <c r="A61" s="57" t="s">
        <v>403</v>
      </c>
      <c r="B61" s="57">
        <v>16</v>
      </c>
      <c r="C61" s="57" t="s">
        <v>326</v>
      </c>
      <c r="D61" s="58" t="s">
        <v>406</v>
      </c>
      <c r="E61" s="57">
        <v>1.1000000000000001</v>
      </c>
      <c r="F61" s="57"/>
      <c r="G61" s="57"/>
      <c r="H61" s="57"/>
      <c r="I61" s="57">
        <v>30</v>
      </c>
      <c r="J61" s="61">
        <v>453</v>
      </c>
      <c r="K61" s="57" t="s">
        <v>302</v>
      </c>
      <c r="L61" s="60">
        <f>IF(ISNUMBER(J61),J61*(1-Paramètres!$B$2),"")</f>
        <v>219.70499999999998</v>
      </c>
    </row>
    <row r="62" spans="1:12" ht="15" customHeight="1" x14ac:dyDescent="0.25">
      <c r="A62" s="57" t="s">
        <v>403</v>
      </c>
      <c r="B62" s="57">
        <v>14</v>
      </c>
      <c r="C62" s="57" t="s">
        <v>328</v>
      </c>
      <c r="D62" s="58" t="s">
        <v>407</v>
      </c>
      <c r="E62" s="57">
        <v>1.1000000000000001</v>
      </c>
      <c r="F62" s="57"/>
      <c r="G62" s="57"/>
      <c r="H62" s="57"/>
      <c r="I62" s="57">
        <v>30</v>
      </c>
      <c r="J62" s="61">
        <v>513</v>
      </c>
      <c r="K62" s="57" t="s">
        <v>363</v>
      </c>
      <c r="L62" s="60">
        <f>IF(ISNUMBER(J62),J62*(1-Paramètres!$B$2),"")</f>
        <v>248.80500000000001</v>
      </c>
    </row>
    <row r="63" spans="1:12" ht="15" customHeight="1" x14ac:dyDescent="0.25">
      <c r="A63" s="57" t="s">
        <v>403</v>
      </c>
      <c r="B63" s="57">
        <v>14</v>
      </c>
      <c r="C63" s="57" t="s">
        <v>338</v>
      </c>
      <c r="D63" s="58" t="s">
        <v>408</v>
      </c>
      <c r="E63" s="57">
        <v>1.1000000000000001</v>
      </c>
      <c r="F63" s="57" t="s">
        <v>409</v>
      </c>
      <c r="G63" s="57" t="s">
        <v>410</v>
      </c>
      <c r="H63" s="57" t="s">
        <v>411</v>
      </c>
      <c r="I63" s="57">
        <v>30</v>
      </c>
      <c r="J63" s="61">
        <v>517</v>
      </c>
      <c r="K63" s="57" t="s">
        <v>363</v>
      </c>
      <c r="L63" s="60">
        <f>IF(ISNUMBER(J63),J63*(1-Paramètres!$B$2),"")</f>
        <v>250.745</v>
      </c>
    </row>
    <row r="64" spans="1:12" ht="15" customHeight="1" x14ac:dyDescent="0.25">
      <c r="A64" s="57" t="s">
        <v>403</v>
      </c>
      <c r="B64" s="57">
        <v>14</v>
      </c>
      <c r="C64" s="57" t="s">
        <v>344</v>
      </c>
      <c r="D64" s="58" t="s">
        <v>412</v>
      </c>
      <c r="E64" s="57">
        <v>1.1000000000000001</v>
      </c>
      <c r="F64" s="57" t="s">
        <v>413</v>
      </c>
      <c r="G64" s="57" t="s">
        <v>414</v>
      </c>
      <c r="H64" s="57" t="s">
        <v>411</v>
      </c>
      <c r="I64" s="57">
        <v>30</v>
      </c>
      <c r="J64" s="61">
        <v>513</v>
      </c>
      <c r="K64" s="57" t="s">
        <v>363</v>
      </c>
      <c r="L64" s="60">
        <f>IF(ISNUMBER(J64),J64*(1-Paramètres!$B$2),"")</f>
        <v>248.80500000000001</v>
      </c>
    </row>
    <row r="65" spans="1:12" ht="15" customHeight="1" x14ac:dyDescent="0.25">
      <c r="A65" s="57" t="s">
        <v>403</v>
      </c>
      <c r="B65" s="57">
        <v>14</v>
      </c>
      <c r="C65" s="57" t="s">
        <v>349</v>
      </c>
      <c r="D65" s="58" t="s">
        <v>415</v>
      </c>
      <c r="E65" s="57">
        <v>1.1000000000000001</v>
      </c>
      <c r="F65" s="57" t="s">
        <v>416</v>
      </c>
      <c r="G65" s="57" t="s">
        <v>417</v>
      </c>
      <c r="H65" s="57" t="s">
        <v>411</v>
      </c>
      <c r="I65" s="57">
        <v>30</v>
      </c>
      <c r="J65" s="61">
        <v>967</v>
      </c>
      <c r="K65" s="57" t="s">
        <v>363</v>
      </c>
      <c r="L65" s="60">
        <f>IF(ISNUMBER(J65),J65*(1-Paramètres!$B$2),"")</f>
        <v>468.995</v>
      </c>
    </row>
    <row r="66" spans="1:12" ht="15" customHeight="1" x14ac:dyDescent="0.25">
      <c r="A66" s="57" t="s">
        <v>401</v>
      </c>
      <c r="B66" s="57">
        <v>12</v>
      </c>
      <c r="C66" s="57" t="s">
        <v>389</v>
      </c>
      <c r="D66" s="58" t="s">
        <v>418</v>
      </c>
      <c r="E66" s="57">
        <v>1.3</v>
      </c>
      <c r="F66" s="57" t="s">
        <v>419</v>
      </c>
      <c r="G66" s="57" t="s">
        <v>420</v>
      </c>
      <c r="H66" s="57" t="s">
        <v>421</v>
      </c>
      <c r="I66" s="57">
        <v>30.6</v>
      </c>
      <c r="J66" s="61">
        <v>430</v>
      </c>
      <c r="K66" s="57" t="s">
        <v>363</v>
      </c>
      <c r="L66" s="60">
        <f>IF(ISNUMBER(J66),J66*(1-Paramètres!$B$2),"")</f>
        <v>208.54999999999998</v>
      </c>
    </row>
    <row r="68" spans="1:12" ht="21.75" customHeight="1" x14ac:dyDescent="0.25">
      <c r="A68" s="130" t="s">
        <v>422</v>
      </c>
      <c r="B68" s="93"/>
      <c r="C68" s="93"/>
      <c r="D68" s="93"/>
      <c r="E68" s="93"/>
      <c r="F68" s="93"/>
      <c r="G68" s="93"/>
      <c r="H68" s="93"/>
      <c r="I68" s="93"/>
      <c r="J68" s="93"/>
      <c r="K68" s="93"/>
      <c r="L68" s="55" t="s">
        <v>283</v>
      </c>
    </row>
    <row r="69" spans="1:12" ht="31.5" customHeight="1" x14ac:dyDescent="0.25">
      <c r="A69" s="56" t="s">
        <v>284</v>
      </c>
      <c r="B69" s="56" t="s">
        <v>285</v>
      </c>
      <c r="C69" s="56" t="s">
        <v>286</v>
      </c>
      <c r="D69" s="56" t="s">
        <v>287</v>
      </c>
      <c r="E69" s="56" t="s">
        <v>288</v>
      </c>
      <c r="F69" s="56" t="s">
        <v>289</v>
      </c>
      <c r="G69" s="56" t="s">
        <v>290</v>
      </c>
      <c r="H69" s="56" t="s">
        <v>291</v>
      </c>
      <c r="I69" s="56" t="s">
        <v>292</v>
      </c>
      <c r="J69" s="56" t="s">
        <v>293</v>
      </c>
      <c r="K69" s="56" t="s">
        <v>294</v>
      </c>
      <c r="L69" s="56" t="s">
        <v>295</v>
      </c>
    </row>
    <row r="70" spans="1:12" ht="15" customHeight="1" x14ac:dyDescent="0.25">
      <c r="A70" s="57" t="s">
        <v>423</v>
      </c>
      <c r="B70" s="57">
        <v>14</v>
      </c>
      <c r="C70" s="57" t="s">
        <v>297</v>
      </c>
      <c r="D70" s="58" t="s">
        <v>424</v>
      </c>
      <c r="E70" s="57">
        <v>1.1000000000000001</v>
      </c>
      <c r="F70" s="57" t="s">
        <v>347</v>
      </c>
      <c r="G70" s="57" t="s">
        <v>425</v>
      </c>
      <c r="H70" s="57" t="s">
        <v>426</v>
      </c>
      <c r="I70" s="57">
        <v>28</v>
      </c>
      <c r="J70" s="61">
        <v>75</v>
      </c>
      <c r="K70" s="57" t="s">
        <v>302</v>
      </c>
      <c r="L70" s="60">
        <f>IF(ISNUMBER(J70),J70*(1-Paramètres!$B$2),"")</f>
        <v>36.375</v>
      </c>
    </row>
    <row r="71" spans="1:12" ht="15" customHeight="1" x14ac:dyDescent="0.25">
      <c r="A71" s="57" t="s">
        <v>423</v>
      </c>
      <c r="B71" s="57">
        <v>12</v>
      </c>
      <c r="C71" s="57" t="s">
        <v>309</v>
      </c>
      <c r="D71" s="58" t="s">
        <v>427</v>
      </c>
      <c r="E71" s="57">
        <v>1.1000000000000001</v>
      </c>
      <c r="F71" s="57" t="s">
        <v>347</v>
      </c>
      <c r="G71" s="57" t="s">
        <v>428</v>
      </c>
      <c r="H71" s="57" t="s">
        <v>429</v>
      </c>
      <c r="I71" s="57">
        <v>28</v>
      </c>
      <c r="J71" s="61">
        <v>135</v>
      </c>
      <c r="K71" s="57" t="s">
        <v>363</v>
      </c>
      <c r="L71" s="60">
        <f>IF(ISNUMBER(J71),J71*(1-Paramètres!$B$2),"")</f>
        <v>65.474999999999994</v>
      </c>
    </row>
    <row r="72" spans="1:12" ht="15" customHeight="1" x14ac:dyDescent="0.25">
      <c r="A72" s="57" t="s">
        <v>430</v>
      </c>
      <c r="B72" s="57">
        <v>14</v>
      </c>
      <c r="C72" s="57" t="s">
        <v>297</v>
      </c>
      <c r="D72" s="58" t="s">
        <v>431</v>
      </c>
      <c r="E72" s="57">
        <v>1.1000000000000001</v>
      </c>
      <c r="F72" s="57"/>
      <c r="G72" s="57"/>
      <c r="H72" s="57"/>
      <c r="I72" s="57">
        <v>28</v>
      </c>
      <c r="J72" s="61">
        <v>145</v>
      </c>
      <c r="K72" s="57" t="s">
        <v>302</v>
      </c>
      <c r="L72" s="60">
        <f>IF(ISNUMBER(J72),J72*(1-Paramètres!$B$2),"")</f>
        <v>70.325000000000003</v>
      </c>
    </row>
    <row r="73" spans="1:12" ht="15" customHeight="1" x14ac:dyDescent="0.25">
      <c r="A73" s="57" t="s">
        <v>430</v>
      </c>
      <c r="B73" s="57">
        <v>12</v>
      </c>
      <c r="C73" s="57" t="s">
        <v>309</v>
      </c>
      <c r="D73" s="58" t="s">
        <v>432</v>
      </c>
      <c r="E73" s="57">
        <v>1.1000000000000001</v>
      </c>
      <c r="F73" s="57"/>
      <c r="G73" s="57"/>
      <c r="H73" s="57"/>
      <c r="I73" s="57">
        <v>28</v>
      </c>
      <c r="J73" s="61">
        <v>250</v>
      </c>
      <c r="K73" s="57" t="s">
        <v>363</v>
      </c>
      <c r="L73" s="60">
        <f>IF(ISNUMBER(J73),J73*(1-Paramètres!$B$2),"")</f>
        <v>121.25</v>
      </c>
    </row>
    <row r="74" spans="1:12" ht="15" customHeight="1" x14ac:dyDescent="0.25">
      <c r="A74" s="57" t="s">
        <v>433</v>
      </c>
      <c r="B74" s="57">
        <v>14</v>
      </c>
      <c r="C74" s="57" t="s">
        <v>297</v>
      </c>
      <c r="D74" s="58" t="s">
        <v>434</v>
      </c>
      <c r="E74" s="57">
        <v>1.1000000000000001</v>
      </c>
      <c r="F74" s="57"/>
      <c r="G74" s="57"/>
      <c r="H74" s="57"/>
      <c r="I74" s="57">
        <v>28</v>
      </c>
      <c r="J74" s="61">
        <v>262</v>
      </c>
      <c r="K74" s="57" t="s">
        <v>302</v>
      </c>
      <c r="L74" s="60">
        <f>IF(ISNUMBER(J74),J74*(1-Paramètres!$B$2),"")</f>
        <v>127.07</v>
      </c>
    </row>
    <row r="75" spans="1:12" ht="15" customHeight="1" x14ac:dyDescent="0.25">
      <c r="A75" s="57" t="s">
        <v>433</v>
      </c>
      <c r="B75" s="57">
        <v>12</v>
      </c>
      <c r="C75" s="57" t="s">
        <v>309</v>
      </c>
      <c r="D75" s="58" t="s">
        <v>435</v>
      </c>
      <c r="E75" s="57">
        <v>1.1000000000000001</v>
      </c>
      <c r="F75" s="57"/>
      <c r="G75" s="57"/>
      <c r="H75" s="57"/>
      <c r="I75" s="57">
        <v>28</v>
      </c>
      <c r="J75" s="61">
        <v>324</v>
      </c>
      <c r="K75" s="57" t="s">
        <v>363</v>
      </c>
      <c r="L75" s="60">
        <f>IF(ISNUMBER(J75),J75*(1-Paramètres!$B$2),"")</f>
        <v>157.13999999999999</v>
      </c>
    </row>
    <row r="76" spans="1:12" ht="15" customHeight="1" x14ac:dyDescent="0.25">
      <c r="A76" s="57" t="s">
        <v>436</v>
      </c>
      <c r="B76" s="57">
        <v>16</v>
      </c>
      <c r="C76" s="57" t="s">
        <v>297</v>
      </c>
      <c r="D76" s="58" t="s">
        <v>437</v>
      </c>
      <c r="E76" s="57">
        <v>1.1000000000000001</v>
      </c>
      <c r="F76" s="57" t="s">
        <v>347</v>
      </c>
      <c r="G76" s="57" t="s">
        <v>311</v>
      </c>
      <c r="H76" s="57" t="s">
        <v>438</v>
      </c>
      <c r="I76" s="57">
        <v>28.6</v>
      </c>
      <c r="J76" s="61">
        <v>206</v>
      </c>
      <c r="K76" s="57" t="s">
        <v>302</v>
      </c>
      <c r="L76" s="60">
        <f>IF(ISNUMBER(J76),J76*(1-Paramètres!$B$2),"")</f>
        <v>99.91</v>
      </c>
    </row>
    <row r="77" spans="1:12" ht="15" customHeight="1" x14ac:dyDescent="0.25">
      <c r="A77" s="57" t="s">
        <v>436</v>
      </c>
      <c r="B77" s="57">
        <v>14</v>
      </c>
      <c r="C77" s="57" t="s">
        <v>309</v>
      </c>
      <c r="D77" s="58" t="s">
        <v>439</v>
      </c>
      <c r="E77" s="57">
        <v>1.1000000000000001</v>
      </c>
      <c r="F77" s="57" t="s">
        <v>374</v>
      </c>
      <c r="G77" s="57" t="s">
        <v>375</v>
      </c>
      <c r="H77" s="57" t="s">
        <v>440</v>
      </c>
      <c r="I77" s="57">
        <v>28.6</v>
      </c>
      <c r="J77" s="61">
        <v>234</v>
      </c>
      <c r="K77" s="57" t="s">
        <v>363</v>
      </c>
      <c r="L77" s="60">
        <f>IF(ISNUMBER(J77),J77*(1-Paramètres!$B$2),"")</f>
        <v>113.49</v>
      </c>
    </row>
  </sheetData>
  <mergeCells count="7">
    <mergeCell ref="A35:K35"/>
    <mergeCell ref="A3:K3"/>
    <mergeCell ref="A1:L1"/>
    <mergeCell ref="A10:K10"/>
    <mergeCell ref="A68:K68"/>
    <mergeCell ref="A40:K40"/>
    <mergeCell ref="A23:K23"/>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26"/>
  <sheetViews>
    <sheetView zoomScaleNormal="100" workbookViewId="0"/>
  </sheetViews>
  <sheetFormatPr baseColWidth="10" defaultColWidth="8.7109375" defaultRowHeight="15" x14ac:dyDescent="0.25"/>
  <cols>
    <col min="1" max="1" width="22" customWidth="1"/>
    <col min="2" max="3" width="18" customWidth="1"/>
  </cols>
  <sheetData>
    <row r="1" spans="1:3" ht="25.5" customHeight="1" x14ac:dyDescent="0.25">
      <c r="A1" s="126" t="s">
        <v>441</v>
      </c>
      <c r="B1" s="93"/>
      <c r="C1" s="93"/>
    </row>
    <row r="3" spans="1:3" ht="21.75" customHeight="1" x14ac:dyDescent="0.25">
      <c r="A3" s="121" t="s">
        <v>442</v>
      </c>
      <c r="B3" s="93"/>
      <c r="C3" s="4" t="s">
        <v>283</v>
      </c>
    </row>
    <row r="4" spans="1:3" ht="15" customHeight="1" x14ac:dyDescent="0.25">
      <c r="A4" s="43" t="s">
        <v>443</v>
      </c>
      <c r="B4" s="43" t="s">
        <v>444</v>
      </c>
      <c r="C4" s="43" t="s">
        <v>445</v>
      </c>
    </row>
    <row r="5" spans="1:3" ht="15" customHeight="1" x14ac:dyDescent="0.25">
      <c r="A5" s="62" t="s">
        <v>446</v>
      </c>
      <c r="B5" s="63" t="s">
        <v>447</v>
      </c>
      <c r="C5" s="64" t="s">
        <v>447</v>
      </c>
    </row>
    <row r="6" spans="1:3" ht="15" customHeight="1" x14ac:dyDescent="0.25">
      <c r="A6" s="62" t="s">
        <v>448</v>
      </c>
      <c r="B6" s="65">
        <v>18</v>
      </c>
      <c r="C6" s="66">
        <f>B6*(1-Paramètres!$B$2)</f>
        <v>8.73</v>
      </c>
    </row>
    <row r="7" spans="1:3" ht="15" customHeight="1" x14ac:dyDescent="0.25">
      <c r="A7" s="62" t="s">
        <v>449</v>
      </c>
      <c r="B7" s="65">
        <v>25</v>
      </c>
      <c r="C7" s="66">
        <f>B7*(1-Paramètres!$B$2)</f>
        <v>12.125</v>
      </c>
    </row>
    <row r="9" spans="1:3" ht="21.75" customHeight="1" x14ac:dyDescent="0.25">
      <c r="A9" s="121" t="s">
        <v>450</v>
      </c>
      <c r="B9" s="93"/>
      <c r="C9" s="4" t="s">
        <v>283</v>
      </c>
    </row>
    <row r="10" spans="1:3" ht="15" customHeight="1" x14ac:dyDescent="0.25">
      <c r="A10" s="43" t="s">
        <v>443</v>
      </c>
      <c r="B10" s="43" t="s">
        <v>444</v>
      </c>
      <c r="C10" s="43" t="s">
        <v>445</v>
      </c>
    </row>
    <row r="11" spans="1:3" ht="15" customHeight="1" x14ac:dyDescent="0.25">
      <c r="A11" s="62" t="s">
        <v>446</v>
      </c>
      <c r="B11" s="63" t="s">
        <v>447</v>
      </c>
      <c r="C11" s="64" t="s">
        <v>447</v>
      </c>
    </row>
    <row r="12" spans="1:3" ht="15" customHeight="1" x14ac:dyDescent="0.25">
      <c r="A12" s="62" t="s">
        <v>448</v>
      </c>
      <c r="B12" s="65">
        <v>18</v>
      </c>
      <c r="C12" s="66">
        <f>B12*(1-Paramètres!$B$2)</f>
        <v>8.73</v>
      </c>
    </row>
    <row r="13" spans="1:3" ht="15" customHeight="1" x14ac:dyDescent="0.25">
      <c r="A13" s="62" t="s">
        <v>449</v>
      </c>
      <c r="B13" s="65">
        <v>25</v>
      </c>
      <c r="C13" s="66">
        <f>B13*(1-Paramètres!$B$2)</f>
        <v>12.125</v>
      </c>
    </row>
    <row r="15" spans="1:3" ht="21.75" customHeight="1" x14ac:dyDescent="0.25">
      <c r="A15" s="121" t="s">
        <v>451</v>
      </c>
      <c r="B15" s="93"/>
      <c r="C15" s="4" t="s">
        <v>283</v>
      </c>
    </row>
    <row r="16" spans="1:3" ht="15" customHeight="1" x14ac:dyDescent="0.25">
      <c r="A16" s="43" t="s">
        <v>443</v>
      </c>
      <c r="B16" s="43" t="s">
        <v>444</v>
      </c>
      <c r="C16" s="43" t="s">
        <v>445</v>
      </c>
    </row>
    <row r="17" spans="1:3" ht="15" customHeight="1" x14ac:dyDescent="0.25">
      <c r="A17" s="62" t="s">
        <v>449</v>
      </c>
      <c r="B17" s="65">
        <v>20</v>
      </c>
      <c r="C17" s="66">
        <f>B17*(1-Paramètres!$B$2)</f>
        <v>9.6999999999999993</v>
      </c>
    </row>
    <row r="18" spans="1:3" ht="15" customHeight="1" x14ac:dyDescent="0.25">
      <c r="A18" s="62" t="s">
        <v>452</v>
      </c>
      <c r="B18" s="65">
        <v>23</v>
      </c>
      <c r="C18" s="66">
        <f>B18*(1-Paramètres!$B$2)</f>
        <v>11.154999999999999</v>
      </c>
    </row>
    <row r="20" spans="1:3" ht="21.75" customHeight="1" x14ac:dyDescent="0.25">
      <c r="A20" s="121" t="s">
        <v>453</v>
      </c>
      <c r="B20" s="93"/>
      <c r="C20" s="4" t="s">
        <v>283</v>
      </c>
    </row>
    <row r="21" spans="1:3" ht="15" customHeight="1" x14ac:dyDescent="0.25">
      <c r="A21" s="43" t="s">
        <v>443</v>
      </c>
      <c r="B21" s="43" t="s">
        <v>444</v>
      </c>
      <c r="C21" s="43" t="s">
        <v>445</v>
      </c>
    </row>
    <row r="22" spans="1:3" ht="15" customHeight="1" x14ac:dyDescent="0.25">
      <c r="A22" s="62" t="s">
        <v>449</v>
      </c>
      <c r="B22" s="67">
        <v>0.03</v>
      </c>
      <c r="C22" s="68">
        <f>B22</f>
        <v>0.03</v>
      </c>
    </row>
    <row r="23" spans="1:3" ht="15" customHeight="1" x14ac:dyDescent="0.25">
      <c r="A23" s="62" t="s">
        <v>452</v>
      </c>
      <c r="B23" s="67">
        <v>0.03</v>
      </c>
      <c r="C23" s="68">
        <f>B23</f>
        <v>0.03</v>
      </c>
    </row>
    <row r="25" spans="1:3" ht="15" customHeight="1" x14ac:dyDescent="0.25">
      <c r="A25" s="132" t="s">
        <v>454</v>
      </c>
      <c r="B25" s="93"/>
      <c r="C25" s="93"/>
    </row>
    <row r="26" spans="1:3" ht="15" customHeight="1" x14ac:dyDescent="0.25">
      <c r="A26" s="132" t="s">
        <v>455</v>
      </c>
      <c r="B26" s="93"/>
      <c r="C26" s="93"/>
    </row>
  </sheetData>
  <mergeCells count="7">
    <mergeCell ref="A26:C26"/>
    <mergeCell ref="A25:C25"/>
    <mergeCell ref="A20:B20"/>
    <mergeCell ref="A15:B15"/>
    <mergeCell ref="A1:C1"/>
    <mergeCell ref="A9:B9"/>
    <mergeCell ref="A3:B3"/>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62"/>
  <sheetViews>
    <sheetView zoomScaleNormal="100" workbookViewId="0">
      <pane ySplit="1" topLeftCell="A2" activePane="bottomLeft" state="frozen"/>
      <selection pane="bottomLeft"/>
    </sheetView>
  </sheetViews>
  <sheetFormatPr baseColWidth="10" defaultColWidth="8.7109375" defaultRowHeight="15" x14ac:dyDescent="0.25"/>
  <cols>
    <col min="1" max="1" width="24" customWidth="1"/>
    <col min="2" max="2" width="32" customWidth="1"/>
    <col min="3" max="3" width="22" customWidth="1"/>
    <col min="4" max="4" width="18" customWidth="1"/>
  </cols>
  <sheetData>
    <row r="1" spans="1:4" ht="27.75" customHeight="1" x14ac:dyDescent="0.25">
      <c r="A1" s="131" t="s">
        <v>456</v>
      </c>
      <c r="B1" s="93"/>
      <c r="C1" s="93"/>
      <c r="D1" s="93"/>
    </row>
    <row r="3" spans="1:4" ht="21.75" customHeight="1" x14ac:dyDescent="0.25">
      <c r="A3" s="130" t="s">
        <v>457</v>
      </c>
      <c r="B3" s="93"/>
      <c r="C3" s="93"/>
      <c r="D3" s="93"/>
    </row>
    <row r="4" spans="1:4" ht="18" customHeight="1" x14ac:dyDescent="0.25">
      <c r="A4" s="137" t="s">
        <v>458</v>
      </c>
      <c r="B4" s="93"/>
      <c r="C4" s="93"/>
      <c r="D4" s="93"/>
    </row>
    <row r="5" spans="1:4" ht="15" customHeight="1" x14ac:dyDescent="0.25">
      <c r="A5" s="48" t="s">
        <v>459</v>
      </c>
      <c r="B5" s="56" t="s">
        <v>460</v>
      </c>
      <c r="C5" s="48" t="s">
        <v>461</v>
      </c>
      <c r="D5" s="56" t="s">
        <v>460</v>
      </c>
    </row>
    <row r="6" spans="1:4" ht="15" customHeight="1" x14ac:dyDescent="0.25">
      <c r="A6" s="56" t="s">
        <v>462</v>
      </c>
      <c r="B6" s="136" t="s">
        <v>463</v>
      </c>
      <c r="C6" s="134"/>
      <c r="D6" s="135"/>
    </row>
    <row r="7" spans="1:4" ht="15" customHeight="1" x14ac:dyDescent="0.25">
      <c r="A7" s="59" t="s">
        <v>464</v>
      </c>
      <c r="B7" s="133" t="s">
        <v>465</v>
      </c>
      <c r="C7" s="134"/>
      <c r="D7" s="135"/>
    </row>
    <row r="8" spans="1:4" ht="15" customHeight="1" x14ac:dyDescent="0.25">
      <c r="A8" s="59" t="s">
        <v>466</v>
      </c>
      <c r="B8" s="133" t="s">
        <v>467</v>
      </c>
      <c r="C8" s="134"/>
      <c r="D8" s="135"/>
    </row>
    <row r="9" spans="1:4" ht="15" customHeight="1" x14ac:dyDescent="0.25">
      <c r="A9" s="59" t="s">
        <v>468</v>
      </c>
      <c r="B9" s="133" t="s">
        <v>465</v>
      </c>
      <c r="C9" s="134"/>
      <c r="D9" s="135"/>
    </row>
    <row r="10" spans="1:4" ht="15" customHeight="1" x14ac:dyDescent="0.25">
      <c r="A10" s="59" t="s">
        <v>469</v>
      </c>
      <c r="B10" s="133" t="s">
        <v>465</v>
      </c>
      <c r="C10" s="134"/>
      <c r="D10" s="135"/>
    </row>
    <row r="11" spans="1:4" ht="15" customHeight="1" x14ac:dyDescent="0.25">
      <c r="A11" s="59" t="s">
        <v>470</v>
      </c>
      <c r="B11" s="133" t="s">
        <v>467</v>
      </c>
      <c r="C11" s="134"/>
      <c r="D11" s="135"/>
    </row>
    <row r="12" spans="1:4" ht="15" customHeight="1" x14ac:dyDescent="0.25">
      <c r="A12" s="59" t="s">
        <v>471</v>
      </c>
      <c r="B12" s="133" t="s">
        <v>465</v>
      </c>
      <c r="C12" s="134"/>
      <c r="D12" s="135"/>
    </row>
    <row r="13" spans="1:4" ht="15" customHeight="1" x14ac:dyDescent="0.25">
      <c r="A13" s="59" t="s">
        <v>472</v>
      </c>
      <c r="B13" s="133" t="s">
        <v>465</v>
      </c>
      <c r="C13" s="134"/>
      <c r="D13" s="135"/>
    </row>
    <row r="14" spans="1:4" ht="15" customHeight="1" x14ac:dyDescent="0.25">
      <c r="A14" s="59" t="s">
        <v>473</v>
      </c>
      <c r="B14" s="133" t="s">
        <v>474</v>
      </c>
      <c r="C14" s="134"/>
      <c r="D14" s="135"/>
    </row>
    <row r="15" spans="1:4" ht="15" customHeight="1" x14ac:dyDescent="0.25">
      <c r="A15" s="59" t="s">
        <v>475</v>
      </c>
      <c r="B15" s="133" t="s">
        <v>474</v>
      </c>
      <c r="C15" s="134"/>
      <c r="D15" s="135"/>
    </row>
    <row r="16" spans="1:4" ht="15" customHeight="1" x14ac:dyDescent="0.25">
      <c r="A16" s="59" t="s">
        <v>476</v>
      </c>
      <c r="B16" s="133" t="s">
        <v>477</v>
      </c>
      <c r="C16" s="134"/>
      <c r="D16" s="135"/>
    </row>
    <row r="17" spans="1:4" ht="15" customHeight="1" x14ac:dyDescent="0.25">
      <c r="A17" s="59" t="s">
        <v>478</v>
      </c>
      <c r="B17" s="133" t="s">
        <v>479</v>
      </c>
      <c r="C17" s="134"/>
      <c r="D17" s="135"/>
    </row>
    <row r="19" spans="1:4" ht="21.75" customHeight="1" x14ac:dyDescent="0.25">
      <c r="A19" s="130" t="s">
        <v>480</v>
      </c>
      <c r="B19" s="93"/>
      <c r="C19" s="93"/>
      <c r="D19" s="93"/>
    </row>
    <row r="20" spans="1:4" ht="18" customHeight="1" x14ac:dyDescent="0.25">
      <c r="A20" s="137" t="s">
        <v>481</v>
      </c>
      <c r="B20" s="93"/>
      <c r="C20" s="93"/>
      <c r="D20" s="93"/>
    </row>
    <row r="21" spans="1:4" ht="15" customHeight="1" x14ac:dyDescent="0.25">
      <c r="A21" s="48" t="s">
        <v>459</v>
      </c>
      <c r="B21" s="56" t="s">
        <v>460</v>
      </c>
      <c r="C21" s="48" t="s">
        <v>461</v>
      </c>
      <c r="D21" s="56" t="s">
        <v>460</v>
      </c>
    </row>
    <row r="22" spans="1:4" ht="15" customHeight="1" x14ac:dyDescent="0.25">
      <c r="A22" s="56" t="s">
        <v>462</v>
      </c>
      <c r="B22" s="136" t="s">
        <v>463</v>
      </c>
      <c r="C22" s="134"/>
      <c r="D22" s="135"/>
    </row>
    <row r="23" spans="1:4" ht="15" customHeight="1" x14ac:dyDescent="0.25">
      <c r="A23" s="59" t="s">
        <v>464</v>
      </c>
      <c r="B23" s="133" t="s">
        <v>465</v>
      </c>
      <c r="C23" s="134"/>
      <c r="D23" s="135"/>
    </row>
    <row r="24" spans="1:4" ht="15" customHeight="1" x14ac:dyDescent="0.25">
      <c r="A24" s="59" t="s">
        <v>466</v>
      </c>
      <c r="B24" s="133" t="s">
        <v>467</v>
      </c>
      <c r="C24" s="134"/>
      <c r="D24" s="135"/>
    </row>
    <row r="25" spans="1:4" ht="15" customHeight="1" x14ac:dyDescent="0.25">
      <c r="A25" s="59" t="s">
        <v>468</v>
      </c>
      <c r="B25" s="133" t="s">
        <v>465</v>
      </c>
      <c r="C25" s="134"/>
      <c r="D25" s="135"/>
    </row>
    <row r="26" spans="1:4" ht="15" customHeight="1" x14ac:dyDescent="0.25">
      <c r="A26" s="59" t="s">
        <v>469</v>
      </c>
      <c r="B26" s="133" t="s">
        <v>465</v>
      </c>
      <c r="C26" s="134"/>
      <c r="D26" s="135"/>
    </row>
    <row r="27" spans="1:4" ht="15" customHeight="1" x14ac:dyDescent="0.25">
      <c r="A27" s="59" t="s">
        <v>475</v>
      </c>
      <c r="B27" s="133" t="s">
        <v>467</v>
      </c>
      <c r="C27" s="134"/>
      <c r="D27" s="135"/>
    </row>
    <row r="28" spans="1:4" ht="15" customHeight="1" x14ac:dyDescent="0.25">
      <c r="A28" s="59" t="s">
        <v>470</v>
      </c>
      <c r="B28" s="133" t="s">
        <v>467</v>
      </c>
      <c r="C28" s="134"/>
      <c r="D28" s="135"/>
    </row>
    <row r="29" spans="1:4" ht="15" customHeight="1" x14ac:dyDescent="0.25">
      <c r="A29" s="59" t="s">
        <v>471</v>
      </c>
      <c r="B29" s="133" t="s">
        <v>465</v>
      </c>
      <c r="C29" s="134"/>
      <c r="D29" s="135"/>
    </row>
    <row r="30" spans="1:4" ht="15" customHeight="1" x14ac:dyDescent="0.25">
      <c r="A30" s="59" t="s">
        <v>473</v>
      </c>
      <c r="B30" s="133" t="s">
        <v>474</v>
      </c>
      <c r="C30" s="134"/>
      <c r="D30" s="135"/>
    </row>
    <row r="31" spans="1:4" ht="15" customHeight="1" x14ac:dyDescent="0.25">
      <c r="A31" s="59" t="s">
        <v>476</v>
      </c>
      <c r="B31" s="133" t="s">
        <v>477</v>
      </c>
      <c r="C31" s="134"/>
      <c r="D31" s="135"/>
    </row>
    <row r="33" spans="1:4" ht="21.75" customHeight="1" x14ac:dyDescent="0.25">
      <c r="A33" s="130" t="s">
        <v>482</v>
      </c>
      <c r="B33" s="93"/>
      <c r="C33" s="93"/>
      <c r="D33" s="93"/>
    </row>
    <row r="34" spans="1:4" ht="18" customHeight="1" x14ac:dyDescent="0.25">
      <c r="A34" s="137" t="s">
        <v>483</v>
      </c>
      <c r="B34" s="93"/>
      <c r="C34" s="93"/>
      <c r="D34" s="93"/>
    </row>
    <row r="35" spans="1:4" ht="15" customHeight="1" x14ac:dyDescent="0.25">
      <c r="A35" s="48" t="s">
        <v>459</v>
      </c>
      <c r="B35" s="56" t="s">
        <v>460</v>
      </c>
      <c r="C35" s="48" t="s">
        <v>461</v>
      </c>
      <c r="D35" s="69">
        <v>99</v>
      </c>
    </row>
    <row r="36" spans="1:4" ht="15" customHeight="1" x14ac:dyDescent="0.25">
      <c r="A36" s="56" t="s">
        <v>462</v>
      </c>
      <c r="B36" s="136" t="s">
        <v>463</v>
      </c>
      <c r="C36" s="134"/>
      <c r="D36" s="135"/>
    </row>
    <row r="37" spans="1:4" ht="15" customHeight="1" x14ac:dyDescent="0.25">
      <c r="A37" s="59" t="s">
        <v>473</v>
      </c>
      <c r="B37" s="133" t="s">
        <v>465</v>
      </c>
      <c r="C37" s="134"/>
      <c r="D37" s="135"/>
    </row>
    <row r="38" spans="1:4" ht="15" customHeight="1" x14ac:dyDescent="0.25">
      <c r="A38" s="59" t="s">
        <v>484</v>
      </c>
      <c r="B38" s="133" t="s">
        <v>467</v>
      </c>
      <c r="C38" s="134"/>
      <c r="D38" s="135"/>
    </row>
    <row r="39" spans="1:4" ht="15" customHeight="1" x14ac:dyDescent="0.25">
      <c r="A39" s="59" t="s">
        <v>485</v>
      </c>
      <c r="B39" s="133" t="s">
        <v>467</v>
      </c>
      <c r="C39" s="134"/>
      <c r="D39" s="135"/>
    </row>
    <row r="40" spans="1:4" ht="15" customHeight="1" x14ac:dyDescent="0.25">
      <c r="A40" s="59" t="s">
        <v>486</v>
      </c>
      <c r="B40" s="133" t="s">
        <v>467</v>
      </c>
      <c r="C40" s="134"/>
      <c r="D40" s="135"/>
    </row>
    <row r="41" spans="1:4" ht="15" customHeight="1" x14ac:dyDescent="0.25">
      <c r="A41" s="59" t="s">
        <v>487</v>
      </c>
      <c r="B41" s="133" t="s">
        <v>467</v>
      </c>
      <c r="C41" s="134"/>
      <c r="D41" s="135"/>
    </row>
    <row r="42" spans="1:4" ht="15" customHeight="1" x14ac:dyDescent="0.25">
      <c r="A42" s="59" t="s">
        <v>488</v>
      </c>
      <c r="B42" s="133" t="s">
        <v>467</v>
      </c>
      <c r="C42" s="134"/>
      <c r="D42" s="135"/>
    </row>
    <row r="43" spans="1:4" ht="15" customHeight="1" x14ac:dyDescent="0.25">
      <c r="A43" s="59" t="s">
        <v>489</v>
      </c>
      <c r="B43" s="133" t="s">
        <v>467</v>
      </c>
      <c r="C43" s="134"/>
      <c r="D43" s="135"/>
    </row>
    <row r="44" spans="1:4" ht="15" customHeight="1" x14ac:dyDescent="0.25">
      <c r="A44" s="59" t="s">
        <v>490</v>
      </c>
      <c r="B44" s="133" t="s">
        <v>467</v>
      </c>
      <c r="C44" s="134"/>
      <c r="D44" s="135"/>
    </row>
    <row r="45" spans="1:4" ht="15" customHeight="1" x14ac:dyDescent="0.25">
      <c r="A45" s="59" t="s">
        <v>478</v>
      </c>
      <c r="B45" s="133" t="s">
        <v>467</v>
      </c>
      <c r="C45" s="134"/>
      <c r="D45" s="135"/>
    </row>
    <row r="46" spans="1:4" ht="15" customHeight="1" x14ac:dyDescent="0.25">
      <c r="A46" s="59" t="s">
        <v>491</v>
      </c>
      <c r="B46" s="133" t="s">
        <v>465</v>
      </c>
      <c r="C46" s="134"/>
      <c r="D46" s="135"/>
    </row>
    <row r="47" spans="1:4" ht="15" customHeight="1" x14ac:dyDescent="0.25">
      <c r="A47" s="59" t="s">
        <v>468</v>
      </c>
      <c r="B47" s="133" t="s">
        <v>474</v>
      </c>
      <c r="C47" s="134"/>
      <c r="D47" s="135"/>
    </row>
    <row r="48" spans="1:4" ht="15" customHeight="1" x14ac:dyDescent="0.25">
      <c r="A48" s="59" t="s">
        <v>469</v>
      </c>
      <c r="B48" s="133" t="s">
        <v>474</v>
      </c>
      <c r="C48" s="134"/>
      <c r="D48" s="135"/>
    </row>
    <row r="49" spans="1:4" ht="15" customHeight="1" x14ac:dyDescent="0.25">
      <c r="A49" s="59" t="s">
        <v>471</v>
      </c>
      <c r="B49" s="133" t="s">
        <v>474</v>
      </c>
      <c r="C49" s="134"/>
      <c r="D49" s="135"/>
    </row>
    <row r="50" spans="1:4" ht="15" customHeight="1" x14ac:dyDescent="0.25">
      <c r="A50" s="59" t="s">
        <v>492</v>
      </c>
      <c r="B50" s="133" t="s">
        <v>474</v>
      </c>
      <c r="C50" s="134"/>
      <c r="D50" s="135"/>
    </row>
    <row r="51" spans="1:4" ht="15" customHeight="1" x14ac:dyDescent="0.25">
      <c r="A51" s="59" t="s">
        <v>472</v>
      </c>
      <c r="B51" s="133" t="s">
        <v>474</v>
      </c>
      <c r="C51" s="134"/>
      <c r="D51" s="135"/>
    </row>
    <row r="52" spans="1:4" ht="15" customHeight="1" x14ac:dyDescent="0.25">
      <c r="A52" s="59" t="s">
        <v>493</v>
      </c>
      <c r="B52" s="133" t="s">
        <v>477</v>
      </c>
      <c r="C52" s="134"/>
      <c r="D52" s="135"/>
    </row>
    <row r="54" spans="1:4" ht="21.75" customHeight="1" x14ac:dyDescent="0.25">
      <c r="A54" s="130" t="s">
        <v>494</v>
      </c>
      <c r="B54" s="93"/>
      <c r="C54" s="93"/>
      <c r="D54" s="93"/>
    </row>
    <row r="55" spans="1:4" ht="18" customHeight="1" x14ac:dyDescent="0.25">
      <c r="A55" s="137" t="s">
        <v>495</v>
      </c>
      <c r="B55" s="93"/>
      <c r="C55" s="93"/>
      <c r="D55" s="93"/>
    </row>
    <row r="56" spans="1:4" ht="15" customHeight="1" x14ac:dyDescent="0.25">
      <c r="A56" s="48" t="s">
        <v>459</v>
      </c>
      <c r="B56" s="70">
        <v>0.1</v>
      </c>
      <c r="C56" s="48" t="s">
        <v>461</v>
      </c>
      <c r="D56" s="69">
        <v>99</v>
      </c>
    </row>
    <row r="57" spans="1:4" ht="15" customHeight="1" x14ac:dyDescent="0.25">
      <c r="A57" s="56" t="s">
        <v>462</v>
      </c>
      <c r="B57" s="136" t="s">
        <v>463</v>
      </c>
      <c r="C57" s="134"/>
      <c r="D57" s="135"/>
    </row>
    <row r="58" spans="1:4" ht="15" customHeight="1" x14ac:dyDescent="0.25">
      <c r="A58" s="59" t="s">
        <v>496</v>
      </c>
      <c r="B58" s="133" t="s">
        <v>465</v>
      </c>
      <c r="C58" s="134"/>
      <c r="D58" s="135"/>
    </row>
    <row r="59" spans="1:4" ht="15" customHeight="1" x14ac:dyDescent="0.25">
      <c r="A59" s="59" t="s">
        <v>497</v>
      </c>
      <c r="B59" s="133" t="s">
        <v>465</v>
      </c>
      <c r="C59" s="134"/>
      <c r="D59" s="135"/>
    </row>
    <row r="60" spans="1:4" ht="15" customHeight="1" x14ac:dyDescent="0.25">
      <c r="A60" s="59" t="s">
        <v>498</v>
      </c>
      <c r="B60" s="133" t="s">
        <v>467</v>
      </c>
      <c r="C60" s="134"/>
      <c r="D60" s="135"/>
    </row>
    <row r="61" spans="1:4" ht="15" customHeight="1" x14ac:dyDescent="0.25">
      <c r="A61" s="59" t="s">
        <v>499</v>
      </c>
      <c r="B61" s="133" t="s">
        <v>465</v>
      </c>
      <c r="C61" s="134"/>
      <c r="D61" s="135"/>
    </row>
    <row r="62" spans="1:4" ht="15" customHeight="1" x14ac:dyDescent="0.25">
      <c r="A62" s="59" t="s">
        <v>500</v>
      </c>
      <c r="B62" s="133" t="s">
        <v>465</v>
      </c>
      <c r="C62" s="134"/>
      <c r="D62" s="135"/>
    </row>
    <row r="63" spans="1:4" ht="15" customHeight="1" x14ac:dyDescent="0.25">
      <c r="A63" s="59" t="s">
        <v>501</v>
      </c>
      <c r="B63" s="133" t="s">
        <v>465</v>
      </c>
      <c r="C63" s="134"/>
      <c r="D63" s="135"/>
    </row>
    <row r="64" spans="1:4" ht="15" customHeight="1" x14ac:dyDescent="0.25">
      <c r="A64" s="59" t="s">
        <v>502</v>
      </c>
      <c r="B64" s="133" t="s">
        <v>467</v>
      </c>
      <c r="C64" s="134"/>
      <c r="D64" s="135"/>
    </row>
    <row r="65" spans="1:4" ht="15" customHeight="1" x14ac:dyDescent="0.25">
      <c r="A65" s="59" t="s">
        <v>503</v>
      </c>
      <c r="B65" s="133" t="s">
        <v>465</v>
      </c>
      <c r="C65" s="134"/>
      <c r="D65" s="135"/>
    </row>
    <row r="66" spans="1:4" ht="15" customHeight="1" x14ac:dyDescent="0.25">
      <c r="A66" s="59" t="s">
        <v>475</v>
      </c>
      <c r="B66" s="133" t="s">
        <v>465</v>
      </c>
      <c r="C66" s="134"/>
      <c r="D66" s="135"/>
    </row>
    <row r="67" spans="1:4" ht="15" customHeight="1" x14ac:dyDescent="0.25">
      <c r="A67" s="59" t="s">
        <v>504</v>
      </c>
      <c r="B67" s="133" t="s">
        <v>465</v>
      </c>
      <c r="C67" s="134"/>
      <c r="D67" s="135"/>
    </row>
    <row r="68" spans="1:4" ht="15" customHeight="1" x14ac:dyDescent="0.25">
      <c r="A68" s="59" t="s">
        <v>505</v>
      </c>
      <c r="B68" s="133" t="s">
        <v>465</v>
      </c>
      <c r="C68" s="134"/>
      <c r="D68" s="135"/>
    </row>
    <row r="69" spans="1:4" ht="15" customHeight="1" x14ac:dyDescent="0.25">
      <c r="A69" s="59" t="s">
        <v>506</v>
      </c>
      <c r="B69" s="133" t="s">
        <v>465</v>
      </c>
      <c r="C69" s="134"/>
      <c r="D69" s="135"/>
    </row>
    <row r="70" spans="1:4" ht="15" customHeight="1" x14ac:dyDescent="0.25">
      <c r="A70" s="59" t="s">
        <v>507</v>
      </c>
      <c r="B70" s="133" t="s">
        <v>465</v>
      </c>
      <c r="C70" s="134"/>
      <c r="D70" s="135"/>
    </row>
    <row r="71" spans="1:4" ht="15" customHeight="1" x14ac:dyDescent="0.25">
      <c r="A71" s="59" t="s">
        <v>492</v>
      </c>
      <c r="B71" s="133" t="s">
        <v>465</v>
      </c>
      <c r="C71" s="134"/>
      <c r="D71" s="135"/>
    </row>
    <row r="72" spans="1:4" ht="15" customHeight="1" x14ac:dyDescent="0.25">
      <c r="A72" s="59" t="s">
        <v>464</v>
      </c>
      <c r="B72" s="133" t="s">
        <v>474</v>
      </c>
      <c r="C72" s="134"/>
      <c r="D72" s="135"/>
    </row>
    <row r="73" spans="1:4" ht="15" customHeight="1" x14ac:dyDescent="0.25">
      <c r="A73" s="59" t="s">
        <v>491</v>
      </c>
      <c r="B73" s="133" t="s">
        <v>474</v>
      </c>
      <c r="C73" s="134"/>
      <c r="D73" s="135"/>
    </row>
    <row r="74" spans="1:4" ht="15" customHeight="1" x14ac:dyDescent="0.25">
      <c r="A74" s="59" t="s">
        <v>508</v>
      </c>
      <c r="B74" s="133" t="s">
        <v>479</v>
      </c>
      <c r="C74" s="134"/>
      <c r="D74" s="135"/>
    </row>
    <row r="75" spans="1:4" ht="15" customHeight="1" x14ac:dyDescent="0.25">
      <c r="A75" s="59" t="s">
        <v>509</v>
      </c>
      <c r="B75" s="133" t="s">
        <v>510</v>
      </c>
      <c r="C75" s="134"/>
      <c r="D75" s="135"/>
    </row>
    <row r="77" spans="1:4" ht="21.75" customHeight="1" x14ac:dyDescent="0.25">
      <c r="A77" s="130" t="s">
        <v>511</v>
      </c>
      <c r="B77" s="93"/>
      <c r="C77" s="93"/>
      <c r="D77" s="93"/>
    </row>
    <row r="78" spans="1:4" ht="18" customHeight="1" x14ac:dyDescent="0.25">
      <c r="A78" s="137" t="s">
        <v>512</v>
      </c>
      <c r="B78" s="93"/>
      <c r="C78" s="93"/>
      <c r="D78" s="93"/>
    </row>
    <row r="79" spans="1:4" ht="15" customHeight="1" x14ac:dyDescent="0.25">
      <c r="A79" s="48" t="s">
        <v>459</v>
      </c>
      <c r="B79" s="70">
        <v>0.25</v>
      </c>
      <c r="C79" s="48" t="s">
        <v>461</v>
      </c>
      <c r="D79" s="69">
        <v>99</v>
      </c>
    </row>
    <row r="80" spans="1:4" ht="15" customHeight="1" x14ac:dyDescent="0.25">
      <c r="A80" s="56" t="s">
        <v>462</v>
      </c>
      <c r="B80" s="136" t="s">
        <v>463</v>
      </c>
      <c r="C80" s="134"/>
      <c r="D80" s="135"/>
    </row>
    <row r="81" spans="1:4" ht="15" customHeight="1" x14ac:dyDescent="0.25">
      <c r="A81" s="59" t="s">
        <v>513</v>
      </c>
      <c r="B81" s="133" t="s">
        <v>465</v>
      </c>
      <c r="C81" s="134"/>
      <c r="D81" s="135"/>
    </row>
    <row r="82" spans="1:4" ht="15" customHeight="1" x14ac:dyDescent="0.25">
      <c r="A82" s="59" t="s">
        <v>514</v>
      </c>
      <c r="B82" s="133" t="s">
        <v>465</v>
      </c>
      <c r="C82" s="134"/>
      <c r="D82" s="135"/>
    </row>
    <row r="83" spans="1:4" ht="15" customHeight="1" x14ac:dyDescent="0.25">
      <c r="A83" s="59" t="s">
        <v>515</v>
      </c>
      <c r="B83" s="133" t="s">
        <v>465</v>
      </c>
      <c r="C83" s="134"/>
      <c r="D83" s="135"/>
    </row>
    <row r="84" spans="1:4" ht="15" customHeight="1" x14ac:dyDescent="0.25">
      <c r="A84" s="59" t="s">
        <v>516</v>
      </c>
      <c r="B84" s="133" t="s">
        <v>465</v>
      </c>
      <c r="C84" s="134"/>
      <c r="D84" s="135"/>
    </row>
    <row r="85" spans="1:4" ht="15" customHeight="1" x14ac:dyDescent="0.25">
      <c r="A85" s="59" t="s">
        <v>517</v>
      </c>
      <c r="B85" s="133" t="s">
        <v>465</v>
      </c>
      <c r="C85" s="134"/>
      <c r="D85" s="135"/>
    </row>
    <row r="86" spans="1:4" ht="15" customHeight="1" x14ac:dyDescent="0.25">
      <c r="A86" s="59" t="s">
        <v>518</v>
      </c>
      <c r="B86" s="133" t="s">
        <v>465</v>
      </c>
      <c r="C86" s="134"/>
      <c r="D86" s="135"/>
    </row>
    <row r="87" spans="1:4" ht="15" customHeight="1" x14ac:dyDescent="0.25">
      <c r="A87" s="59" t="s">
        <v>519</v>
      </c>
      <c r="B87" s="133" t="s">
        <v>465</v>
      </c>
      <c r="C87" s="134"/>
      <c r="D87" s="135"/>
    </row>
    <row r="88" spans="1:4" ht="15" customHeight="1" x14ac:dyDescent="0.25">
      <c r="A88" s="59" t="s">
        <v>520</v>
      </c>
      <c r="B88" s="133" t="s">
        <v>477</v>
      </c>
      <c r="C88" s="134"/>
      <c r="D88" s="135"/>
    </row>
    <row r="89" spans="1:4" ht="15" customHeight="1" x14ac:dyDescent="0.25">
      <c r="A89" s="59" t="s">
        <v>476</v>
      </c>
      <c r="B89" s="133" t="s">
        <v>477</v>
      </c>
      <c r="C89" s="134"/>
      <c r="D89" s="135"/>
    </row>
    <row r="90" spans="1:4" ht="15" customHeight="1" x14ac:dyDescent="0.25">
      <c r="A90" s="59" t="s">
        <v>521</v>
      </c>
      <c r="B90" s="133" t="s">
        <v>477</v>
      </c>
      <c r="C90" s="134"/>
      <c r="D90" s="135"/>
    </row>
    <row r="91" spans="1:4" ht="15" customHeight="1" x14ac:dyDescent="0.25">
      <c r="A91" s="59" t="s">
        <v>522</v>
      </c>
      <c r="B91" s="133" t="s">
        <v>477</v>
      </c>
      <c r="C91" s="134"/>
      <c r="D91" s="135"/>
    </row>
    <row r="92" spans="1:4" ht="15" customHeight="1" x14ac:dyDescent="0.25">
      <c r="A92" s="59" t="s">
        <v>523</v>
      </c>
      <c r="B92" s="133" t="s">
        <v>510</v>
      </c>
      <c r="C92" s="134"/>
      <c r="D92" s="135"/>
    </row>
    <row r="94" spans="1:4" ht="21.75" customHeight="1" x14ac:dyDescent="0.25">
      <c r="A94" s="130" t="s">
        <v>524</v>
      </c>
      <c r="B94" s="93"/>
      <c r="C94" s="93"/>
      <c r="D94" s="93"/>
    </row>
    <row r="95" spans="1:4" ht="18" customHeight="1" x14ac:dyDescent="0.25">
      <c r="A95" s="137" t="s">
        <v>525</v>
      </c>
      <c r="B95" s="93"/>
      <c r="C95" s="93"/>
      <c r="D95" s="93"/>
    </row>
    <row r="96" spans="1:4" ht="15" customHeight="1" x14ac:dyDescent="0.25">
      <c r="A96" s="48" t="s">
        <v>459</v>
      </c>
      <c r="B96" s="70">
        <v>0.3</v>
      </c>
      <c r="C96" s="48" t="s">
        <v>461</v>
      </c>
      <c r="D96" s="69">
        <v>99</v>
      </c>
    </row>
    <row r="97" spans="1:4" ht="15" customHeight="1" x14ac:dyDescent="0.25">
      <c r="A97" s="56" t="s">
        <v>462</v>
      </c>
      <c r="B97" s="136" t="s">
        <v>463</v>
      </c>
      <c r="C97" s="134"/>
      <c r="D97" s="135"/>
    </row>
    <row r="98" spans="1:4" ht="15" customHeight="1" x14ac:dyDescent="0.25">
      <c r="A98" s="59" t="s">
        <v>526</v>
      </c>
      <c r="B98" s="133" t="s">
        <v>527</v>
      </c>
      <c r="C98" s="134"/>
      <c r="D98" s="135"/>
    </row>
    <row r="99" spans="1:4" ht="15" customHeight="1" x14ac:dyDescent="0.25">
      <c r="A99" s="59" t="s">
        <v>528</v>
      </c>
      <c r="B99" s="133" t="s">
        <v>527</v>
      </c>
      <c r="C99" s="134"/>
      <c r="D99" s="135"/>
    </row>
    <row r="100" spans="1:4" ht="15" customHeight="1" x14ac:dyDescent="0.25">
      <c r="A100" s="59" t="s">
        <v>529</v>
      </c>
      <c r="B100" s="133" t="s">
        <v>527</v>
      </c>
      <c r="C100" s="134"/>
      <c r="D100" s="135"/>
    </row>
    <row r="102" spans="1:4" ht="21.75" customHeight="1" x14ac:dyDescent="0.25">
      <c r="A102" s="130" t="s">
        <v>530</v>
      </c>
      <c r="B102" s="93"/>
      <c r="C102" s="93"/>
      <c r="D102" s="93"/>
    </row>
    <row r="103" spans="1:4" ht="18" customHeight="1" x14ac:dyDescent="0.25">
      <c r="A103" s="137" t="s">
        <v>531</v>
      </c>
      <c r="B103" s="93"/>
      <c r="C103" s="93"/>
      <c r="D103" s="93"/>
    </row>
    <row r="104" spans="1:4" ht="15" customHeight="1" x14ac:dyDescent="0.25">
      <c r="A104" s="48" t="s">
        <v>459</v>
      </c>
      <c r="B104" s="70">
        <v>0.2</v>
      </c>
      <c r="C104" s="48" t="s">
        <v>461</v>
      </c>
      <c r="D104" s="69">
        <v>275</v>
      </c>
    </row>
    <row r="105" spans="1:4" ht="15" customHeight="1" x14ac:dyDescent="0.25">
      <c r="A105" s="56" t="s">
        <v>462</v>
      </c>
      <c r="B105" s="136" t="s">
        <v>463</v>
      </c>
      <c r="C105" s="134"/>
      <c r="D105" s="135"/>
    </row>
    <row r="106" spans="1:4" ht="15" customHeight="1" x14ac:dyDescent="0.25">
      <c r="A106" s="59" t="s">
        <v>484</v>
      </c>
      <c r="B106" s="133" t="s">
        <v>467</v>
      </c>
      <c r="C106" s="134"/>
      <c r="D106" s="135"/>
    </row>
    <row r="107" spans="1:4" ht="15" customHeight="1" x14ac:dyDescent="0.25">
      <c r="A107" s="59" t="s">
        <v>485</v>
      </c>
      <c r="B107" s="133" t="s">
        <v>467</v>
      </c>
      <c r="C107" s="134"/>
      <c r="D107" s="135"/>
    </row>
    <row r="108" spans="1:4" ht="15" customHeight="1" x14ac:dyDescent="0.25">
      <c r="A108" s="59" t="s">
        <v>486</v>
      </c>
      <c r="B108" s="133" t="s">
        <v>467</v>
      </c>
      <c r="C108" s="134"/>
      <c r="D108" s="135"/>
    </row>
    <row r="109" spans="1:4" ht="15" customHeight="1" x14ac:dyDescent="0.25">
      <c r="A109" s="59" t="s">
        <v>487</v>
      </c>
      <c r="B109" s="133" t="s">
        <v>467</v>
      </c>
      <c r="C109" s="134"/>
      <c r="D109" s="135"/>
    </row>
    <row r="110" spans="1:4" ht="15" customHeight="1" x14ac:dyDescent="0.25">
      <c r="A110" s="59" t="s">
        <v>488</v>
      </c>
      <c r="B110" s="133" t="s">
        <v>467</v>
      </c>
      <c r="C110" s="134"/>
      <c r="D110" s="135"/>
    </row>
    <row r="111" spans="1:4" ht="15" customHeight="1" x14ac:dyDescent="0.25">
      <c r="A111" s="59" t="s">
        <v>489</v>
      </c>
      <c r="B111" s="133" t="s">
        <v>467</v>
      </c>
      <c r="C111" s="134"/>
      <c r="D111" s="135"/>
    </row>
    <row r="112" spans="1:4" ht="15" customHeight="1" x14ac:dyDescent="0.25">
      <c r="A112" s="59" t="s">
        <v>490</v>
      </c>
      <c r="B112" s="133" t="s">
        <v>467</v>
      </c>
      <c r="C112" s="134"/>
      <c r="D112" s="135"/>
    </row>
    <row r="113" spans="1:4" ht="15" customHeight="1" x14ac:dyDescent="0.25">
      <c r="A113" s="59" t="s">
        <v>491</v>
      </c>
      <c r="B113" s="133" t="s">
        <v>467</v>
      </c>
      <c r="C113" s="134"/>
      <c r="D113" s="135"/>
    </row>
    <row r="114" spans="1:4" ht="15" customHeight="1" x14ac:dyDescent="0.25">
      <c r="A114" s="59" t="s">
        <v>478</v>
      </c>
      <c r="B114" s="133" t="s">
        <v>467</v>
      </c>
      <c r="C114" s="134"/>
      <c r="D114" s="135"/>
    </row>
    <row r="115" spans="1:4" ht="15" customHeight="1" x14ac:dyDescent="0.25">
      <c r="A115" s="59" t="s">
        <v>496</v>
      </c>
      <c r="B115" s="133" t="s">
        <v>465</v>
      </c>
      <c r="C115" s="134"/>
      <c r="D115" s="135"/>
    </row>
    <row r="116" spans="1:4" ht="15" customHeight="1" x14ac:dyDescent="0.25">
      <c r="A116" s="59" t="s">
        <v>497</v>
      </c>
      <c r="B116" s="133" t="s">
        <v>465</v>
      </c>
      <c r="C116" s="134"/>
      <c r="D116" s="135"/>
    </row>
    <row r="117" spans="1:4" ht="15" customHeight="1" x14ac:dyDescent="0.25">
      <c r="A117" s="59" t="s">
        <v>498</v>
      </c>
      <c r="B117" s="133" t="s">
        <v>467</v>
      </c>
      <c r="C117" s="134"/>
      <c r="D117" s="135"/>
    </row>
    <row r="118" spans="1:4" ht="15" customHeight="1" x14ac:dyDescent="0.25">
      <c r="A118" s="59" t="s">
        <v>499</v>
      </c>
      <c r="B118" s="133" t="s">
        <v>532</v>
      </c>
      <c r="C118" s="134"/>
      <c r="D118" s="135"/>
    </row>
    <row r="119" spans="1:4" ht="15" customHeight="1" x14ac:dyDescent="0.25">
      <c r="A119" s="59" t="s">
        <v>500</v>
      </c>
      <c r="B119" s="133" t="s">
        <v>465</v>
      </c>
      <c r="C119" s="134"/>
      <c r="D119" s="135"/>
    </row>
    <row r="120" spans="1:4" ht="15" customHeight="1" x14ac:dyDescent="0.25">
      <c r="A120" s="59" t="s">
        <v>501</v>
      </c>
      <c r="B120" s="133" t="s">
        <v>465</v>
      </c>
      <c r="C120" s="134"/>
      <c r="D120" s="135"/>
    </row>
    <row r="121" spans="1:4" ht="15" customHeight="1" x14ac:dyDescent="0.25">
      <c r="A121" s="59" t="s">
        <v>502</v>
      </c>
      <c r="B121" s="133" t="s">
        <v>467</v>
      </c>
      <c r="C121" s="134"/>
      <c r="D121" s="135"/>
    </row>
    <row r="122" spans="1:4" ht="15" customHeight="1" x14ac:dyDescent="0.25">
      <c r="A122" s="59" t="s">
        <v>503</v>
      </c>
      <c r="B122" s="133" t="s">
        <v>465</v>
      </c>
      <c r="C122" s="134"/>
      <c r="D122" s="135"/>
    </row>
    <row r="123" spans="1:4" ht="15" customHeight="1" x14ac:dyDescent="0.25">
      <c r="A123" s="59" t="s">
        <v>475</v>
      </c>
      <c r="B123" s="133" t="s">
        <v>465</v>
      </c>
      <c r="C123" s="134"/>
      <c r="D123" s="135"/>
    </row>
    <row r="124" spans="1:4" ht="15" customHeight="1" x14ac:dyDescent="0.25">
      <c r="A124" s="59" t="s">
        <v>504</v>
      </c>
      <c r="B124" s="133" t="s">
        <v>465</v>
      </c>
      <c r="C124" s="134"/>
      <c r="D124" s="135"/>
    </row>
    <row r="125" spans="1:4" ht="15" customHeight="1" x14ac:dyDescent="0.25">
      <c r="A125" s="59" t="s">
        <v>505</v>
      </c>
      <c r="B125" s="133" t="s">
        <v>465</v>
      </c>
      <c r="C125" s="134"/>
      <c r="D125" s="135"/>
    </row>
    <row r="126" spans="1:4" ht="15" customHeight="1" x14ac:dyDescent="0.25">
      <c r="A126" s="59" t="s">
        <v>506</v>
      </c>
      <c r="B126" s="133" t="s">
        <v>465</v>
      </c>
      <c r="C126" s="134"/>
      <c r="D126" s="135"/>
    </row>
    <row r="127" spans="1:4" ht="15" customHeight="1" x14ac:dyDescent="0.25">
      <c r="A127" s="59" t="s">
        <v>507</v>
      </c>
      <c r="B127" s="133" t="s">
        <v>465</v>
      </c>
      <c r="C127" s="134"/>
      <c r="D127" s="135"/>
    </row>
    <row r="128" spans="1:4" ht="15" customHeight="1" x14ac:dyDescent="0.25">
      <c r="A128" s="59" t="s">
        <v>492</v>
      </c>
      <c r="B128" s="133" t="s">
        <v>467</v>
      </c>
      <c r="C128" s="134"/>
      <c r="D128" s="135"/>
    </row>
    <row r="129" spans="1:4" ht="15" customHeight="1" x14ac:dyDescent="0.25">
      <c r="A129" s="59" t="s">
        <v>513</v>
      </c>
      <c r="B129" s="133" t="s">
        <v>465</v>
      </c>
      <c r="C129" s="134"/>
      <c r="D129" s="135"/>
    </row>
    <row r="130" spans="1:4" ht="15" customHeight="1" x14ac:dyDescent="0.25">
      <c r="A130" s="59" t="s">
        <v>514</v>
      </c>
      <c r="B130" s="133" t="s">
        <v>465</v>
      </c>
      <c r="C130" s="134"/>
      <c r="D130" s="135"/>
    </row>
    <row r="131" spans="1:4" ht="15" customHeight="1" x14ac:dyDescent="0.25">
      <c r="A131" s="59" t="s">
        <v>515</v>
      </c>
      <c r="B131" s="133" t="s">
        <v>465</v>
      </c>
      <c r="C131" s="134"/>
      <c r="D131" s="135"/>
    </row>
    <row r="132" spans="1:4" ht="15" customHeight="1" x14ac:dyDescent="0.25">
      <c r="A132" s="59" t="s">
        <v>516</v>
      </c>
      <c r="B132" s="133" t="s">
        <v>465</v>
      </c>
      <c r="C132" s="134"/>
      <c r="D132" s="135"/>
    </row>
    <row r="133" spans="1:4" ht="15" customHeight="1" x14ac:dyDescent="0.25">
      <c r="A133" s="59" t="s">
        <v>517</v>
      </c>
      <c r="B133" s="133" t="s">
        <v>465</v>
      </c>
      <c r="C133" s="134"/>
      <c r="D133" s="135"/>
    </row>
    <row r="134" spans="1:4" ht="15" customHeight="1" x14ac:dyDescent="0.25">
      <c r="A134" s="59" t="s">
        <v>518</v>
      </c>
      <c r="B134" s="133" t="s">
        <v>465</v>
      </c>
      <c r="C134" s="134"/>
      <c r="D134" s="135"/>
    </row>
    <row r="135" spans="1:4" ht="15" customHeight="1" x14ac:dyDescent="0.25">
      <c r="A135" s="59" t="s">
        <v>519</v>
      </c>
      <c r="B135" s="133" t="s">
        <v>465</v>
      </c>
      <c r="C135" s="134"/>
      <c r="D135" s="135"/>
    </row>
    <row r="136" spans="1:4" ht="15" customHeight="1" x14ac:dyDescent="0.25">
      <c r="A136" s="59" t="s">
        <v>533</v>
      </c>
      <c r="B136" s="133" t="s">
        <v>474</v>
      </c>
      <c r="C136" s="134"/>
      <c r="D136" s="135"/>
    </row>
    <row r="137" spans="1:4" ht="15" customHeight="1" x14ac:dyDescent="0.25">
      <c r="A137" s="59" t="s">
        <v>473</v>
      </c>
      <c r="B137" s="133" t="s">
        <v>474</v>
      </c>
      <c r="C137" s="134"/>
      <c r="D137" s="135"/>
    </row>
    <row r="138" spans="1:4" ht="15" customHeight="1" x14ac:dyDescent="0.25">
      <c r="A138" s="59" t="s">
        <v>468</v>
      </c>
      <c r="B138" s="133" t="s">
        <v>474</v>
      </c>
      <c r="C138" s="134"/>
      <c r="D138" s="135"/>
    </row>
    <row r="139" spans="1:4" ht="15" customHeight="1" x14ac:dyDescent="0.25">
      <c r="A139" s="59" t="s">
        <v>469</v>
      </c>
      <c r="B139" s="133" t="s">
        <v>474</v>
      </c>
      <c r="C139" s="134"/>
      <c r="D139" s="135"/>
    </row>
    <row r="140" spans="1:4" ht="15" customHeight="1" x14ac:dyDescent="0.25">
      <c r="A140" s="59" t="s">
        <v>471</v>
      </c>
      <c r="B140" s="133" t="s">
        <v>474</v>
      </c>
      <c r="C140" s="134"/>
      <c r="D140" s="135"/>
    </row>
    <row r="141" spans="1:4" ht="15" customHeight="1" x14ac:dyDescent="0.25">
      <c r="A141" s="59" t="s">
        <v>472</v>
      </c>
      <c r="B141" s="133" t="s">
        <v>474</v>
      </c>
      <c r="C141" s="134"/>
      <c r="D141" s="135"/>
    </row>
    <row r="142" spans="1:4" ht="15" customHeight="1" x14ac:dyDescent="0.25">
      <c r="A142" s="59" t="s">
        <v>464</v>
      </c>
      <c r="B142" s="133" t="s">
        <v>474</v>
      </c>
      <c r="C142" s="134"/>
      <c r="D142" s="135"/>
    </row>
    <row r="143" spans="1:4" ht="15" customHeight="1" x14ac:dyDescent="0.25">
      <c r="A143" s="59" t="s">
        <v>534</v>
      </c>
      <c r="B143" s="133" t="s">
        <v>474</v>
      </c>
      <c r="C143" s="134"/>
      <c r="D143" s="135"/>
    </row>
    <row r="144" spans="1:4" ht="15" customHeight="1" x14ac:dyDescent="0.25">
      <c r="A144" s="59" t="s">
        <v>493</v>
      </c>
      <c r="B144" s="133" t="s">
        <v>477</v>
      </c>
      <c r="C144" s="134"/>
      <c r="D144" s="135"/>
    </row>
    <row r="145" spans="1:4" ht="15" customHeight="1" x14ac:dyDescent="0.25">
      <c r="A145" s="59" t="s">
        <v>520</v>
      </c>
      <c r="B145" s="133" t="s">
        <v>477</v>
      </c>
      <c r="C145" s="134"/>
      <c r="D145" s="135"/>
    </row>
    <row r="146" spans="1:4" ht="15" customHeight="1" x14ac:dyDescent="0.25">
      <c r="A146" s="59" t="s">
        <v>476</v>
      </c>
      <c r="B146" s="133" t="s">
        <v>477</v>
      </c>
      <c r="C146" s="134"/>
      <c r="D146" s="135"/>
    </row>
    <row r="147" spans="1:4" ht="15" customHeight="1" x14ac:dyDescent="0.25">
      <c r="A147" s="59" t="s">
        <v>521</v>
      </c>
      <c r="B147" s="133" t="s">
        <v>477</v>
      </c>
      <c r="C147" s="134"/>
      <c r="D147" s="135"/>
    </row>
    <row r="148" spans="1:4" ht="15" customHeight="1" x14ac:dyDescent="0.25">
      <c r="A148" s="59" t="s">
        <v>522</v>
      </c>
      <c r="B148" s="133" t="s">
        <v>477</v>
      </c>
      <c r="C148" s="134"/>
      <c r="D148" s="135"/>
    </row>
    <row r="149" spans="1:4" ht="15" customHeight="1" x14ac:dyDescent="0.25">
      <c r="A149" s="59" t="s">
        <v>508</v>
      </c>
      <c r="B149" s="133" t="s">
        <v>479</v>
      </c>
      <c r="C149" s="134"/>
      <c r="D149" s="135"/>
    </row>
    <row r="150" spans="1:4" ht="15" customHeight="1" x14ac:dyDescent="0.25">
      <c r="A150" s="59" t="s">
        <v>470</v>
      </c>
      <c r="B150" s="133" t="s">
        <v>479</v>
      </c>
      <c r="C150" s="134"/>
      <c r="D150" s="135"/>
    </row>
    <row r="151" spans="1:4" ht="15" customHeight="1" x14ac:dyDescent="0.25">
      <c r="A151" s="59" t="s">
        <v>523</v>
      </c>
      <c r="B151" s="133" t="s">
        <v>510</v>
      </c>
      <c r="C151" s="134"/>
      <c r="D151" s="135"/>
    </row>
    <row r="153" spans="1:4" ht="21.75" customHeight="1" x14ac:dyDescent="0.25">
      <c r="A153" s="130" t="s">
        <v>535</v>
      </c>
      <c r="B153" s="93"/>
      <c r="C153" s="93"/>
      <c r="D153" s="93"/>
    </row>
    <row r="154" spans="1:4" ht="18" customHeight="1" x14ac:dyDescent="0.25">
      <c r="A154" s="137" t="s">
        <v>536</v>
      </c>
      <c r="B154" s="93"/>
      <c r="C154" s="93"/>
      <c r="D154" s="93"/>
    </row>
    <row r="155" spans="1:4" ht="15" customHeight="1" x14ac:dyDescent="0.25">
      <c r="A155" s="48" t="s">
        <v>459</v>
      </c>
      <c r="B155" s="70">
        <v>0.25</v>
      </c>
      <c r="C155" s="48" t="s">
        <v>461</v>
      </c>
      <c r="D155" s="69">
        <v>275</v>
      </c>
    </row>
    <row r="156" spans="1:4" ht="15" customHeight="1" x14ac:dyDescent="0.25">
      <c r="A156" s="56" t="s">
        <v>462</v>
      </c>
      <c r="B156" s="136" t="s">
        <v>463</v>
      </c>
      <c r="C156" s="134"/>
      <c r="D156" s="135"/>
    </row>
    <row r="157" spans="1:4" ht="15" customHeight="1" x14ac:dyDescent="0.25">
      <c r="A157" s="59" t="s">
        <v>528</v>
      </c>
      <c r="B157" s="133" t="s">
        <v>527</v>
      </c>
      <c r="C157" s="134"/>
      <c r="D157" s="135"/>
    </row>
    <row r="158" spans="1:4" ht="15" customHeight="1" x14ac:dyDescent="0.25">
      <c r="A158" s="59" t="s">
        <v>529</v>
      </c>
      <c r="B158" s="133" t="s">
        <v>527</v>
      </c>
      <c r="C158" s="134"/>
      <c r="D158" s="135"/>
    </row>
    <row r="159" spans="1:4" ht="15" customHeight="1" x14ac:dyDescent="0.25">
      <c r="A159" s="59" t="s">
        <v>526</v>
      </c>
      <c r="B159" s="133" t="s">
        <v>527</v>
      </c>
      <c r="C159" s="134"/>
      <c r="D159" s="135"/>
    </row>
    <row r="160" spans="1:4" ht="15" customHeight="1" x14ac:dyDescent="0.25">
      <c r="A160" s="59" t="s">
        <v>537</v>
      </c>
      <c r="B160" s="133" t="s">
        <v>510</v>
      </c>
      <c r="C160" s="134"/>
      <c r="D160" s="135"/>
    </row>
    <row r="162" spans="1:4" ht="15" customHeight="1" x14ac:dyDescent="0.25">
      <c r="A162" s="137" t="s">
        <v>538</v>
      </c>
      <c r="B162" s="93"/>
      <c r="C162" s="93"/>
      <c r="D162" s="93"/>
    </row>
  </sheetData>
  <mergeCells count="145">
    <mergeCell ref="B131:D131"/>
    <mergeCell ref="A55:D55"/>
    <mergeCell ref="B27:D27"/>
    <mergeCell ref="B58:D58"/>
    <mergeCell ref="B52:D52"/>
    <mergeCell ref="A95:D95"/>
    <mergeCell ref="B7:D7"/>
    <mergeCell ref="B129:D129"/>
    <mergeCell ref="B16:D16"/>
    <mergeCell ref="B81:D81"/>
    <mergeCell ref="B90:D90"/>
    <mergeCell ref="B121:D121"/>
    <mergeCell ref="B122:D122"/>
    <mergeCell ref="B71:D71"/>
    <mergeCell ref="A3:D3"/>
    <mergeCell ref="B118:D118"/>
    <mergeCell ref="B127:D127"/>
    <mergeCell ref="B40:D40"/>
    <mergeCell ref="B15:D15"/>
    <mergeCell ref="B24:D24"/>
    <mergeCell ref="B64:D64"/>
    <mergeCell ref="B89:D89"/>
    <mergeCell ref="B26:D26"/>
    <mergeCell ref="B97:D97"/>
    <mergeCell ref="B106:D106"/>
    <mergeCell ref="A1:D1"/>
    <mergeCell ref="A94:D94"/>
    <mergeCell ref="A103:D103"/>
    <mergeCell ref="B114:D114"/>
    <mergeCell ref="B63:D63"/>
    <mergeCell ref="B41:D41"/>
    <mergeCell ref="B123:D123"/>
    <mergeCell ref="A78:D78"/>
    <mergeCell ref="B50:D50"/>
    <mergeCell ref="B113:D113"/>
    <mergeCell ref="B91:D91"/>
    <mergeCell ref="B25:D25"/>
    <mergeCell ref="B66:D66"/>
    <mergeCell ref="B22:D22"/>
    <mergeCell ref="B115:D115"/>
    <mergeCell ref="B12:D12"/>
    <mergeCell ref="B86:D86"/>
    <mergeCell ref="B117:D117"/>
    <mergeCell ref="B67:D67"/>
    <mergeCell ref="B61:D61"/>
    <mergeCell ref="A4:D4"/>
    <mergeCell ref="B119:D119"/>
    <mergeCell ref="B116:D116"/>
    <mergeCell ref="B29:D29"/>
    <mergeCell ref="A162:D162"/>
    <mergeCell ref="B126:D126"/>
    <mergeCell ref="B100:D100"/>
    <mergeCell ref="B75:D75"/>
    <mergeCell ref="B109:D109"/>
    <mergeCell ref="B47:D47"/>
    <mergeCell ref="B141:D141"/>
    <mergeCell ref="B59:D59"/>
    <mergeCell ref="B150:D150"/>
    <mergeCell ref="B48:D48"/>
    <mergeCell ref="B136:D136"/>
    <mergeCell ref="B145:D145"/>
    <mergeCell ref="B87:D87"/>
    <mergeCell ref="A102:D102"/>
    <mergeCell ref="B128:D128"/>
    <mergeCell ref="A77:D77"/>
    <mergeCell ref="B49:D49"/>
    <mergeCell ref="B65:D65"/>
    <mergeCell ref="B51:D51"/>
    <mergeCell ref="B138:D138"/>
    <mergeCell ref="B156:D156"/>
    <mergeCell ref="B140:D140"/>
    <mergeCell ref="B149:D149"/>
    <mergeCell ref="B130:D130"/>
    <mergeCell ref="B10:D10"/>
    <mergeCell ref="B137:D137"/>
    <mergeCell ref="B146:D146"/>
    <mergeCell ref="B99:D99"/>
    <mergeCell ref="B9:D9"/>
    <mergeCell ref="B74:D74"/>
    <mergeCell ref="B68:D68"/>
    <mergeCell ref="B83:D83"/>
    <mergeCell ref="B139:D139"/>
    <mergeCell ref="B124:D124"/>
    <mergeCell ref="B36:D36"/>
    <mergeCell ref="B45:D45"/>
    <mergeCell ref="B110:D110"/>
    <mergeCell ref="B85:D85"/>
    <mergeCell ref="B31:D31"/>
    <mergeCell ref="B46:D46"/>
    <mergeCell ref="B39:D39"/>
    <mergeCell ref="B14:D14"/>
    <mergeCell ref="B23:D23"/>
    <mergeCell ref="B13:D13"/>
    <mergeCell ref="A34:D34"/>
    <mergeCell ref="B132:D132"/>
    <mergeCell ref="B69:D69"/>
    <mergeCell ref="B38:D38"/>
    <mergeCell ref="B158:D158"/>
    <mergeCell ref="B6:D6"/>
    <mergeCell ref="B133:D133"/>
    <mergeCell ref="B142:D142"/>
    <mergeCell ref="B80:D80"/>
    <mergeCell ref="B160:D160"/>
    <mergeCell ref="A54:D54"/>
    <mergeCell ref="B135:D135"/>
    <mergeCell ref="B62:D62"/>
    <mergeCell ref="B144:D144"/>
    <mergeCell ref="B125:D125"/>
    <mergeCell ref="B72:D72"/>
    <mergeCell ref="B159:D159"/>
    <mergeCell ref="B134:D134"/>
    <mergeCell ref="A154:D154"/>
    <mergeCell ref="B70:D70"/>
    <mergeCell ref="B105:D105"/>
    <mergeCell ref="A33:D33"/>
    <mergeCell ref="B43:D43"/>
    <mergeCell ref="B111:D111"/>
    <mergeCell ref="B120:D120"/>
    <mergeCell ref="B98:D98"/>
    <mergeCell ref="B107:D107"/>
    <mergeCell ref="B8:D8"/>
    <mergeCell ref="B11:D11"/>
    <mergeCell ref="B42:D42"/>
    <mergeCell ref="B60:D60"/>
    <mergeCell ref="B57:D57"/>
    <mergeCell ref="B148:D148"/>
    <mergeCell ref="A20:D20"/>
    <mergeCell ref="B157:D157"/>
    <mergeCell ref="B44:D44"/>
    <mergeCell ref="B28:D28"/>
    <mergeCell ref="B37:D37"/>
    <mergeCell ref="B108:D108"/>
    <mergeCell ref="B84:D84"/>
    <mergeCell ref="B143:D143"/>
    <mergeCell ref="B92:D92"/>
    <mergeCell ref="B30:D30"/>
    <mergeCell ref="B17:D17"/>
    <mergeCell ref="B73:D73"/>
    <mergeCell ref="B88:D88"/>
    <mergeCell ref="B82:D82"/>
    <mergeCell ref="B147:D147"/>
    <mergeCell ref="A19:D19"/>
    <mergeCell ref="A153:D153"/>
    <mergeCell ref="B151:D151"/>
    <mergeCell ref="B112:D112"/>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S236"/>
  <sheetViews>
    <sheetView zoomScaleNormal="100" workbookViewId="0"/>
  </sheetViews>
  <sheetFormatPr baseColWidth="10" defaultColWidth="8.7109375" defaultRowHeight="15" x14ac:dyDescent="0.25"/>
  <cols>
    <col min="1" max="1" width="60" customWidth="1"/>
    <col min="2" max="2" width="32" customWidth="1"/>
    <col min="3" max="19" width="14" customWidth="1"/>
  </cols>
  <sheetData>
    <row r="1" spans="1:19" ht="15" customHeight="1" x14ac:dyDescent="0.25">
      <c r="A1" s="71" t="s">
        <v>539</v>
      </c>
    </row>
    <row r="2" spans="1:19" ht="15" customHeight="1" x14ac:dyDescent="0.25">
      <c r="A2" s="72" t="s">
        <v>540</v>
      </c>
      <c r="B2" s="72" t="s">
        <v>541</v>
      </c>
      <c r="C2" s="72" t="s">
        <v>542</v>
      </c>
      <c r="D2" s="72" t="s">
        <v>543</v>
      </c>
      <c r="E2" s="72" t="s">
        <v>544</v>
      </c>
      <c r="F2" s="72" t="s">
        <v>545</v>
      </c>
      <c r="G2" s="72" t="s">
        <v>546</v>
      </c>
      <c r="H2" s="72" t="s">
        <v>547</v>
      </c>
      <c r="I2" s="72" t="s">
        <v>548</v>
      </c>
      <c r="J2" s="72" t="s">
        <v>549</v>
      </c>
      <c r="K2" s="72" t="s">
        <v>550</v>
      </c>
      <c r="L2" s="72" t="s">
        <v>551</v>
      </c>
      <c r="M2" s="72" t="s">
        <v>552</v>
      </c>
      <c r="N2" s="72" t="s">
        <v>553</v>
      </c>
      <c r="O2" s="72" t="s">
        <v>554</v>
      </c>
      <c r="P2" s="72" t="s">
        <v>555</v>
      </c>
      <c r="Q2" s="72" t="s">
        <v>556</v>
      </c>
      <c r="R2" s="72" t="s">
        <v>557</v>
      </c>
      <c r="S2" s="72" t="s">
        <v>558</v>
      </c>
    </row>
    <row r="3" spans="1:19" ht="15" customHeight="1" x14ac:dyDescent="0.25">
      <c r="A3" t="s">
        <v>58</v>
      </c>
      <c r="B3" t="s">
        <v>58</v>
      </c>
      <c r="C3">
        <v>600</v>
      </c>
      <c r="D3">
        <v>3500</v>
      </c>
      <c r="E3">
        <v>750</v>
      </c>
      <c r="F3">
        <v>2700</v>
      </c>
      <c r="G3">
        <v>399</v>
      </c>
      <c r="H3">
        <v>1135</v>
      </c>
      <c r="I3">
        <v>1535</v>
      </c>
      <c r="J3">
        <v>2320</v>
      </c>
      <c r="K3" s="73">
        <v>0.04</v>
      </c>
      <c r="L3">
        <v>5</v>
      </c>
      <c r="M3">
        <v>2</v>
      </c>
      <c r="N3">
        <v>28</v>
      </c>
      <c r="O3">
        <v>21</v>
      </c>
      <c r="P3">
        <v>800</v>
      </c>
      <c r="Q3">
        <v>100</v>
      </c>
      <c r="R3">
        <v>750</v>
      </c>
      <c r="S3">
        <v>100</v>
      </c>
    </row>
    <row r="4" spans="1:19" ht="15" customHeight="1" x14ac:dyDescent="0.25">
      <c r="A4" t="s">
        <v>135</v>
      </c>
      <c r="B4" t="s">
        <v>135</v>
      </c>
      <c r="C4">
        <v>1000</v>
      </c>
      <c r="D4">
        <v>5000</v>
      </c>
      <c r="E4">
        <v>750</v>
      </c>
      <c r="F4">
        <v>2700</v>
      </c>
      <c r="G4">
        <v>399</v>
      </c>
      <c r="H4">
        <v>1135</v>
      </c>
      <c r="I4">
        <v>1535</v>
      </c>
      <c r="J4">
        <v>2320</v>
      </c>
      <c r="K4" s="73">
        <v>0.04</v>
      </c>
      <c r="L4">
        <v>5</v>
      </c>
      <c r="M4">
        <v>2</v>
      </c>
      <c r="N4">
        <v>31</v>
      </c>
      <c r="O4">
        <v>21</v>
      </c>
      <c r="P4">
        <v>2000</v>
      </c>
      <c r="Q4">
        <v>100</v>
      </c>
      <c r="R4">
        <v>750</v>
      </c>
      <c r="S4">
        <v>100</v>
      </c>
    </row>
    <row r="5" spans="1:19" ht="15" customHeight="1" x14ac:dyDescent="0.25">
      <c r="A5" t="s">
        <v>137</v>
      </c>
      <c r="B5" t="s">
        <v>137</v>
      </c>
      <c r="C5">
        <v>1200</v>
      </c>
      <c r="D5">
        <v>5000</v>
      </c>
      <c r="E5">
        <v>750</v>
      </c>
      <c r="F5">
        <v>2700</v>
      </c>
      <c r="G5">
        <v>399</v>
      </c>
      <c r="H5">
        <v>1135</v>
      </c>
      <c r="I5">
        <v>1535</v>
      </c>
      <c r="J5">
        <v>2320</v>
      </c>
      <c r="K5" s="73">
        <v>0.04</v>
      </c>
      <c r="L5">
        <v>5</v>
      </c>
      <c r="M5">
        <v>2</v>
      </c>
      <c r="N5">
        <v>36</v>
      </c>
      <c r="O5">
        <v>21</v>
      </c>
      <c r="P5">
        <v>2500</v>
      </c>
      <c r="Q5">
        <v>100</v>
      </c>
      <c r="R5">
        <v>750</v>
      </c>
      <c r="S5">
        <v>100</v>
      </c>
    </row>
    <row r="6" spans="1:19" ht="15" customHeight="1" x14ac:dyDescent="0.25">
      <c r="A6" t="s">
        <v>139</v>
      </c>
      <c r="B6" t="s">
        <v>139</v>
      </c>
      <c r="C6">
        <v>1000</v>
      </c>
      <c r="D6">
        <v>5000</v>
      </c>
      <c r="E6">
        <v>750</v>
      </c>
      <c r="F6">
        <v>2700</v>
      </c>
      <c r="G6">
        <v>399</v>
      </c>
      <c r="H6">
        <v>1135</v>
      </c>
      <c r="I6">
        <v>1535</v>
      </c>
      <c r="J6">
        <v>2320</v>
      </c>
      <c r="K6" s="73">
        <v>0.04</v>
      </c>
      <c r="L6">
        <v>5</v>
      </c>
      <c r="M6">
        <v>2</v>
      </c>
      <c r="N6">
        <v>31</v>
      </c>
      <c r="O6">
        <v>21</v>
      </c>
      <c r="P6">
        <v>2000</v>
      </c>
      <c r="Q6">
        <v>100</v>
      </c>
      <c r="R6">
        <v>750</v>
      </c>
      <c r="S6">
        <v>100</v>
      </c>
    </row>
    <row r="7" spans="1:19" ht="15" customHeight="1" x14ac:dyDescent="0.25">
      <c r="A7" t="s">
        <v>140</v>
      </c>
      <c r="B7" t="s">
        <v>140</v>
      </c>
      <c r="C7">
        <v>4000</v>
      </c>
      <c r="D7">
        <v>6400</v>
      </c>
      <c r="E7">
        <v>750</v>
      </c>
      <c r="F7">
        <v>2700</v>
      </c>
      <c r="G7">
        <v>399</v>
      </c>
      <c r="H7">
        <v>1135</v>
      </c>
      <c r="I7">
        <v>1535</v>
      </c>
      <c r="J7">
        <v>2320</v>
      </c>
      <c r="K7" s="73">
        <v>0.04</v>
      </c>
      <c r="L7">
        <v>5</v>
      </c>
      <c r="M7">
        <v>2</v>
      </c>
      <c r="N7">
        <v>25</v>
      </c>
      <c r="O7">
        <v>21</v>
      </c>
      <c r="P7">
        <v>4000</v>
      </c>
      <c r="Q7">
        <v>100</v>
      </c>
      <c r="R7">
        <v>750</v>
      </c>
      <c r="S7">
        <v>100</v>
      </c>
    </row>
    <row r="8" spans="1:19" ht="15" customHeight="1" x14ac:dyDescent="0.25">
      <c r="A8" t="s">
        <v>142</v>
      </c>
      <c r="B8" t="s">
        <v>142</v>
      </c>
      <c r="C8">
        <v>500</v>
      </c>
      <c r="D8">
        <v>2000</v>
      </c>
      <c r="E8">
        <v>750</v>
      </c>
      <c r="F8">
        <v>2350</v>
      </c>
      <c r="G8">
        <v>399</v>
      </c>
      <c r="H8">
        <v>1135</v>
      </c>
      <c r="I8">
        <v>1535</v>
      </c>
      <c r="J8">
        <v>2320</v>
      </c>
      <c r="K8" s="73">
        <v>0.04</v>
      </c>
      <c r="L8">
        <v>5</v>
      </c>
      <c r="M8">
        <v>2</v>
      </c>
      <c r="N8">
        <v>16</v>
      </c>
      <c r="O8">
        <v>17</v>
      </c>
      <c r="P8">
        <v>500</v>
      </c>
      <c r="Q8">
        <v>100</v>
      </c>
      <c r="R8">
        <v>750</v>
      </c>
      <c r="S8">
        <v>100</v>
      </c>
    </row>
    <row r="9" spans="1:19" ht="15" customHeight="1" x14ac:dyDescent="0.25">
      <c r="A9" t="s">
        <v>144</v>
      </c>
      <c r="B9" t="s">
        <v>144</v>
      </c>
      <c r="C9">
        <v>900</v>
      </c>
      <c r="D9">
        <v>3200</v>
      </c>
      <c r="E9">
        <v>750</v>
      </c>
      <c r="F9">
        <v>2350</v>
      </c>
      <c r="G9">
        <v>399</v>
      </c>
      <c r="H9">
        <v>1135</v>
      </c>
      <c r="I9">
        <v>1535</v>
      </c>
      <c r="J9">
        <v>2320</v>
      </c>
      <c r="K9" s="73">
        <v>0.04</v>
      </c>
      <c r="L9">
        <v>5</v>
      </c>
      <c r="M9">
        <v>2</v>
      </c>
      <c r="N9">
        <v>24</v>
      </c>
      <c r="O9">
        <v>17</v>
      </c>
      <c r="P9">
        <v>900</v>
      </c>
      <c r="Q9">
        <v>100</v>
      </c>
      <c r="R9">
        <v>750</v>
      </c>
      <c r="S9">
        <v>100</v>
      </c>
    </row>
    <row r="10" spans="1:19" ht="15" customHeight="1" x14ac:dyDescent="0.25">
      <c r="A10" t="s">
        <v>146</v>
      </c>
      <c r="B10" t="s">
        <v>146</v>
      </c>
      <c r="C10">
        <v>1000</v>
      </c>
      <c r="D10">
        <v>3300</v>
      </c>
      <c r="E10">
        <v>750</v>
      </c>
      <c r="F10">
        <v>2350</v>
      </c>
      <c r="G10">
        <v>399</v>
      </c>
      <c r="H10">
        <v>1135</v>
      </c>
      <c r="I10">
        <v>1535</v>
      </c>
      <c r="J10">
        <v>2320</v>
      </c>
      <c r="K10" s="73">
        <v>0.04</v>
      </c>
      <c r="L10">
        <v>5</v>
      </c>
      <c r="M10">
        <v>2</v>
      </c>
      <c r="N10">
        <v>24</v>
      </c>
      <c r="O10">
        <v>17</v>
      </c>
      <c r="P10">
        <v>1000</v>
      </c>
      <c r="Q10">
        <v>100</v>
      </c>
      <c r="R10">
        <v>750</v>
      </c>
      <c r="S10">
        <v>100</v>
      </c>
    </row>
    <row r="11" spans="1:19" ht="15" customHeight="1" x14ac:dyDescent="0.25">
      <c r="A11" t="s">
        <v>66</v>
      </c>
      <c r="B11" t="s">
        <v>66</v>
      </c>
      <c r="C11">
        <v>1800</v>
      </c>
      <c r="D11">
        <v>4100</v>
      </c>
      <c r="E11">
        <v>750</v>
      </c>
      <c r="F11">
        <v>2350</v>
      </c>
      <c r="G11">
        <v>399</v>
      </c>
      <c r="H11">
        <v>1135</v>
      </c>
      <c r="I11">
        <v>1535</v>
      </c>
      <c r="J11">
        <v>2320</v>
      </c>
      <c r="K11" s="73">
        <v>0.04</v>
      </c>
      <c r="L11">
        <v>5</v>
      </c>
      <c r="M11">
        <v>2</v>
      </c>
      <c r="N11">
        <v>24</v>
      </c>
      <c r="O11">
        <v>17</v>
      </c>
      <c r="P11">
        <v>1800</v>
      </c>
      <c r="Q11">
        <v>100</v>
      </c>
      <c r="R11">
        <v>750</v>
      </c>
      <c r="S11">
        <v>100</v>
      </c>
    </row>
    <row r="12" spans="1:19" ht="15" customHeight="1" x14ac:dyDescent="0.25">
      <c r="A12" t="s">
        <v>63</v>
      </c>
      <c r="B12" t="s">
        <v>63</v>
      </c>
      <c r="C12">
        <v>300</v>
      </c>
      <c r="D12">
        <v>3000</v>
      </c>
      <c r="E12">
        <v>450</v>
      </c>
      <c r="F12">
        <v>2550</v>
      </c>
      <c r="G12">
        <v>99999</v>
      </c>
      <c r="H12">
        <v>99999</v>
      </c>
      <c r="I12">
        <v>99999</v>
      </c>
      <c r="J12">
        <v>99999</v>
      </c>
      <c r="K12" s="73">
        <v>0</v>
      </c>
      <c r="L12">
        <v>5</v>
      </c>
      <c r="M12">
        <v>2</v>
      </c>
      <c r="N12">
        <v>28</v>
      </c>
      <c r="O12">
        <v>22</v>
      </c>
      <c r="P12">
        <v>300</v>
      </c>
      <c r="Q12">
        <v>100</v>
      </c>
      <c r="R12">
        <v>450</v>
      </c>
      <c r="S12">
        <v>100</v>
      </c>
    </row>
    <row r="13" spans="1:19" ht="15" customHeight="1" x14ac:dyDescent="0.25">
      <c r="A13" t="s">
        <v>67</v>
      </c>
      <c r="B13" t="s">
        <v>67</v>
      </c>
      <c r="C13">
        <v>800</v>
      </c>
      <c r="D13">
        <v>1300</v>
      </c>
      <c r="E13">
        <v>1950</v>
      </c>
      <c r="F13">
        <v>2850</v>
      </c>
      <c r="G13">
        <v>99999</v>
      </c>
      <c r="H13">
        <v>99999</v>
      </c>
      <c r="I13">
        <v>99999</v>
      </c>
      <c r="J13">
        <v>99999</v>
      </c>
      <c r="K13" s="73">
        <v>0</v>
      </c>
      <c r="L13">
        <v>5</v>
      </c>
      <c r="M13">
        <v>2</v>
      </c>
      <c r="N13">
        <v>6</v>
      </c>
      <c r="O13">
        <v>7</v>
      </c>
      <c r="P13">
        <v>800</v>
      </c>
      <c r="Q13">
        <v>100</v>
      </c>
      <c r="R13">
        <v>1950</v>
      </c>
      <c r="S13">
        <v>100</v>
      </c>
    </row>
    <row r="14" spans="1:19" ht="15" customHeight="1" x14ac:dyDescent="0.25">
      <c r="A14" t="s">
        <v>151</v>
      </c>
      <c r="B14" t="s">
        <v>151</v>
      </c>
      <c r="C14">
        <v>1200</v>
      </c>
      <c r="D14">
        <v>2500</v>
      </c>
      <c r="E14">
        <v>1950</v>
      </c>
      <c r="F14">
        <v>2850</v>
      </c>
      <c r="G14">
        <v>99999</v>
      </c>
      <c r="H14">
        <v>99999</v>
      </c>
      <c r="I14">
        <v>99999</v>
      </c>
      <c r="J14">
        <v>99999</v>
      </c>
      <c r="K14" s="73">
        <v>0</v>
      </c>
      <c r="L14">
        <v>5</v>
      </c>
      <c r="M14">
        <v>2</v>
      </c>
      <c r="N14">
        <v>14</v>
      </c>
      <c r="O14">
        <v>7</v>
      </c>
      <c r="P14">
        <v>1200</v>
      </c>
      <c r="Q14">
        <v>100</v>
      </c>
      <c r="R14">
        <v>1950</v>
      </c>
      <c r="S14">
        <v>100</v>
      </c>
    </row>
    <row r="15" spans="1:19" ht="15" customHeight="1" x14ac:dyDescent="0.25">
      <c r="A15" s="74" t="s">
        <v>153</v>
      </c>
      <c r="B15" s="74" t="s">
        <v>153</v>
      </c>
      <c r="C15" s="74">
        <v>400</v>
      </c>
      <c r="D15" s="74">
        <v>1300</v>
      </c>
      <c r="E15" s="74">
        <v>550</v>
      </c>
      <c r="F15" s="74">
        <v>2500</v>
      </c>
      <c r="G15" s="74">
        <v>99999</v>
      </c>
      <c r="H15" s="74">
        <v>99999</v>
      </c>
      <c r="I15" s="74">
        <v>99999</v>
      </c>
      <c r="J15" s="74">
        <v>99999</v>
      </c>
      <c r="K15" s="75">
        <v>0</v>
      </c>
      <c r="L15" s="74">
        <v>5</v>
      </c>
      <c r="M15" s="74">
        <v>2</v>
      </c>
      <c r="N15" s="74">
        <v>10</v>
      </c>
      <c r="O15" s="74">
        <v>21</v>
      </c>
      <c r="P15" s="74">
        <v>400</v>
      </c>
      <c r="Q15" s="74">
        <v>100</v>
      </c>
      <c r="R15" s="74">
        <v>550</v>
      </c>
      <c r="S15" s="74">
        <v>100</v>
      </c>
    </row>
    <row r="16" spans="1:19" ht="15" customHeight="1" x14ac:dyDescent="0.25">
      <c r="A16" s="74" t="s">
        <v>155</v>
      </c>
      <c r="B16" s="74" t="s">
        <v>155</v>
      </c>
      <c r="C16" s="74">
        <v>700</v>
      </c>
      <c r="D16" s="74">
        <v>2400</v>
      </c>
      <c r="E16" s="74">
        <v>550</v>
      </c>
      <c r="F16" s="74">
        <v>2500</v>
      </c>
      <c r="G16" s="74">
        <v>99999</v>
      </c>
      <c r="H16" s="74">
        <v>99999</v>
      </c>
      <c r="I16" s="74">
        <v>99999</v>
      </c>
      <c r="J16" s="74">
        <v>99999</v>
      </c>
      <c r="K16" s="75">
        <v>0</v>
      </c>
      <c r="L16" s="74">
        <v>5</v>
      </c>
      <c r="M16" s="74">
        <v>2</v>
      </c>
      <c r="N16" s="74">
        <v>18</v>
      </c>
      <c r="O16" s="74">
        <v>21</v>
      </c>
      <c r="P16" s="74">
        <v>700</v>
      </c>
      <c r="Q16" s="74">
        <v>100</v>
      </c>
      <c r="R16" s="74">
        <v>550</v>
      </c>
      <c r="S16" s="74">
        <v>100</v>
      </c>
    </row>
    <row r="17" spans="1:19" ht="15" customHeight="1" x14ac:dyDescent="0.25">
      <c r="A17" s="74" t="s">
        <v>157</v>
      </c>
      <c r="B17" s="74" t="s">
        <v>157</v>
      </c>
      <c r="C17" s="74">
        <v>400</v>
      </c>
      <c r="D17" s="74">
        <v>1300</v>
      </c>
      <c r="E17" s="74">
        <v>550</v>
      </c>
      <c r="F17" s="74">
        <v>2500</v>
      </c>
      <c r="G17" s="74">
        <v>99999</v>
      </c>
      <c r="H17" s="74">
        <v>99999</v>
      </c>
      <c r="I17" s="74">
        <v>99999</v>
      </c>
      <c r="J17" s="74">
        <v>99999</v>
      </c>
      <c r="K17" s="75">
        <v>0</v>
      </c>
      <c r="L17" s="74">
        <v>5</v>
      </c>
      <c r="M17" s="74">
        <v>2</v>
      </c>
      <c r="N17" s="74">
        <v>10</v>
      </c>
      <c r="O17" s="74">
        <v>21</v>
      </c>
      <c r="P17" s="74">
        <v>400</v>
      </c>
      <c r="Q17" s="74">
        <v>100</v>
      </c>
      <c r="R17" s="74">
        <v>550</v>
      </c>
      <c r="S17" s="74">
        <v>100</v>
      </c>
    </row>
    <row r="18" spans="1:19" ht="15" customHeight="1" x14ac:dyDescent="0.25">
      <c r="A18" s="74" t="s">
        <v>158</v>
      </c>
      <c r="B18" s="74" t="s">
        <v>158</v>
      </c>
      <c r="C18" s="74">
        <v>700</v>
      </c>
      <c r="D18" s="74">
        <v>2400</v>
      </c>
      <c r="E18" s="74">
        <v>550</v>
      </c>
      <c r="F18" s="74">
        <v>2500</v>
      </c>
      <c r="G18" s="74">
        <v>99999</v>
      </c>
      <c r="H18" s="74">
        <v>99999</v>
      </c>
      <c r="I18" s="74">
        <v>99999</v>
      </c>
      <c r="J18" s="74">
        <v>99999</v>
      </c>
      <c r="K18" s="75">
        <v>0</v>
      </c>
      <c r="L18" s="74">
        <v>5</v>
      </c>
      <c r="M18" s="74">
        <v>2</v>
      </c>
      <c r="N18" s="74">
        <v>18</v>
      </c>
      <c r="O18" s="74">
        <v>21</v>
      </c>
      <c r="P18" s="74">
        <v>700</v>
      </c>
      <c r="Q18" s="74">
        <v>100</v>
      </c>
      <c r="R18" s="74">
        <v>550</v>
      </c>
      <c r="S18" s="74">
        <v>100</v>
      </c>
    </row>
    <row r="19" spans="1:19" ht="15" customHeight="1" x14ac:dyDescent="0.25">
      <c r="A19" s="71" t="s">
        <v>559</v>
      </c>
    </row>
    <row r="20" spans="1:19" ht="15" customHeight="1" x14ac:dyDescent="0.25">
      <c r="A20" s="72" t="s">
        <v>560</v>
      </c>
      <c r="B20" s="72" t="s">
        <v>561</v>
      </c>
      <c r="C20" s="72" t="s">
        <v>562</v>
      </c>
    </row>
    <row r="21" spans="1:19" ht="15" customHeight="1" x14ac:dyDescent="0.25">
      <c r="A21" t="s">
        <v>59</v>
      </c>
      <c r="B21" s="73">
        <v>0</v>
      </c>
      <c r="C21" s="76">
        <v>0</v>
      </c>
    </row>
    <row r="22" spans="1:19" ht="15" customHeight="1" x14ac:dyDescent="0.25">
      <c r="A22" t="s">
        <v>563</v>
      </c>
      <c r="B22" s="73">
        <v>0</v>
      </c>
      <c r="C22" s="76">
        <v>0</v>
      </c>
    </row>
    <row r="23" spans="1:19" ht="15" customHeight="1" x14ac:dyDescent="0.25">
      <c r="A23" t="s">
        <v>564</v>
      </c>
      <c r="B23" s="73">
        <v>0</v>
      </c>
      <c r="C23" s="76">
        <v>99</v>
      </c>
    </row>
    <row r="24" spans="1:19" ht="15" customHeight="1" x14ac:dyDescent="0.25">
      <c r="A24" t="s">
        <v>565</v>
      </c>
      <c r="B24" s="73">
        <v>0.1</v>
      </c>
      <c r="C24" s="76">
        <v>99</v>
      </c>
    </row>
    <row r="25" spans="1:19" ht="15" customHeight="1" x14ac:dyDescent="0.25">
      <c r="A25" t="s">
        <v>566</v>
      </c>
      <c r="B25" s="73">
        <v>0.25</v>
      </c>
      <c r="C25" s="76">
        <v>99</v>
      </c>
    </row>
    <row r="26" spans="1:19" ht="15" customHeight="1" x14ac:dyDescent="0.25">
      <c r="A26" t="s">
        <v>567</v>
      </c>
      <c r="B26" s="73">
        <v>0.3</v>
      </c>
      <c r="C26" s="76">
        <v>99</v>
      </c>
    </row>
    <row r="27" spans="1:19" ht="15" customHeight="1" x14ac:dyDescent="0.25">
      <c r="A27" t="s">
        <v>568</v>
      </c>
      <c r="B27" s="73">
        <v>0.2</v>
      </c>
      <c r="C27" s="76">
        <v>275</v>
      </c>
    </row>
    <row r="28" spans="1:19" ht="15" customHeight="1" x14ac:dyDescent="0.25">
      <c r="A28" t="s">
        <v>569</v>
      </c>
      <c r="B28" s="73">
        <v>0.25</v>
      </c>
      <c r="C28" s="76">
        <v>275</v>
      </c>
    </row>
    <row r="29" spans="1:19" ht="15" customHeight="1" x14ac:dyDescent="0.25"/>
    <row r="30" spans="1:19" ht="15" customHeight="1" x14ac:dyDescent="0.25"/>
    <row r="31" spans="1:19" ht="15" customHeight="1" x14ac:dyDescent="0.25">
      <c r="A31" s="71" t="s">
        <v>570</v>
      </c>
    </row>
    <row r="32" spans="1:19" ht="15" customHeight="1" x14ac:dyDescent="0.25">
      <c r="A32" s="72" t="s">
        <v>571</v>
      </c>
      <c r="B32" s="72" t="s">
        <v>244</v>
      </c>
      <c r="C32" s="72" t="s">
        <v>572</v>
      </c>
    </row>
    <row r="33" spans="1:3" ht="15" customHeight="1" x14ac:dyDescent="0.25">
      <c r="A33" t="s">
        <v>61</v>
      </c>
      <c r="B33" s="77">
        <v>0</v>
      </c>
      <c r="C33" s="73">
        <v>0</v>
      </c>
    </row>
    <row r="34" spans="1:3" ht="15" customHeight="1" x14ac:dyDescent="0.25">
      <c r="A34" t="s">
        <v>65</v>
      </c>
      <c r="B34" s="77">
        <v>25</v>
      </c>
      <c r="C34" s="73">
        <v>0</v>
      </c>
    </row>
    <row r="35" spans="1:3" ht="15" customHeight="1" x14ac:dyDescent="0.25">
      <c r="A35" t="s">
        <v>573</v>
      </c>
      <c r="B35" s="77">
        <v>26</v>
      </c>
      <c r="C35" s="73">
        <v>0</v>
      </c>
    </row>
    <row r="36" spans="1:3" ht="15" customHeight="1" x14ac:dyDescent="0.25">
      <c r="A36" t="s">
        <v>574</v>
      </c>
      <c r="B36" s="77">
        <v>30</v>
      </c>
      <c r="C36" s="73">
        <v>0</v>
      </c>
    </row>
    <row r="37" spans="1:3" ht="15" customHeight="1" x14ac:dyDescent="0.25">
      <c r="A37" t="s">
        <v>575</v>
      </c>
      <c r="B37" s="77">
        <v>31</v>
      </c>
      <c r="C37" s="73">
        <v>0</v>
      </c>
    </row>
    <row r="38" spans="1:3" ht="15" customHeight="1" x14ac:dyDescent="0.25">
      <c r="A38" t="s">
        <v>576</v>
      </c>
      <c r="B38" s="77">
        <v>0</v>
      </c>
      <c r="C38" s="73">
        <v>0</v>
      </c>
    </row>
    <row r="39" spans="1:3" ht="15" customHeight="1" x14ac:dyDescent="0.25">
      <c r="A39" t="s">
        <v>577</v>
      </c>
      <c r="B39" s="77">
        <v>0</v>
      </c>
      <c r="C39" s="73">
        <v>0</v>
      </c>
    </row>
    <row r="40" spans="1:3" ht="15" customHeight="1" x14ac:dyDescent="0.25">
      <c r="A40" t="s">
        <v>578</v>
      </c>
      <c r="B40" s="77">
        <v>18</v>
      </c>
      <c r="C40" s="73">
        <v>0</v>
      </c>
    </row>
    <row r="41" spans="1:3" ht="15" customHeight="1" x14ac:dyDescent="0.25">
      <c r="A41" t="s">
        <v>579</v>
      </c>
      <c r="B41" s="77">
        <v>18</v>
      </c>
      <c r="C41" s="73">
        <v>0</v>
      </c>
    </row>
    <row r="42" spans="1:3" ht="15" customHeight="1" x14ac:dyDescent="0.25">
      <c r="A42" t="s">
        <v>580</v>
      </c>
      <c r="B42" s="77">
        <v>25</v>
      </c>
      <c r="C42" s="73">
        <v>0</v>
      </c>
    </row>
    <row r="43" spans="1:3" ht="15" customHeight="1" x14ac:dyDescent="0.25">
      <c r="A43" t="s">
        <v>581</v>
      </c>
      <c r="B43" s="77">
        <v>25</v>
      </c>
      <c r="C43" s="73">
        <v>0</v>
      </c>
    </row>
    <row r="44" spans="1:3" ht="15" customHeight="1" x14ac:dyDescent="0.25"/>
    <row r="45" spans="1:3" ht="15" customHeight="1" x14ac:dyDescent="0.25"/>
    <row r="46" spans="1:3" ht="15" customHeight="1" x14ac:dyDescent="0.25">
      <c r="A46" s="71" t="s">
        <v>582</v>
      </c>
    </row>
    <row r="47" spans="1:3" ht="15" customHeight="1" x14ac:dyDescent="0.25">
      <c r="A47" s="72" t="s">
        <v>583</v>
      </c>
      <c r="B47" s="72" t="s">
        <v>232</v>
      </c>
      <c r="C47" s="72" t="s">
        <v>584</v>
      </c>
    </row>
    <row r="48" spans="1:3" ht="15" customHeight="1" x14ac:dyDescent="0.25">
      <c r="A48" t="s">
        <v>60</v>
      </c>
      <c r="B48" s="76">
        <v>0</v>
      </c>
      <c r="C48" t="s">
        <v>585</v>
      </c>
    </row>
    <row r="49" spans="1:3" ht="15" customHeight="1" x14ac:dyDescent="0.25">
      <c r="A49" t="s">
        <v>304</v>
      </c>
      <c r="B49" s="76">
        <v>30</v>
      </c>
      <c r="C49" t="s">
        <v>282</v>
      </c>
    </row>
    <row r="50" spans="1:3" ht="15" customHeight="1" x14ac:dyDescent="0.25">
      <c r="A50" t="s">
        <v>310</v>
      </c>
      <c r="B50" s="76">
        <v>88</v>
      </c>
      <c r="C50" t="s">
        <v>282</v>
      </c>
    </row>
    <row r="51" spans="1:3" ht="15" customHeight="1" x14ac:dyDescent="0.25">
      <c r="A51" t="s">
        <v>322</v>
      </c>
      <c r="B51" s="76">
        <v>29</v>
      </c>
      <c r="C51" t="s">
        <v>320</v>
      </c>
    </row>
    <row r="52" spans="1:3" ht="15" customHeight="1" x14ac:dyDescent="0.25">
      <c r="A52" t="s">
        <v>323</v>
      </c>
      <c r="B52" s="76">
        <v>136</v>
      </c>
      <c r="C52" t="s">
        <v>320</v>
      </c>
    </row>
    <row r="53" spans="1:3" ht="15" customHeight="1" x14ac:dyDescent="0.25">
      <c r="A53" t="s">
        <v>325</v>
      </c>
      <c r="B53" s="76">
        <v>194</v>
      </c>
      <c r="C53" t="s">
        <v>320</v>
      </c>
    </row>
    <row r="54" spans="1:3" ht="15" customHeight="1" x14ac:dyDescent="0.25">
      <c r="A54" t="s">
        <v>327</v>
      </c>
      <c r="B54" s="76">
        <v>146</v>
      </c>
      <c r="C54" t="s">
        <v>320</v>
      </c>
    </row>
    <row r="55" spans="1:3" ht="15" customHeight="1" x14ac:dyDescent="0.25">
      <c r="A55" t="s">
        <v>329</v>
      </c>
      <c r="B55" s="76">
        <v>206</v>
      </c>
      <c r="C55" t="s">
        <v>320</v>
      </c>
    </row>
    <row r="56" spans="1:3" ht="15" customHeight="1" x14ac:dyDescent="0.25">
      <c r="A56" t="s">
        <v>330</v>
      </c>
      <c r="B56" s="76">
        <v>266</v>
      </c>
      <c r="C56" t="s">
        <v>320</v>
      </c>
    </row>
    <row r="57" spans="1:3" ht="15" customHeight="1" x14ac:dyDescent="0.25">
      <c r="A57" t="s">
        <v>332</v>
      </c>
      <c r="B57" s="76">
        <v>258</v>
      </c>
      <c r="C57" t="s">
        <v>320</v>
      </c>
    </row>
    <row r="58" spans="1:3" ht="15" customHeight="1" x14ac:dyDescent="0.25">
      <c r="A58" t="s">
        <v>333</v>
      </c>
      <c r="B58" s="76">
        <v>319</v>
      </c>
      <c r="C58" t="s">
        <v>320</v>
      </c>
    </row>
    <row r="59" spans="1:3" ht="15" customHeight="1" x14ac:dyDescent="0.25">
      <c r="A59" t="s">
        <v>335</v>
      </c>
      <c r="B59" s="76">
        <v>203</v>
      </c>
      <c r="C59" t="s">
        <v>320</v>
      </c>
    </row>
    <row r="60" spans="1:3" ht="15" customHeight="1" x14ac:dyDescent="0.25">
      <c r="A60" t="s">
        <v>336</v>
      </c>
      <c r="B60" s="76">
        <v>262</v>
      </c>
      <c r="C60" t="s">
        <v>320</v>
      </c>
    </row>
    <row r="61" spans="1:3" ht="15" customHeight="1" x14ac:dyDescent="0.25">
      <c r="A61" t="s">
        <v>339</v>
      </c>
      <c r="B61" s="76">
        <v>293</v>
      </c>
      <c r="C61" t="s">
        <v>337</v>
      </c>
    </row>
    <row r="62" spans="1:3" ht="15" customHeight="1" x14ac:dyDescent="0.25">
      <c r="A62" t="s">
        <v>343</v>
      </c>
      <c r="B62" s="76">
        <v>270</v>
      </c>
      <c r="C62" t="s">
        <v>337</v>
      </c>
    </row>
    <row r="63" spans="1:3" ht="15" customHeight="1" x14ac:dyDescent="0.25">
      <c r="A63" t="s">
        <v>345</v>
      </c>
      <c r="B63" s="76">
        <v>206</v>
      </c>
      <c r="C63" t="s">
        <v>337</v>
      </c>
    </row>
    <row r="64" spans="1:3" ht="15" customHeight="1" x14ac:dyDescent="0.25">
      <c r="A64" t="s">
        <v>348</v>
      </c>
      <c r="B64" s="76">
        <v>266</v>
      </c>
      <c r="C64" t="s">
        <v>337</v>
      </c>
    </row>
    <row r="65" spans="1:3" ht="15" customHeight="1" x14ac:dyDescent="0.25">
      <c r="A65" t="s">
        <v>350</v>
      </c>
      <c r="B65" s="76">
        <v>284</v>
      </c>
      <c r="C65" t="s">
        <v>337</v>
      </c>
    </row>
    <row r="66" spans="1:3" ht="15" customHeight="1" x14ac:dyDescent="0.25">
      <c r="A66" t="s">
        <v>351</v>
      </c>
      <c r="B66" s="76">
        <v>341</v>
      </c>
      <c r="C66" t="s">
        <v>337</v>
      </c>
    </row>
    <row r="67" spans="1:3" ht="15" customHeight="1" x14ac:dyDescent="0.25">
      <c r="A67" t="s">
        <v>353</v>
      </c>
      <c r="B67" s="76">
        <v>132</v>
      </c>
      <c r="C67" t="s">
        <v>337</v>
      </c>
    </row>
    <row r="68" spans="1:3" ht="15" customHeight="1" x14ac:dyDescent="0.25">
      <c r="A68" t="s">
        <v>358</v>
      </c>
      <c r="B68" s="76">
        <v>191</v>
      </c>
      <c r="C68" t="s">
        <v>337</v>
      </c>
    </row>
    <row r="69" spans="1:3" ht="15" customHeight="1" x14ac:dyDescent="0.25">
      <c r="A69" t="s">
        <v>362</v>
      </c>
      <c r="B69" s="76">
        <v>248</v>
      </c>
      <c r="C69" t="s">
        <v>337</v>
      </c>
    </row>
    <row r="70" spans="1:3" ht="15" customHeight="1" x14ac:dyDescent="0.25">
      <c r="A70" t="s">
        <v>366</v>
      </c>
      <c r="B70" s="76">
        <v>229</v>
      </c>
      <c r="C70" t="s">
        <v>364</v>
      </c>
    </row>
    <row r="71" spans="1:3" ht="15" customHeight="1" x14ac:dyDescent="0.25">
      <c r="A71" t="s">
        <v>368</v>
      </c>
      <c r="B71" s="76">
        <v>289</v>
      </c>
      <c r="C71" t="s">
        <v>364</v>
      </c>
    </row>
    <row r="72" spans="1:3" ht="15" customHeight="1" x14ac:dyDescent="0.25">
      <c r="A72" t="s">
        <v>371</v>
      </c>
      <c r="B72" s="76">
        <v>126</v>
      </c>
      <c r="C72" t="s">
        <v>369</v>
      </c>
    </row>
    <row r="73" spans="1:3" ht="15" customHeight="1" x14ac:dyDescent="0.25">
      <c r="A73" t="s">
        <v>373</v>
      </c>
      <c r="B73" s="76">
        <v>187</v>
      </c>
      <c r="C73" t="s">
        <v>369</v>
      </c>
    </row>
    <row r="74" spans="1:3" ht="15" customHeight="1" x14ac:dyDescent="0.25">
      <c r="A74" t="s">
        <v>377</v>
      </c>
      <c r="B74" s="76">
        <v>319</v>
      </c>
      <c r="C74" t="s">
        <v>369</v>
      </c>
    </row>
    <row r="75" spans="1:3" ht="15" customHeight="1" x14ac:dyDescent="0.25">
      <c r="A75" t="s">
        <v>381</v>
      </c>
      <c r="B75" s="76">
        <v>218</v>
      </c>
      <c r="C75" t="s">
        <v>369</v>
      </c>
    </row>
    <row r="76" spans="1:3" ht="15" customHeight="1" x14ac:dyDescent="0.25">
      <c r="A76" t="s">
        <v>382</v>
      </c>
      <c r="B76" s="76">
        <v>326</v>
      </c>
      <c r="C76" t="s">
        <v>369</v>
      </c>
    </row>
    <row r="77" spans="1:3" ht="15" customHeight="1" x14ac:dyDescent="0.25">
      <c r="A77" t="s">
        <v>383</v>
      </c>
      <c r="B77" s="76">
        <v>501</v>
      </c>
      <c r="C77" t="s">
        <v>369</v>
      </c>
    </row>
    <row r="78" spans="1:3" ht="15" customHeight="1" x14ac:dyDescent="0.25">
      <c r="A78" t="s">
        <v>385</v>
      </c>
      <c r="B78" s="76">
        <v>337</v>
      </c>
      <c r="C78" t="s">
        <v>369</v>
      </c>
    </row>
    <row r="79" spans="1:3" ht="15" customHeight="1" x14ac:dyDescent="0.25">
      <c r="A79" t="s">
        <v>386</v>
      </c>
      <c r="B79" s="76">
        <v>400</v>
      </c>
      <c r="C79" t="s">
        <v>369</v>
      </c>
    </row>
    <row r="80" spans="1:3" ht="15" customHeight="1" x14ac:dyDescent="0.25">
      <c r="A80" t="s">
        <v>388</v>
      </c>
      <c r="B80" s="76">
        <v>420</v>
      </c>
      <c r="C80" t="s">
        <v>369</v>
      </c>
    </row>
    <row r="81" spans="1:3" ht="15" customHeight="1" x14ac:dyDescent="0.25">
      <c r="A81" t="s">
        <v>391</v>
      </c>
      <c r="B81" s="76">
        <v>451</v>
      </c>
      <c r="C81" t="s">
        <v>369</v>
      </c>
    </row>
    <row r="82" spans="1:3" ht="15" customHeight="1" x14ac:dyDescent="0.25">
      <c r="A82" t="s">
        <v>393</v>
      </c>
      <c r="B82" s="76">
        <v>394</v>
      </c>
      <c r="C82" t="s">
        <v>369</v>
      </c>
    </row>
    <row r="83" spans="1:3" ht="15" customHeight="1" x14ac:dyDescent="0.25">
      <c r="A83" t="s">
        <v>395</v>
      </c>
      <c r="B83" s="76">
        <v>424</v>
      </c>
      <c r="C83" t="s">
        <v>369</v>
      </c>
    </row>
    <row r="84" spans="1:3" ht="15" customHeight="1" x14ac:dyDescent="0.25">
      <c r="A84" t="s">
        <v>396</v>
      </c>
      <c r="B84" s="76">
        <v>406</v>
      </c>
      <c r="C84" t="s">
        <v>369</v>
      </c>
    </row>
    <row r="85" spans="1:3" ht="15" customHeight="1" x14ac:dyDescent="0.25">
      <c r="A85" t="s">
        <v>398</v>
      </c>
      <c r="B85" s="76">
        <v>400</v>
      </c>
      <c r="C85" t="s">
        <v>369</v>
      </c>
    </row>
    <row r="86" spans="1:3" ht="15" customHeight="1" x14ac:dyDescent="0.25">
      <c r="A86" t="s">
        <v>400</v>
      </c>
      <c r="B86" s="76">
        <v>370</v>
      </c>
      <c r="C86" t="s">
        <v>369</v>
      </c>
    </row>
    <row r="87" spans="1:3" ht="15" customHeight="1" x14ac:dyDescent="0.25">
      <c r="A87" t="s">
        <v>64</v>
      </c>
      <c r="B87" s="76">
        <v>241</v>
      </c>
      <c r="C87" t="s">
        <v>369</v>
      </c>
    </row>
    <row r="88" spans="1:3" ht="15" customHeight="1" x14ac:dyDescent="0.25">
      <c r="A88" t="s">
        <v>402</v>
      </c>
      <c r="B88" s="76">
        <v>298</v>
      </c>
      <c r="C88" t="s">
        <v>369</v>
      </c>
    </row>
    <row r="89" spans="1:3" ht="15" customHeight="1" x14ac:dyDescent="0.25">
      <c r="A89" t="s">
        <v>404</v>
      </c>
      <c r="B89" s="76">
        <v>334</v>
      </c>
      <c r="C89" t="s">
        <v>369</v>
      </c>
    </row>
    <row r="90" spans="1:3" ht="15" customHeight="1" x14ac:dyDescent="0.25">
      <c r="A90" t="s">
        <v>405</v>
      </c>
      <c r="B90" s="76">
        <v>441</v>
      </c>
      <c r="C90" t="s">
        <v>369</v>
      </c>
    </row>
    <row r="91" spans="1:3" ht="15" customHeight="1" x14ac:dyDescent="0.25">
      <c r="A91" t="s">
        <v>406</v>
      </c>
      <c r="B91" s="76">
        <v>453</v>
      </c>
      <c r="C91" t="s">
        <v>369</v>
      </c>
    </row>
    <row r="92" spans="1:3" ht="15" customHeight="1" x14ac:dyDescent="0.25">
      <c r="A92" t="s">
        <v>407</v>
      </c>
      <c r="B92" s="76">
        <v>513</v>
      </c>
      <c r="C92" t="s">
        <v>369</v>
      </c>
    </row>
    <row r="93" spans="1:3" ht="15" customHeight="1" x14ac:dyDescent="0.25">
      <c r="A93" t="s">
        <v>408</v>
      </c>
      <c r="B93" s="76">
        <v>517</v>
      </c>
      <c r="C93" t="s">
        <v>369</v>
      </c>
    </row>
    <row r="94" spans="1:3" ht="15" customHeight="1" x14ac:dyDescent="0.25">
      <c r="A94" t="s">
        <v>412</v>
      </c>
      <c r="B94" s="76">
        <v>513</v>
      </c>
      <c r="C94" t="s">
        <v>369</v>
      </c>
    </row>
    <row r="95" spans="1:3" ht="15" customHeight="1" x14ac:dyDescent="0.25">
      <c r="A95" t="s">
        <v>415</v>
      </c>
      <c r="B95" s="76">
        <v>967</v>
      </c>
      <c r="C95" t="s">
        <v>369</v>
      </c>
    </row>
    <row r="96" spans="1:3" ht="15" customHeight="1" x14ac:dyDescent="0.25">
      <c r="A96" t="s">
        <v>418</v>
      </c>
      <c r="B96" s="76">
        <v>430</v>
      </c>
      <c r="C96" t="s">
        <v>369</v>
      </c>
    </row>
    <row r="97" spans="1:4" ht="15" customHeight="1" x14ac:dyDescent="0.25">
      <c r="A97" t="s">
        <v>424</v>
      </c>
      <c r="B97" s="76">
        <v>75</v>
      </c>
      <c r="C97" t="s">
        <v>422</v>
      </c>
    </row>
    <row r="98" spans="1:4" ht="15" customHeight="1" x14ac:dyDescent="0.25">
      <c r="A98" t="s">
        <v>427</v>
      </c>
      <c r="B98" s="76">
        <v>135</v>
      </c>
      <c r="C98" t="s">
        <v>422</v>
      </c>
    </row>
    <row r="99" spans="1:4" ht="15" customHeight="1" x14ac:dyDescent="0.25">
      <c r="A99" t="s">
        <v>431</v>
      </c>
      <c r="B99" s="76">
        <v>145</v>
      </c>
      <c r="C99" t="s">
        <v>422</v>
      </c>
    </row>
    <row r="100" spans="1:4" ht="15" customHeight="1" x14ac:dyDescent="0.25">
      <c r="A100" t="s">
        <v>432</v>
      </c>
      <c r="B100" s="76">
        <v>250</v>
      </c>
      <c r="C100" t="s">
        <v>422</v>
      </c>
    </row>
    <row r="101" spans="1:4" ht="15" customHeight="1" x14ac:dyDescent="0.25">
      <c r="A101" t="s">
        <v>434</v>
      </c>
      <c r="B101" s="76">
        <v>262</v>
      </c>
      <c r="C101" t="s">
        <v>422</v>
      </c>
    </row>
    <row r="102" spans="1:4" ht="15" customHeight="1" x14ac:dyDescent="0.25">
      <c r="A102" t="s">
        <v>435</v>
      </c>
      <c r="B102" s="76">
        <v>324</v>
      </c>
      <c r="C102" t="s">
        <v>422</v>
      </c>
    </row>
    <row r="103" spans="1:4" ht="15" customHeight="1" x14ac:dyDescent="0.25">
      <c r="A103" t="s">
        <v>437</v>
      </c>
      <c r="B103" s="76">
        <v>206</v>
      </c>
      <c r="C103" t="s">
        <v>422</v>
      </c>
    </row>
    <row r="104" spans="1:4" ht="15" customHeight="1" x14ac:dyDescent="0.25">
      <c r="A104" t="s">
        <v>439</v>
      </c>
      <c r="B104" s="76">
        <v>234</v>
      </c>
      <c r="C104" t="s">
        <v>422</v>
      </c>
    </row>
    <row r="107" spans="1:4" ht="15" customHeight="1" x14ac:dyDescent="0.25">
      <c r="A107" s="124" t="s">
        <v>586</v>
      </c>
      <c r="B107" s="93"/>
      <c r="C107" s="93"/>
      <c r="D107" s="93"/>
    </row>
    <row r="108" spans="1:4" ht="15" customHeight="1" x14ac:dyDescent="0.25">
      <c r="A108" s="78" t="s">
        <v>540</v>
      </c>
      <c r="B108" s="79" t="s">
        <v>587</v>
      </c>
      <c r="C108" s="78" t="s">
        <v>588</v>
      </c>
    </row>
    <row r="109" spans="1:4" ht="15" customHeight="1" x14ac:dyDescent="0.25">
      <c r="A109" s="80" t="s">
        <v>589</v>
      </c>
      <c r="B109" s="81">
        <v>0</v>
      </c>
      <c r="C109" s="82">
        <v>0</v>
      </c>
    </row>
    <row r="110" spans="1:4" ht="15" customHeight="1" x14ac:dyDescent="0.25">
      <c r="A110" s="80" t="s">
        <v>590</v>
      </c>
      <c r="B110" s="81">
        <v>1791</v>
      </c>
      <c r="C110" s="82">
        <v>0</v>
      </c>
    </row>
    <row r="111" spans="1:4" ht="15" customHeight="1" x14ac:dyDescent="0.25">
      <c r="A111" s="80" t="s">
        <v>591</v>
      </c>
      <c r="B111" s="81">
        <v>2514</v>
      </c>
      <c r="C111" s="82">
        <v>0</v>
      </c>
    </row>
    <row r="112" spans="1:4" ht="15" customHeight="1" x14ac:dyDescent="0.25">
      <c r="A112" s="80" t="s">
        <v>592</v>
      </c>
      <c r="B112" s="81">
        <v>764</v>
      </c>
      <c r="C112" s="82">
        <v>0</v>
      </c>
    </row>
    <row r="113" spans="1:3" ht="15" customHeight="1" x14ac:dyDescent="0.25">
      <c r="A113" s="80" t="s">
        <v>593</v>
      </c>
      <c r="B113" s="81">
        <v>764</v>
      </c>
      <c r="C113" s="82">
        <v>0</v>
      </c>
    </row>
    <row r="114" spans="1:3" ht="15" customHeight="1" x14ac:dyDescent="0.25">
      <c r="A114" s="80" t="s">
        <v>594</v>
      </c>
      <c r="B114" s="81">
        <v>1316</v>
      </c>
      <c r="C114" s="82">
        <v>0</v>
      </c>
    </row>
    <row r="115" spans="1:3" ht="15" customHeight="1" x14ac:dyDescent="0.25">
      <c r="A115" s="80" t="s">
        <v>595</v>
      </c>
      <c r="B115" s="81">
        <v>1074</v>
      </c>
      <c r="C115" s="82">
        <v>0</v>
      </c>
    </row>
    <row r="116" spans="1:3" ht="15" customHeight="1" x14ac:dyDescent="0.25">
      <c r="A116" s="80" t="s">
        <v>596</v>
      </c>
      <c r="B116" s="81">
        <v>1624</v>
      </c>
      <c r="C116" s="82">
        <v>0</v>
      </c>
    </row>
    <row r="117" spans="1:3" ht="15" customHeight="1" x14ac:dyDescent="0.25">
      <c r="A117" s="80" t="s">
        <v>597</v>
      </c>
      <c r="B117" s="81">
        <v>2076</v>
      </c>
      <c r="C117" s="82">
        <v>0</v>
      </c>
    </row>
    <row r="118" spans="1:3" ht="15" customHeight="1" x14ac:dyDescent="0.25">
      <c r="A118" s="80" t="s">
        <v>598</v>
      </c>
      <c r="B118" s="81">
        <v>2629</v>
      </c>
      <c r="C118" s="82">
        <v>0</v>
      </c>
    </row>
    <row r="119" spans="1:3" ht="15" customHeight="1" x14ac:dyDescent="0.25">
      <c r="A119" s="80" t="s">
        <v>599</v>
      </c>
      <c r="B119" s="81">
        <v>2385</v>
      </c>
      <c r="C119" s="82">
        <v>0</v>
      </c>
    </row>
    <row r="120" spans="1:3" ht="15" customHeight="1" x14ac:dyDescent="0.25">
      <c r="A120" s="80" t="s">
        <v>600</v>
      </c>
      <c r="B120" s="81">
        <v>2936</v>
      </c>
      <c r="C120" s="82">
        <v>0</v>
      </c>
    </row>
    <row r="121" spans="1:3" ht="15" customHeight="1" x14ac:dyDescent="0.25">
      <c r="A121" s="80" t="s">
        <v>601</v>
      </c>
      <c r="B121" s="81">
        <v>180</v>
      </c>
      <c r="C121" s="82">
        <v>0</v>
      </c>
    </row>
    <row r="122" spans="1:3" ht="15" customHeight="1" x14ac:dyDescent="0.25">
      <c r="A122" s="80" t="s">
        <v>602</v>
      </c>
      <c r="B122" s="81">
        <v>522</v>
      </c>
      <c r="C122" s="82">
        <v>0</v>
      </c>
    </row>
    <row r="123" spans="1:3" ht="15" customHeight="1" x14ac:dyDescent="0.25">
      <c r="A123" s="80" t="s">
        <v>603</v>
      </c>
      <c r="B123" s="81">
        <v>250</v>
      </c>
      <c r="C123" s="82">
        <v>0</v>
      </c>
    </row>
    <row r="124" spans="1:3" ht="15" customHeight="1" x14ac:dyDescent="0.25">
      <c r="A124" s="80" t="s">
        <v>604</v>
      </c>
      <c r="B124" s="81">
        <v>0</v>
      </c>
      <c r="C124" s="82">
        <v>0</v>
      </c>
    </row>
    <row r="125" spans="1:3" ht="15" customHeight="1" x14ac:dyDescent="0.25">
      <c r="A125" s="80" t="s">
        <v>605</v>
      </c>
      <c r="B125" s="81">
        <v>477</v>
      </c>
      <c r="C125" s="82">
        <v>1</v>
      </c>
    </row>
    <row r="130" spans="1:2" ht="15" customHeight="1" x14ac:dyDescent="0.25">
      <c r="A130" t="s">
        <v>606</v>
      </c>
    </row>
    <row r="131" spans="1:2" ht="15" customHeight="1" x14ac:dyDescent="0.25">
      <c r="A131" t="s">
        <v>607</v>
      </c>
      <c r="B131" t="s">
        <v>608</v>
      </c>
    </row>
    <row r="132" spans="1:2" ht="15" customHeight="1" x14ac:dyDescent="0.25">
      <c r="A132" t="s">
        <v>609</v>
      </c>
      <c r="B132">
        <v>224.46</v>
      </c>
    </row>
    <row r="133" spans="1:2" ht="15" customHeight="1" x14ac:dyDescent="0.25">
      <c r="A133" t="s">
        <v>610</v>
      </c>
      <c r="B133">
        <v>264.82</v>
      </c>
    </row>
    <row r="134" spans="1:2" ht="15" customHeight="1" x14ac:dyDescent="0.25">
      <c r="A134" t="s">
        <v>611</v>
      </c>
      <c r="B134">
        <v>230</v>
      </c>
    </row>
    <row r="135" spans="1:2" ht="15" customHeight="1" x14ac:dyDescent="0.25">
      <c r="A135" t="s">
        <v>612</v>
      </c>
      <c r="B135">
        <v>252.73</v>
      </c>
    </row>
    <row r="136" spans="1:2" ht="15" customHeight="1" x14ac:dyDescent="0.25">
      <c r="A136" t="s">
        <v>613</v>
      </c>
      <c r="B136">
        <v>170.1</v>
      </c>
    </row>
    <row r="137" spans="1:2" ht="15" customHeight="1" x14ac:dyDescent="0.25">
      <c r="A137" t="s">
        <v>614</v>
      </c>
      <c r="B137">
        <v>328.28</v>
      </c>
    </row>
    <row r="138" spans="1:2" ht="15" customHeight="1" x14ac:dyDescent="0.25">
      <c r="A138" t="s">
        <v>615</v>
      </c>
      <c r="B138">
        <v>170.1</v>
      </c>
    </row>
    <row r="139" spans="1:2" ht="15" customHeight="1" x14ac:dyDescent="0.25">
      <c r="A139" t="s">
        <v>616</v>
      </c>
      <c r="B139">
        <v>328.28</v>
      </c>
    </row>
    <row r="140" spans="1:2" ht="15" customHeight="1" x14ac:dyDescent="0.25">
      <c r="A140" t="s">
        <v>617</v>
      </c>
      <c r="B140">
        <v>184.33</v>
      </c>
    </row>
    <row r="141" spans="1:2" ht="15" customHeight="1" x14ac:dyDescent="0.25">
      <c r="A141" t="s">
        <v>618</v>
      </c>
      <c r="B141">
        <v>211.33</v>
      </c>
    </row>
    <row r="142" spans="1:2" ht="15" customHeight="1" x14ac:dyDescent="0.25">
      <c r="A142" t="s">
        <v>619</v>
      </c>
      <c r="B142">
        <v>280.70999999999998</v>
      </c>
    </row>
    <row r="143" spans="1:2" ht="15" customHeight="1" x14ac:dyDescent="0.25">
      <c r="A143" t="s">
        <v>620</v>
      </c>
      <c r="B143">
        <v>352.29</v>
      </c>
    </row>
    <row r="144" spans="1:2" ht="15" customHeight="1" x14ac:dyDescent="0.25">
      <c r="A144" t="s">
        <v>621</v>
      </c>
      <c r="B144">
        <v>687</v>
      </c>
    </row>
    <row r="145" spans="1:2" ht="15" customHeight="1" x14ac:dyDescent="0.25">
      <c r="A145" t="s">
        <v>622</v>
      </c>
      <c r="B145">
        <v>280.70999999999998</v>
      </c>
    </row>
    <row r="146" spans="1:2" ht="15" customHeight="1" x14ac:dyDescent="0.25">
      <c r="A146" t="s">
        <v>623</v>
      </c>
      <c r="B146">
        <v>339.29</v>
      </c>
    </row>
    <row r="148" spans="1:2" ht="15" customHeight="1" x14ac:dyDescent="0.25">
      <c r="A148" t="s">
        <v>624</v>
      </c>
    </row>
    <row r="149" spans="1:2" ht="15" customHeight="1" x14ac:dyDescent="0.25">
      <c r="A149" t="s">
        <v>62</v>
      </c>
    </row>
    <row r="150" spans="1:2" ht="15" customHeight="1" x14ac:dyDescent="0.25">
      <c r="A150" t="s">
        <v>243</v>
      </c>
    </row>
    <row r="151" spans="1:2" ht="15" customHeight="1" x14ac:dyDescent="0.25">
      <c r="A151" t="s">
        <v>245</v>
      </c>
    </row>
    <row r="152" spans="1:2" ht="15" customHeight="1" x14ac:dyDescent="0.25">
      <c r="A152" t="s">
        <v>248</v>
      </c>
    </row>
    <row r="153" spans="1:2" ht="15" customHeight="1" x14ac:dyDescent="0.25">
      <c r="A153" t="s">
        <v>246</v>
      </c>
    </row>
    <row r="154" spans="1:2" ht="15" customHeight="1" x14ac:dyDescent="0.25">
      <c r="A154" t="s">
        <v>247</v>
      </c>
    </row>
    <row r="156" spans="1:2" ht="15" customHeight="1" x14ac:dyDescent="0.25">
      <c r="A156" t="s">
        <v>625</v>
      </c>
    </row>
    <row r="157" spans="1:2" ht="15" customHeight="1" x14ac:dyDescent="0.25">
      <c r="A157" t="s">
        <v>571</v>
      </c>
      <c r="B157" t="s">
        <v>626</v>
      </c>
    </row>
    <row r="158" spans="1:2" ht="15" customHeight="1" x14ac:dyDescent="0.25">
      <c r="A158" t="s">
        <v>58</v>
      </c>
      <c r="B158" t="s">
        <v>627</v>
      </c>
    </row>
    <row r="159" spans="1:2" ht="15" customHeight="1" x14ac:dyDescent="0.25">
      <c r="A159" t="s">
        <v>135</v>
      </c>
      <c r="B159" t="s">
        <v>627</v>
      </c>
    </row>
    <row r="160" spans="1:2" ht="15" customHeight="1" x14ac:dyDescent="0.25">
      <c r="A160" t="s">
        <v>137</v>
      </c>
      <c r="B160" t="s">
        <v>627</v>
      </c>
    </row>
    <row r="161" spans="1:3" ht="15" customHeight="1" x14ac:dyDescent="0.25">
      <c r="A161" t="s">
        <v>139</v>
      </c>
      <c r="B161" t="s">
        <v>627</v>
      </c>
    </row>
    <row r="162" spans="1:3" ht="15" customHeight="1" x14ac:dyDescent="0.25">
      <c r="A162" t="s">
        <v>140</v>
      </c>
      <c r="B162" t="s">
        <v>627</v>
      </c>
    </row>
    <row r="163" spans="1:3" ht="15" customHeight="1" x14ac:dyDescent="0.25">
      <c r="A163" t="s">
        <v>142</v>
      </c>
      <c r="B163" t="s">
        <v>627</v>
      </c>
    </row>
    <row r="164" spans="1:3" ht="15" customHeight="1" x14ac:dyDescent="0.25">
      <c r="A164" t="s">
        <v>144</v>
      </c>
      <c r="B164" t="s">
        <v>627</v>
      </c>
    </row>
    <row r="165" spans="1:3" ht="15" customHeight="1" x14ac:dyDescent="0.25">
      <c r="A165" t="s">
        <v>146</v>
      </c>
      <c r="B165" t="s">
        <v>627</v>
      </c>
    </row>
    <row r="166" spans="1:3" ht="15" customHeight="1" x14ac:dyDescent="0.25">
      <c r="A166" t="s">
        <v>66</v>
      </c>
      <c r="B166" t="s">
        <v>627</v>
      </c>
    </row>
    <row r="167" spans="1:3" ht="15" customHeight="1" x14ac:dyDescent="0.25">
      <c r="A167" t="s">
        <v>63</v>
      </c>
      <c r="B167" t="s">
        <v>628</v>
      </c>
    </row>
    <row r="168" spans="1:3" ht="15" customHeight="1" x14ac:dyDescent="0.25">
      <c r="A168" t="s">
        <v>67</v>
      </c>
      <c r="B168" t="s">
        <v>628</v>
      </c>
    </row>
    <row r="169" spans="1:3" ht="15" customHeight="1" x14ac:dyDescent="0.25">
      <c r="A169" t="s">
        <v>151</v>
      </c>
      <c r="B169" t="s">
        <v>628</v>
      </c>
    </row>
    <row r="170" spans="1:3" ht="15" customHeight="1" x14ac:dyDescent="0.25">
      <c r="A170" t="s">
        <v>153</v>
      </c>
      <c r="B170" t="s">
        <v>628</v>
      </c>
    </row>
    <row r="171" spans="1:3" ht="15" customHeight="1" x14ac:dyDescent="0.25">
      <c r="A171" t="s">
        <v>155</v>
      </c>
      <c r="B171" t="s">
        <v>628</v>
      </c>
    </row>
    <row r="172" spans="1:3" ht="15" customHeight="1" x14ac:dyDescent="0.25">
      <c r="A172" t="s">
        <v>157</v>
      </c>
      <c r="B172" t="s">
        <v>628</v>
      </c>
    </row>
    <row r="173" spans="1:3" ht="15" customHeight="1" x14ac:dyDescent="0.25">
      <c r="A173" t="s">
        <v>158</v>
      </c>
      <c r="B173" t="s">
        <v>628</v>
      </c>
    </row>
    <row r="175" spans="1:3" ht="15" customHeight="1" x14ac:dyDescent="0.25">
      <c r="A175" t="s">
        <v>629</v>
      </c>
    </row>
    <row r="176" spans="1:3" ht="15" customHeight="1" x14ac:dyDescent="0.25">
      <c r="A176" t="s">
        <v>571</v>
      </c>
      <c r="B176" t="s">
        <v>630</v>
      </c>
      <c r="C176" t="s">
        <v>631</v>
      </c>
    </row>
    <row r="177" spans="1:3" ht="15" customHeight="1" x14ac:dyDescent="0.25">
      <c r="A177" t="s">
        <v>58</v>
      </c>
      <c r="B177" t="s">
        <v>632</v>
      </c>
      <c r="C177" t="s">
        <v>633</v>
      </c>
    </row>
    <row r="178" spans="1:3" ht="15" customHeight="1" x14ac:dyDescent="0.25">
      <c r="A178" t="s">
        <v>135</v>
      </c>
      <c r="B178" t="s">
        <v>632</v>
      </c>
      <c r="C178" t="s">
        <v>633</v>
      </c>
    </row>
    <row r="179" spans="1:3" ht="15" customHeight="1" x14ac:dyDescent="0.25">
      <c r="A179" t="s">
        <v>137</v>
      </c>
      <c r="B179" t="s">
        <v>632</v>
      </c>
      <c r="C179" t="s">
        <v>633</v>
      </c>
    </row>
    <row r="180" spans="1:3" ht="15" customHeight="1" x14ac:dyDescent="0.25">
      <c r="A180" t="s">
        <v>139</v>
      </c>
      <c r="B180" t="s">
        <v>632</v>
      </c>
      <c r="C180" t="s">
        <v>633</v>
      </c>
    </row>
    <row r="181" spans="1:3" ht="15" customHeight="1" x14ac:dyDescent="0.25">
      <c r="A181" t="s">
        <v>140</v>
      </c>
      <c r="B181" t="s">
        <v>632</v>
      </c>
      <c r="C181" t="s">
        <v>633</v>
      </c>
    </row>
    <row r="182" spans="1:3" ht="15" customHeight="1" x14ac:dyDescent="0.25">
      <c r="A182" t="s">
        <v>142</v>
      </c>
      <c r="B182" t="s">
        <v>632</v>
      </c>
      <c r="C182" t="s">
        <v>633</v>
      </c>
    </row>
    <row r="183" spans="1:3" ht="15" customHeight="1" x14ac:dyDescent="0.25">
      <c r="A183" t="s">
        <v>144</v>
      </c>
      <c r="B183" t="s">
        <v>632</v>
      </c>
      <c r="C183" t="s">
        <v>633</v>
      </c>
    </row>
    <row r="184" spans="1:3" ht="15" customHeight="1" x14ac:dyDescent="0.25">
      <c r="A184" t="s">
        <v>146</v>
      </c>
      <c r="B184" t="s">
        <v>632</v>
      </c>
      <c r="C184" t="s">
        <v>633</v>
      </c>
    </row>
    <row r="185" spans="1:3" ht="15" customHeight="1" x14ac:dyDescent="0.25">
      <c r="A185" t="s">
        <v>66</v>
      </c>
      <c r="B185" t="s">
        <v>632</v>
      </c>
      <c r="C185" t="s">
        <v>633</v>
      </c>
    </row>
    <row r="186" spans="1:3" ht="15" customHeight="1" x14ac:dyDescent="0.25">
      <c r="A186" t="s">
        <v>63</v>
      </c>
    </row>
    <row r="187" spans="1:3" ht="15" customHeight="1" x14ac:dyDescent="0.25">
      <c r="A187" t="s">
        <v>67</v>
      </c>
      <c r="B187" t="s">
        <v>634</v>
      </c>
      <c r="C187" t="s">
        <v>635</v>
      </c>
    </row>
    <row r="188" spans="1:3" ht="15" customHeight="1" x14ac:dyDescent="0.25">
      <c r="A188" t="s">
        <v>151</v>
      </c>
      <c r="B188" t="s">
        <v>634</v>
      </c>
      <c r="C188" t="s">
        <v>635</v>
      </c>
    </row>
    <row r="189" spans="1:3" ht="15" customHeight="1" x14ac:dyDescent="0.25">
      <c r="A189" t="s">
        <v>153</v>
      </c>
      <c r="B189" t="s">
        <v>636</v>
      </c>
      <c r="C189" t="s">
        <v>637</v>
      </c>
    </row>
    <row r="190" spans="1:3" ht="15" customHeight="1" x14ac:dyDescent="0.25">
      <c r="A190" t="s">
        <v>155</v>
      </c>
      <c r="B190" t="s">
        <v>636</v>
      </c>
      <c r="C190" t="s">
        <v>637</v>
      </c>
    </row>
    <row r="191" spans="1:3" ht="15" customHeight="1" x14ac:dyDescent="0.25">
      <c r="A191" t="s">
        <v>157</v>
      </c>
      <c r="B191" t="s">
        <v>636</v>
      </c>
      <c r="C191" t="s">
        <v>637</v>
      </c>
    </row>
    <row r="192" spans="1:3" ht="15" customHeight="1" x14ac:dyDescent="0.25">
      <c r="A192" t="s">
        <v>158</v>
      </c>
      <c r="B192" t="s">
        <v>636</v>
      </c>
      <c r="C192" t="s">
        <v>637</v>
      </c>
    </row>
    <row r="194" spans="1:5" ht="15" customHeight="1" x14ac:dyDescent="0.25">
      <c r="A194" t="s">
        <v>638</v>
      </c>
    </row>
    <row r="195" spans="1:5" ht="15" customHeight="1" x14ac:dyDescent="0.25">
      <c r="A195" t="s">
        <v>571</v>
      </c>
      <c r="B195" t="s">
        <v>639</v>
      </c>
      <c r="C195" t="s">
        <v>640</v>
      </c>
      <c r="D195" t="s">
        <v>641</v>
      </c>
      <c r="E195" t="s">
        <v>642</v>
      </c>
    </row>
    <row r="196" spans="1:5" ht="15" customHeight="1" x14ac:dyDescent="0.25">
      <c r="A196" t="s">
        <v>58</v>
      </c>
      <c r="B196">
        <v>800</v>
      </c>
      <c r="C196">
        <v>3500</v>
      </c>
      <c r="D196">
        <v>750</v>
      </c>
      <c r="E196">
        <v>2700</v>
      </c>
    </row>
    <row r="197" spans="1:5" ht="15" customHeight="1" x14ac:dyDescent="0.25">
      <c r="A197" t="s">
        <v>135</v>
      </c>
      <c r="B197">
        <v>2000</v>
      </c>
      <c r="C197">
        <v>5000</v>
      </c>
      <c r="D197">
        <v>750</v>
      </c>
      <c r="E197">
        <v>2700</v>
      </c>
    </row>
    <row r="198" spans="1:5" ht="15" customHeight="1" x14ac:dyDescent="0.25">
      <c r="A198" t="s">
        <v>137</v>
      </c>
      <c r="B198">
        <v>2500</v>
      </c>
      <c r="C198">
        <v>6050</v>
      </c>
      <c r="D198">
        <v>750</v>
      </c>
      <c r="E198">
        <v>2700</v>
      </c>
    </row>
    <row r="199" spans="1:5" ht="15" customHeight="1" x14ac:dyDescent="0.25">
      <c r="A199" t="s">
        <v>139</v>
      </c>
      <c r="B199">
        <v>2000</v>
      </c>
      <c r="C199">
        <v>5000</v>
      </c>
      <c r="D199">
        <v>750</v>
      </c>
      <c r="E199">
        <v>2700</v>
      </c>
    </row>
    <row r="200" spans="1:5" ht="15" customHeight="1" x14ac:dyDescent="0.25">
      <c r="A200" t="s">
        <v>140</v>
      </c>
      <c r="B200">
        <v>4000</v>
      </c>
      <c r="C200">
        <v>6400</v>
      </c>
      <c r="D200">
        <v>750</v>
      </c>
      <c r="E200">
        <v>2700</v>
      </c>
    </row>
    <row r="201" spans="1:5" ht="15" customHeight="1" x14ac:dyDescent="0.25">
      <c r="A201" t="s">
        <v>142</v>
      </c>
      <c r="B201">
        <v>500</v>
      </c>
      <c r="C201">
        <v>2000</v>
      </c>
      <c r="D201">
        <v>750</v>
      </c>
      <c r="E201">
        <v>2350</v>
      </c>
    </row>
    <row r="202" spans="1:5" ht="15" customHeight="1" x14ac:dyDescent="0.25">
      <c r="A202" t="s">
        <v>144</v>
      </c>
      <c r="B202">
        <v>900</v>
      </c>
      <c r="C202">
        <v>3200</v>
      </c>
      <c r="D202">
        <v>750</v>
      </c>
      <c r="E202">
        <v>2350</v>
      </c>
    </row>
    <row r="203" spans="1:5" ht="15" customHeight="1" x14ac:dyDescent="0.25">
      <c r="A203" t="s">
        <v>146</v>
      </c>
      <c r="B203">
        <v>1000</v>
      </c>
      <c r="C203">
        <v>3300</v>
      </c>
      <c r="D203">
        <v>750</v>
      </c>
      <c r="E203">
        <v>2350</v>
      </c>
    </row>
    <row r="204" spans="1:5" ht="15" customHeight="1" x14ac:dyDescent="0.25">
      <c r="A204" t="s">
        <v>66</v>
      </c>
      <c r="B204">
        <v>1800</v>
      </c>
      <c r="C204">
        <v>4100</v>
      </c>
      <c r="D204">
        <v>750</v>
      </c>
      <c r="E204">
        <v>2350</v>
      </c>
    </row>
    <row r="205" spans="1:5" ht="15" customHeight="1" x14ac:dyDescent="0.25">
      <c r="A205" t="s">
        <v>63</v>
      </c>
      <c r="B205">
        <v>300</v>
      </c>
      <c r="C205">
        <v>3000</v>
      </c>
      <c r="D205">
        <v>450</v>
      </c>
      <c r="E205">
        <v>2550</v>
      </c>
    </row>
    <row r="206" spans="1:5" ht="15" customHeight="1" x14ac:dyDescent="0.25">
      <c r="A206" t="s">
        <v>67</v>
      </c>
      <c r="B206">
        <v>800</v>
      </c>
      <c r="C206">
        <v>1300</v>
      </c>
      <c r="D206">
        <v>1950</v>
      </c>
      <c r="E206">
        <v>2850</v>
      </c>
    </row>
    <row r="207" spans="1:5" ht="15" customHeight="1" x14ac:dyDescent="0.25">
      <c r="A207" t="s">
        <v>151</v>
      </c>
      <c r="B207">
        <v>1200</v>
      </c>
      <c r="C207">
        <v>2500</v>
      </c>
      <c r="D207">
        <v>1950</v>
      </c>
      <c r="E207">
        <v>2850</v>
      </c>
    </row>
    <row r="208" spans="1:5" ht="15" customHeight="1" x14ac:dyDescent="0.25">
      <c r="A208" t="s">
        <v>153</v>
      </c>
      <c r="B208">
        <v>400</v>
      </c>
      <c r="C208">
        <v>1300</v>
      </c>
      <c r="D208">
        <v>550</v>
      </c>
      <c r="E208">
        <v>2500</v>
      </c>
    </row>
    <row r="209" spans="1:5" ht="15" customHeight="1" x14ac:dyDescent="0.25">
      <c r="A209" t="s">
        <v>155</v>
      </c>
      <c r="B209">
        <v>700</v>
      </c>
      <c r="C209">
        <v>2400</v>
      </c>
      <c r="D209">
        <v>550</v>
      </c>
      <c r="E209">
        <v>2500</v>
      </c>
    </row>
    <row r="210" spans="1:5" ht="15" customHeight="1" x14ac:dyDescent="0.25">
      <c r="A210" t="s">
        <v>157</v>
      </c>
      <c r="B210">
        <v>400</v>
      </c>
      <c r="C210">
        <v>1300</v>
      </c>
      <c r="D210">
        <v>550</v>
      </c>
      <c r="E210">
        <v>2500</v>
      </c>
    </row>
    <row r="211" spans="1:5" ht="15" customHeight="1" x14ac:dyDescent="0.25">
      <c r="A211" t="s">
        <v>158</v>
      </c>
      <c r="B211">
        <v>700</v>
      </c>
      <c r="C211">
        <v>2400</v>
      </c>
      <c r="D211">
        <v>550</v>
      </c>
      <c r="E211">
        <v>2500</v>
      </c>
    </row>
    <row r="217" spans="1:5" x14ac:dyDescent="0.25">
      <c r="A217" t="s">
        <v>35</v>
      </c>
      <c r="B217" t="s">
        <v>643</v>
      </c>
    </row>
    <row r="218" spans="1:5" x14ac:dyDescent="0.25">
      <c r="A218" t="s">
        <v>644</v>
      </c>
      <c r="B218">
        <v>0</v>
      </c>
    </row>
    <row r="219" spans="1:5" x14ac:dyDescent="0.25">
      <c r="A219" t="s">
        <v>645</v>
      </c>
      <c r="B219">
        <v>10.210000000000001</v>
      </c>
    </row>
    <row r="220" spans="1:5" x14ac:dyDescent="0.25">
      <c r="A220" t="s">
        <v>646</v>
      </c>
      <c r="B220">
        <v>13.47</v>
      </c>
    </row>
    <row r="221" spans="1:5" x14ac:dyDescent="0.25">
      <c r="A221" t="s">
        <v>647</v>
      </c>
      <c r="B221">
        <v>14.68</v>
      </c>
    </row>
    <row r="222" spans="1:5" x14ac:dyDescent="0.25">
      <c r="A222" t="s">
        <v>648</v>
      </c>
      <c r="B222">
        <v>18.260000000000002</v>
      </c>
    </row>
    <row r="223" spans="1:5" x14ac:dyDescent="0.25">
      <c r="A223" t="s">
        <v>649</v>
      </c>
      <c r="B223">
        <v>20.84</v>
      </c>
    </row>
    <row r="224" spans="1:5" x14ac:dyDescent="0.25">
      <c r="A224" t="s">
        <v>650</v>
      </c>
      <c r="B224">
        <v>23.95</v>
      </c>
    </row>
    <row r="225" spans="1:2" x14ac:dyDescent="0.25">
      <c r="A225" t="s">
        <v>651</v>
      </c>
      <c r="B225">
        <v>28.33</v>
      </c>
    </row>
    <row r="226" spans="1:2" x14ac:dyDescent="0.25">
      <c r="A226" t="s">
        <v>652</v>
      </c>
      <c r="B226">
        <v>31.36</v>
      </c>
    </row>
    <row r="227" spans="1:2" x14ac:dyDescent="0.25">
      <c r="A227" t="s">
        <v>653</v>
      </c>
      <c r="B227">
        <v>30.45</v>
      </c>
    </row>
    <row r="228" spans="1:2" x14ac:dyDescent="0.25">
      <c r="A228" t="s">
        <v>654</v>
      </c>
      <c r="B228">
        <v>51.45</v>
      </c>
    </row>
    <row r="229" spans="1:2" x14ac:dyDescent="0.25">
      <c r="A229" t="s">
        <v>655</v>
      </c>
      <c r="B229">
        <v>47.7</v>
      </c>
    </row>
    <row r="231" spans="1:2" x14ac:dyDescent="0.25">
      <c r="A231" t="s">
        <v>36</v>
      </c>
      <c r="B231" t="s">
        <v>643</v>
      </c>
    </row>
    <row r="232" spans="1:2" x14ac:dyDescent="0.25">
      <c r="A232" t="s">
        <v>62</v>
      </c>
      <c r="B232">
        <v>0</v>
      </c>
    </row>
    <row r="233" spans="1:2" x14ac:dyDescent="0.25">
      <c r="A233" t="s">
        <v>656</v>
      </c>
      <c r="B233">
        <v>48</v>
      </c>
    </row>
    <row r="234" spans="1:2" x14ac:dyDescent="0.25">
      <c r="A234" t="s">
        <v>657</v>
      </c>
      <c r="B234">
        <v>51</v>
      </c>
    </row>
    <row r="235" spans="1:2" x14ac:dyDescent="0.25">
      <c r="A235" t="s">
        <v>658</v>
      </c>
      <c r="B235">
        <v>63</v>
      </c>
    </row>
    <row r="236" spans="1:2" x14ac:dyDescent="0.25">
      <c r="A236" t="s">
        <v>659</v>
      </c>
      <c r="B236">
        <v>43</v>
      </c>
    </row>
  </sheetData>
  <mergeCells count="1">
    <mergeCell ref="A107:D107"/>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75"/>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11" width="9" customWidth="1"/>
  </cols>
  <sheetData>
    <row r="1" spans="1:11" ht="24" customHeight="1" x14ac:dyDescent="0.25">
      <c r="A1" s="126" t="s">
        <v>660</v>
      </c>
      <c r="B1" s="93"/>
      <c r="C1" s="93"/>
      <c r="D1" s="93"/>
      <c r="E1" s="93"/>
      <c r="F1" s="93"/>
      <c r="G1" s="93"/>
      <c r="H1" s="93"/>
      <c r="I1" s="93"/>
      <c r="J1" s="93"/>
      <c r="K1" s="93"/>
    </row>
    <row r="3" spans="1:11" ht="15" customHeight="1" x14ac:dyDescent="0.25">
      <c r="A3" s="121" t="s">
        <v>259</v>
      </c>
      <c r="B3" s="93"/>
      <c r="C3" s="93"/>
      <c r="D3" s="93"/>
      <c r="E3" s="93"/>
      <c r="F3" s="93"/>
      <c r="G3" s="93"/>
      <c r="H3" s="93"/>
      <c r="I3" s="93"/>
      <c r="J3" s="93"/>
      <c r="K3" s="93"/>
    </row>
    <row r="4" spans="1:11" ht="15" customHeight="1" x14ac:dyDescent="0.25">
      <c r="A4" s="43" t="s">
        <v>260</v>
      </c>
      <c r="B4" s="43">
        <v>400</v>
      </c>
      <c r="C4" s="43">
        <v>500</v>
      </c>
      <c r="D4" s="43">
        <v>600</v>
      </c>
      <c r="E4" s="43">
        <v>700</v>
      </c>
      <c r="F4" s="43">
        <v>800</v>
      </c>
      <c r="G4" s="43">
        <v>900</v>
      </c>
      <c r="H4" s="43">
        <v>1000</v>
      </c>
      <c r="I4" s="43">
        <v>1100</v>
      </c>
      <c r="J4" s="43">
        <v>1200</v>
      </c>
      <c r="K4" s="43">
        <v>1300</v>
      </c>
    </row>
    <row r="5" spans="1:11" ht="15" customHeight="1" x14ac:dyDescent="0.25">
      <c r="A5" s="43">
        <v>550</v>
      </c>
      <c r="B5" s="44">
        <v>915</v>
      </c>
      <c r="C5" s="44">
        <v>949</v>
      </c>
      <c r="D5" s="44">
        <v>981</v>
      </c>
      <c r="E5" s="44">
        <v>1016</v>
      </c>
      <c r="F5" s="51"/>
      <c r="G5" s="51"/>
      <c r="H5" s="51"/>
      <c r="I5" s="51"/>
      <c r="J5" s="51"/>
      <c r="K5" s="51"/>
    </row>
    <row r="6" spans="1:11" ht="15" customHeight="1" x14ac:dyDescent="0.25">
      <c r="A6" s="43">
        <v>650</v>
      </c>
      <c r="B6" s="44">
        <v>944</v>
      </c>
      <c r="C6" s="44">
        <v>979</v>
      </c>
      <c r="D6" s="44">
        <v>1016</v>
      </c>
      <c r="E6" s="44">
        <v>1052</v>
      </c>
      <c r="F6" s="44">
        <v>1089</v>
      </c>
      <c r="G6" s="51"/>
      <c r="H6" s="51"/>
      <c r="I6" s="51"/>
      <c r="J6" s="51"/>
      <c r="K6" s="51"/>
    </row>
    <row r="7" spans="1:11" ht="15" customHeight="1" x14ac:dyDescent="0.25">
      <c r="A7" s="43">
        <v>750</v>
      </c>
      <c r="B7" s="44">
        <v>976</v>
      </c>
      <c r="C7" s="44">
        <v>1013</v>
      </c>
      <c r="D7" s="44">
        <v>1051</v>
      </c>
      <c r="E7" s="44">
        <v>1090</v>
      </c>
      <c r="F7" s="44">
        <v>1128</v>
      </c>
      <c r="G7" s="44">
        <v>1164</v>
      </c>
      <c r="H7" s="51"/>
      <c r="I7" s="51"/>
      <c r="J7" s="51"/>
      <c r="K7" s="51"/>
    </row>
    <row r="8" spans="1:11" ht="15" customHeight="1" x14ac:dyDescent="0.25">
      <c r="A8" s="43">
        <v>850</v>
      </c>
      <c r="B8" s="44">
        <v>1009</v>
      </c>
      <c r="C8" s="44">
        <v>1048</v>
      </c>
      <c r="D8" s="44">
        <v>1087</v>
      </c>
      <c r="E8" s="44">
        <v>1128</v>
      </c>
      <c r="F8" s="44">
        <v>1165</v>
      </c>
      <c r="G8" s="44">
        <v>1206</v>
      </c>
      <c r="H8" s="44">
        <v>1243</v>
      </c>
      <c r="I8" s="44">
        <v>1281</v>
      </c>
      <c r="J8" s="51"/>
      <c r="K8" s="51"/>
    </row>
    <row r="9" spans="1:11" ht="15" customHeight="1" x14ac:dyDescent="0.25">
      <c r="A9" s="43">
        <v>950</v>
      </c>
      <c r="B9" s="44">
        <v>1038</v>
      </c>
      <c r="C9" s="44">
        <v>1081</v>
      </c>
      <c r="D9" s="44">
        <v>1124</v>
      </c>
      <c r="E9" s="44">
        <v>1163</v>
      </c>
      <c r="F9" s="44">
        <v>1205</v>
      </c>
      <c r="G9" s="44">
        <v>1243</v>
      </c>
      <c r="H9" s="44">
        <v>1282</v>
      </c>
      <c r="I9" s="44">
        <v>1323</v>
      </c>
      <c r="J9" s="44">
        <v>1366</v>
      </c>
      <c r="K9" s="51"/>
    </row>
    <row r="10" spans="1:11" ht="15" customHeight="1" x14ac:dyDescent="0.25">
      <c r="A10" s="43">
        <v>1050</v>
      </c>
      <c r="B10" s="44">
        <v>1072</v>
      </c>
      <c r="C10" s="44">
        <v>1114</v>
      </c>
      <c r="D10" s="44">
        <v>1156</v>
      </c>
      <c r="E10" s="44">
        <v>1199</v>
      </c>
      <c r="F10" s="44">
        <v>1241</v>
      </c>
      <c r="G10" s="44">
        <v>1281</v>
      </c>
      <c r="H10" s="44">
        <v>1323</v>
      </c>
      <c r="I10" s="44">
        <v>1367</v>
      </c>
      <c r="J10" s="44">
        <v>1410</v>
      </c>
      <c r="K10" s="44">
        <v>1434</v>
      </c>
    </row>
    <row r="11" spans="1:11" ht="15" customHeight="1" x14ac:dyDescent="0.25">
      <c r="A11" s="43">
        <v>1150</v>
      </c>
      <c r="B11" s="44">
        <v>1104</v>
      </c>
      <c r="C11" s="44">
        <v>1149</v>
      </c>
      <c r="D11" s="44">
        <v>1190</v>
      </c>
      <c r="E11" s="44">
        <v>1235</v>
      </c>
      <c r="F11" s="44">
        <v>1278</v>
      </c>
      <c r="G11" s="44">
        <v>1321</v>
      </c>
      <c r="H11" s="44">
        <v>1367</v>
      </c>
      <c r="I11" s="44">
        <v>1410</v>
      </c>
      <c r="J11" s="44">
        <v>1452</v>
      </c>
      <c r="K11" s="44">
        <v>1476</v>
      </c>
    </row>
    <row r="12" spans="1:11" ht="15" customHeight="1" x14ac:dyDescent="0.25">
      <c r="A12" s="43">
        <v>1250</v>
      </c>
      <c r="B12" s="44">
        <v>1136</v>
      </c>
      <c r="C12" s="44">
        <v>1182</v>
      </c>
      <c r="D12" s="44">
        <v>1225</v>
      </c>
      <c r="E12" s="44">
        <v>1270</v>
      </c>
      <c r="F12" s="44">
        <v>1316</v>
      </c>
      <c r="G12" s="44">
        <v>1364</v>
      </c>
      <c r="H12" s="44">
        <v>1407</v>
      </c>
      <c r="I12" s="44">
        <v>1450</v>
      </c>
      <c r="J12" s="44">
        <v>1497</v>
      </c>
      <c r="K12" s="44">
        <v>1520</v>
      </c>
    </row>
    <row r="13" spans="1:11" ht="15" customHeight="1" x14ac:dyDescent="0.25">
      <c r="A13" s="43">
        <v>1350</v>
      </c>
      <c r="B13" s="44">
        <v>1165</v>
      </c>
      <c r="C13" s="44">
        <v>1213</v>
      </c>
      <c r="D13" s="44">
        <v>1262</v>
      </c>
      <c r="E13" s="44">
        <v>1308</v>
      </c>
      <c r="F13" s="44">
        <v>1355</v>
      </c>
      <c r="G13" s="44">
        <v>1402</v>
      </c>
      <c r="H13" s="44">
        <v>1447</v>
      </c>
      <c r="I13" s="44">
        <v>1495</v>
      </c>
      <c r="J13" s="44">
        <v>1542</v>
      </c>
      <c r="K13" s="44">
        <v>1567</v>
      </c>
    </row>
    <row r="14" spans="1:11" ht="15" customHeight="1" x14ac:dyDescent="0.25">
      <c r="A14" s="43">
        <v>1450</v>
      </c>
      <c r="B14" s="44">
        <v>1198</v>
      </c>
      <c r="C14" s="44">
        <v>1246</v>
      </c>
      <c r="D14" s="44">
        <v>1296</v>
      </c>
      <c r="E14" s="44">
        <v>1345</v>
      </c>
      <c r="F14" s="44">
        <v>1392</v>
      </c>
      <c r="G14" s="44">
        <v>1441</v>
      </c>
      <c r="H14" s="44">
        <v>1490</v>
      </c>
      <c r="I14" s="44">
        <v>1539</v>
      </c>
      <c r="J14" s="44">
        <v>1586</v>
      </c>
      <c r="K14" s="44">
        <v>1610</v>
      </c>
    </row>
    <row r="15" spans="1:11" ht="15" customHeight="1" x14ac:dyDescent="0.25">
      <c r="A15" s="43">
        <v>1550</v>
      </c>
      <c r="B15" s="44">
        <v>1229</v>
      </c>
      <c r="C15" s="44">
        <v>1279</v>
      </c>
      <c r="D15" s="44">
        <v>1330</v>
      </c>
      <c r="E15" s="44">
        <v>1382</v>
      </c>
      <c r="F15" s="44">
        <v>1430</v>
      </c>
      <c r="G15" s="44">
        <v>1481</v>
      </c>
      <c r="H15" s="44">
        <v>1530</v>
      </c>
      <c r="I15" s="44">
        <v>1581</v>
      </c>
      <c r="J15" s="44">
        <v>1631</v>
      </c>
      <c r="K15" s="44">
        <v>1658</v>
      </c>
    </row>
    <row r="16" spans="1:11" ht="15" customHeight="1" x14ac:dyDescent="0.25">
      <c r="A16" s="43">
        <v>1650</v>
      </c>
      <c r="B16" s="44">
        <v>1262</v>
      </c>
      <c r="C16" s="44">
        <v>1312</v>
      </c>
      <c r="D16" s="44">
        <v>1365</v>
      </c>
      <c r="E16" s="44">
        <v>1414</v>
      </c>
      <c r="F16" s="44">
        <v>1469</v>
      </c>
      <c r="G16" s="44">
        <v>1519</v>
      </c>
      <c r="H16" s="44">
        <v>1571</v>
      </c>
      <c r="I16" s="44">
        <v>1624</v>
      </c>
      <c r="J16" s="44">
        <v>1677</v>
      </c>
      <c r="K16" s="44">
        <v>1703</v>
      </c>
    </row>
    <row r="17" spans="1:11" ht="15" customHeight="1" x14ac:dyDescent="0.25">
      <c r="A17" s="43">
        <v>1750</v>
      </c>
      <c r="B17" s="44">
        <v>1293</v>
      </c>
      <c r="C17" s="44">
        <v>1347</v>
      </c>
      <c r="D17" s="44">
        <v>1400</v>
      </c>
      <c r="E17" s="44">
        <v>1450</v>
      </c>
      <c r="F17" s="44">
        <v>1507</v>
      </c>
      <c r="G17" s="44">
        <v>1559</v>
      </c>
      <c r="H17" s="44">
        <v>1614</v>
      </c>
      <c r="I17" s="44">
        <v>1666</v>
      </c>
      <c r="J17" s="44">
        <v>1720</v>
      </c>
      <c r="K17" s="44">
        <v>1747</v>
      </c>
    </row>
    <row r="18" spans="1:11" ht="15" customHeight="1" x14ac:dyDescent="0.25">
      <c r="A18" s="43">
        <v>1850</v>
      </c>
      <c r="B18" s="44">
        <v>1323</v>
      </c>
      <c r="C18" s="44">
        <v>1382</v>
      </c>
      <c r="D18" s="44">
        <v>1435</v>
      </c>
      <c r="E18" s="44">
        <v>1488</v>
      </c>
      <c r="F18" s="44">
        <v>1544</v>
      </c>
      <c r="G18" s="44">
        <v>1599</v>
      </c>
      <c r="H18" s="44">
        <v>1655</v>
      </c>
      <c r="I18" s="44">
        <v>1710</v>
      </c>
      <c r="J18" s="44">
        <v>1764</v>
      </c>
      <c r="K18" s="44">
        <v>1790</v>
      </c>
    </row>
    <row r="19" spans="1:11" ht="15" customHeight="1" x14ac:dyDescent="0.25">
      <c r="A19" s="43">
        <v>1950</v>
      </c>
      <c r="B19" s="44">
        <v>1358</v>
      </c>
      <c r="C19" s="44">
        <v>1412</v>
      </c>
      <c r="D19" s="44">
        <v>1470</v>
      </c>
      <c r="E19" s="44">
        <v>1525</v>
      </c>
      <c r="F19" s="44">
        <v>1582</v>
      </c>
      <c r="G19" s="44">
        <v>1641</v>
      </c>
      <c r="H19" s="44">
        <v>1698</v>
      </c>
      <c r="I19" s="44">
        <v>1753</v>
      </c>
      <c r="J19" s="44">
        <v>1807</v>
      </c>
      <c r="K19" s="44">
        <v>1836</v>
      </c>
    </row>
    <row r="20" spans="1:11" ht="15" customHeight="1" x14ac:dyDescent="0.25">
      <c r="A20" s="43">
        <v>2050</v>
      </c>
      <c r="B20" s="44">
        <v>1388</v>
      </c>
      <c r="C20" s="44">
        <v>1445</v>
      </c>
      <c r="D20" s="44">
        <v>1503</v>
      </c>
      <c r="E20" s="44">
        <v>1560</v>
      </c>
      <c r="F20" s="44">
        <v>1621</v>
      </c>
      <c r="G20" s="44">
        <v>1678</v>
      </c>
      <c r="H20" s="44">
        <v>1737</v>
      </c>
      <c r="I20" s="44">
        <v>1794</v>
      </c>
      <c r="J20" s="44">
        <v>1853</v>
      </c>
      <c r="K20" s="44">
        <v>1881</v>
      </c>
    </row>
    <row r="21" spans="1:11" ht="15" customHeight="1" x14ac:dyDescent="0.25">
      <c r="A21" s="43">
        <v>2150</v>
      </c>
      <c r="B21" s="44">
        <v>1422</v>
      </c>
      <c r="C21" s="44">
        <v>1479</v>
      </c>
      <c r="D21" s="44">
        <v>1539</v>
      </c>
      <c r="E21" s="44">
        <v>1598</v>
      </c>
      <c r="F21" s="44">
        <v>1658</v>
      </c>
      <c r="G21" s="44">
        <v>1716</v>
      </c>
      <c r="H21" s="44">
        <v>1778</v>
      </c>
      <c r="I21" s="44">
        <v>1836</v>
      </c>
      <c r="J21" s="44">
        <v>1897</v>
      </c>
      <c r="K21" s="44">
        <v>1929</v>
      </c>
    </row>
    <row r="22" spans="1:11" ht="15" customHeight="1" x14ac:dyDescent="0.25">
      <c r="A22" s="43">
        <v>2250</v>
      </c>
      <c r="B22" s="44">
        <v>1450</v>
      </c>
      <c r="C22" s="44">
        <v>1514</v>
      </c>
      <c r="D22" s="44">
        <v>1572</v>
      </c>
      <c r="E22" s="44">
        <v>1635</v>
      </c>
      <c r="F22" s="44">
        <v>1698</v>
      </c>
      <c r="G22" s="44">
        <v>1757</v>
      </c>
      <c r="H22" s="44">
        <v>1819</v>
      </c>
      <c r="I22" s="44">
        <v>1881</v>
      </c>
      <c r="J22" s="44">
        <v>1942</v>
      </c>
      <c r="K22" s="44">
        <v>2002</v>
      </c>
    </row>
    <row r="23" spans="1:11" ht="15" customHeight="1" x14ac:dyDescent="0.25">
      <c r="A23" s="43">
        <v>2350</v>
      </c>
      <c r="B23" s="44">
        <v>1469</v>
      </c>
      <c r="C23" s="44">
        <v>1530</v>
      </c>
      <c r="D23" s="44">
        <v>1591</v>
      </c>
      <c r="E23" s="44">
        <v>1655</v>
      </c>
      <c r="F23" s="44">
        <v>1714</v>
      </c>
      <c r="G23" s="44">
        <v>1779</v>
      </c>
      <c r="H23" s="44">
        <v>1839</v>
      </c>
      <c r="I23" s="44">
        <v>1905</v>
      </c>
      <c r="J23" s="44">
        <v>1970</v>
      </c>
      <c r="K23" s="44">
        <v>2034</v>
      </c>
    </row>
    <row r="24" spans="1:11" ht="15" customHeight="1" x14ac:dyDescent="0.25">
      <c r="A24" s="43">
        <v>2450</v>
      </c>
      <c r="B24" s="44">
        <v>1476</v>
      </c>
      <c r="C24" s="44">
        <v>1539</v>
      </c>
      <c r="D24" s="44">
        <v>1599</v>
      </c>
      <c r="E24" s="44">
        <v>1663</v>
      </c>
      <c r="F24" s="44">
        <v>1724</v>
      </c>
      <c r="G24" s="44">
        <v>1787</v>
      </c>
      <c r="H24" s="44">
        <v>1850</v>
      </c>
      <c r="I24" s="44">
        <v>1915</v>
      </c>
      <c r="J24" s="44">
        <v>1982</v>
      </c>
      <c r="K24" s="44">
        <v>2047</v>
      </c>
    </row>
    <row r="25" spans="1:11" ht="15" customHeight="1" x14ac:dyDescent="0.25">
      <c r="A25" s="43">
        <v>2500</v>
      </c>
      <c r="B25" s="44">
        <v>1485</v>
      </c>
      <c r="C25" s="44">
        <v>1545</v>
      </c>
      <c r="D25" s="44">
        <v>1607</v>
      </c>
      <c r="E25" s="44">
        <v>1671</v>
      </c>
      <c r="F25" s="44">
        <v>1734</v>
      </c>
      <c r="G25" s="44">
        <v>1794</v>
      </c>
      <c r="H25" s="44">
        <v>1859</v>
      </c>
      <c r="I25" s="44">
        <v>1926</v>
      </c>
      <c r="J25" s="44">
        <v>1993</v>
      </c>
      <c r="K25" s="44">
        <v>2060</v>
      </c>
    </row>
    <row r="26" spans="1:11" ht="15" customHeight="1" x14ac:dyDescent="0.25">
      <c r="A26" s="46" t="s">
        <v>243</v>
      </c>
      <c r="B26" s="47">
        <v>140</v>
      </c>
      <c r="C26" s="47">
        <v>145</v>
      </c>
      <c r="D26" s="47">
        <v>152</v>
      </c>
      <c r="E26" s="47">
        <v>158</v>
      </c>
      <c r="F26" s="47">
        <v>165</v>
      </c>
      <c r="G26" s="47">
        <v>172</v>
      </c>
      <c r="H26" s="47">
        <v>181</v>
      </c>
      <c r="I26" s="47">
        <v>188</v>
      </c>
      <c r="J26" s="47">
        <v>194</v>
      </c>
      <c r="K26" s="47">
        <v>206</v>
      </c>
    </row>
    <row r="28" spans="1:11" ht="15" customHeight="1" x14ac:dyDescent="0.25">
      <c r="A28" s="121" t="s">
        <v>261</v>
      </c>
      <c r="B28" s="93"/>
      <c r="C28" s="93"/>
      <c r="D28" s="93"/>
      <c r="E28" s="93"/>
      <c r="F28" s="93"/>
      <c r="G28" s="93"/>
      <c r="H28" s="93"/>
      <c r="I28" s="93"/>
      <c r="J28" s="93"/>
      <c r="K28" s="93"/>
    </row>
    <row r="29" spans="1:11" ht="15" customHeight="1" x14ac:dyDescent="0.25">
      <c r="A29" s="43" t="s">
        <v>260</v>
      </c>
      <c r="B29" s="43">
        <v>400</v>
      </c>
      <c r="C29" s="43">
        <v>500</v>
      </c>
      <c r="D29" s="43">
        <v>600</v>
      </c>
      <c r="E29" s="43">
        <v>700</v>
      </c>
      <c r="F29" s="43">
        <v>800</v>
      </c>
      <c r="G29" s="43">
        <v>900</v>
      </c>
      <c r="H29" s="43">
        <v>1000</v>
      </c>
      <c r="I29" s="43">
        <v>1100</v>
      </c>
      <c r="J29" s="43">
        <v>1200</v>
      </c>
      <c r="K29" s="43">
        <v>1300</v>
      </c>
    </row>
    <row r="30" spans="1:11" ht="15" customHeight="1" x14ac:dyDescent="0.25">
      <c r="A30" s="43">
        <v>550</v>
      </c>
      <c r="B30" s="45">
        <v>0.5</v>
      </c>
      <c r="C30" s="45">
        <v>0.5</v>
      </c>
      <c r="D30" s="45">
        <v>0.5</v>
      </c>
      <c r="E30" s="45">
        <v>0.5</v>
      </c>
      <c r="F30" s="52"/>
      <c r="G30" s="52"/>
      <c r="H30" s="52"/>
      <c r="I30" s="52"/>
      <c r="J30" s="52"/>
      <c r="K30" s="52"/>
    </row>
    <row r="31" spans="1:11" ht="15" customHeight="1" x14ac:dyDescent="0.25">
      <c r="A31" s="43">
        <v>650</v>
      </c>
      <c r="B31" s="45">
        <v>0.5</v>
      </c>
      <c r="C31" s="45">
        <v>0.5</v>
      </c>
      <c r="D31" s="45">
        <v>0.5</v>
      </c>
      <c r="E31" s="45">
        <v>0.5</v>
      </c>
      <c r="F31" s="45">
        <v>0.5</v>
      </c>
      <c r="G31" s="52"/>
      <c r="H31" s="52"/>
      <c r="I31" s="52"/>
      <c r="J31" s="52"/>
      <c r="K31" s="52"/>
    </row>
    <row r="32" spans="1:11" ht="15" customHeight="1" x14ac:dyDescent="0.25">
      <c r="A32" s="43">
        <v>750</v>
      </c>
      <c r="B32" s="45">
        <v>0.5</v>
      </c>
      <c r="C32" s="45">
        <v>0.5</v>
      </c>
      <c r="D32" s="45">
        <v>0.5</v>
      </c>
      <c r="E32" s="45">
        <v>0.5</v>
      </c>
      <c r="F32" s="45">
        <v>0.5</v>
      </c>
      <c r="G32" s="45">
        <v>0.5</v>
      </c>
      <c r="H32" s="52"/>
      <c r="I32" s="52"/>
      <c r="J32" s="52"/>
      <c r="K32" s="52"/>
    </row>
    <row r="33" spans="1:11" ht="15" customHeight="1" x14ac:dyDescent="0.25">
      <c r="A33" s="43">
        <v>850</v>
      </c>
      <c r="B33" s="45">
        <v>0.5</v>
      </c>
      <c r="C33" s="45">
        <v>0.5</v>
      </c>
      <c r="D33" s="45">
        <v>0.5</v>
      </c>
      <c r="E33" s="45">
        <v>0.5</v>
      </c>
      <c r="F33" s="45">
        <v>0.5</v>
      </c>
      <c r="G33" s="45">
        <v>0.5</v>
      </c>
      <c r="H33" s="45">
        <v>0.56000000000000005</v>
      </c>
      <c r="I33" s="45">
        <v>0.63</v>
      </c>
      <c r="J33" s="52"/>
      <c r="K33" s="52"/>
    </row>
    <row r="34" spans="1:11" ht="15" customHeight="1" x14ac:dyDescent="0.25">
      <c r="A34" s="43">
        <v>950</v>
      </c>
      <c r="B34" s="45">
        <v>0.5</v>
      </c>
      <c r="C34" s="45">
        <v>0.5</v>
      </c>
      <c r="D34" s="45">
        <v>0.5</v>
      </c>
      <c r="E34" s="45">
        <v>0.5</v>
      </c>
      <c r="F34" s="45">
        <v>0.5</v>
      </c>
      <c r="G34" s="45">
        <v>0.56999999999999995</v>
      </c>
      <c r="H34" s="45">
        <v>0.65</v>
      </c>
      <c r="I34" s="45">
        <v>0.72</v>
      </c>
      <c r="J34" s="45">
        <v>0.8</v>
      </c>
      <c r="K34" s="52"/>
    </row>
    <row r="35" spans="1:11" ht="15" customHeight="1" x14ac:dyDescent="0.25">
      <c r="A35" s="43">
        <v>1050</v>
      </c>
      <c r="B35" s="45">
        <v>0.5</v>
      </c>
      <c r="C35" s="45">
        <v>0.5</v>
      </c>
      <c r="D35" s="45">
        <v>0.5</v>
      </c>
      <c r="E35" s="45">
        <v>0.5</v>
      </c>
      <c r="F35" s="45">
        <v>0.56000000000000005</v>
      </c>
      <c r="G35" s="45">
        <v>0.65</v>
      </c>
      <c r="H35" s="45">
        <v>0.73</v>
      </c>
      <c r="I35" s="45">
        <v>0.82</v>
      </c>
      <c r="J35" s="45">
        <v>0.9</v>
      </c>
      <c r="K35" s="45">
        <v>0.99</v>
      </c>
    </row>
    <row r="36" spans="1:11" ht="15" customHeight="1" x14ac:dyDescent="0.25">
      <c r="A36" s="43">
        <v>1150</v>
      </c>
      <c r="B36" s="45">
        <v>0.5</v>
      </c>
      <c r="C36" s="45">
        <v>0.5</v>
      </c>
      <c r="D36" s="45">
        <v>0.5</v>
      </c>
      <c r="E36" s="45">
        <v>0.53</v>
      </c>
      <c r="F36" s="45">
        <v>0.63</v>
      </c>
      <c r="G36" s="45">
        <v>0.72</v>
      </c>
      <c r="H36" s="45">
        <v>0.82</v>
      </c>
      <c r="I36" s="45">
        <v>0.91</v>
      </c>
      <c r="J36" s="45">
        <v>1.01</v>
      </c>
      <c r="K36" s="45">
        <v>1.1100000000000001</v>
      </c>
    </row>
    <row r="37" spans="1:11" ht="15" customHeight="1" x14ac:dyDescent="0.25">
      <c r="A37" s="43">
        <v>1250</v>
      </c>
      <c r="B37" s="45">
        <v>0.5</v>
      </c>
      <c r="C37" s="45">
        <v>0.5</v>
      </c>
      <c r="D37" s="45">
        <v>0.5</v>
      </c>
      <c r="E37" s="45">
        <v>0.59</v>
      </c>
      <c r="F37" s="45">
        <v>0.69</v>
      </c>
      <c r="G37" s="45">
        <v>0.8</v>
      </c>
      <c r="H37" s="45">
        <v>0.9</v>
      </c>
      <c r="I37" s="45">
        <v>1.01</v>
      </c>
      <c r="J37" s="45">
        <v>1.1200000000000001</v>
      </c>
      <c r="K37" s="45">
        <v>1.22</v>
      </c>
    </row>
    <row r="38" spans="1:11" ht="15" customHeight="1" x14ac:dyDescent="0.25">
      <c r="A38" s="43">
        <v>1350</v>
      </c>
      <c r="B38" s="45">
        <v>0.5</v>
      </c>
      <c r="C38" s="45">
        <v>0.5</v>
      </c>
      <c r="D38" s="45">
        <v>0.53</v>
      </c>
      <c r="E38" s="45">
        <v>0.64</v>
      </c>
      <c r="F38" s="45">
        <v>0.76</v>
      </c>
      <c r="G38" s="45">
        <v>0.87</v>
      </c>
      <c r="H38" s="45">
        <v>0.99</v>
      </c>
      <c r="I38" s="45">
        <v>1.1100000000000001</v>
      </c>
      <c r="J38" s="45">
        <v>1.22</v>
      </c>
      <c r="K38" s="45">
        <v>1.34</v>
      </c>
    </row>
    <row r="39" spans="1:11" ht="15" customHeight="1" x14ac:dyDescent="0.25">
      <c r="A39" s="43">
        <v>1450</v>
      </c>
      <c r="B39" s="45">
        <v>0.5</v>
      </c>
      <c r="C39" s="45">
        <v>0.5</v>
      </c>
      <c r="D39" s="45">
        <v>0.56999999999999995</v>
      </c>
      <c r="E39" s="45">
        <v>0.7</v>
      </c>
      <c r="F39" s="45">
        <v>0.82</v>
      </c>
      <c r="G39" s="45">
        <v>0.95</v>
      </c>
      <c r="H39" s="45">
        <v>1.08</v>
      </c>
      <c r="I39" s="45">
        <v>1.2</v>
      </c>
      <c r="J39" s="45">
        <v>1.33</v>
      </c>
      <c r="K39" s="45">
        <v>1.45</v>
      </c>
    </row>
    <row r="40" spans="1:11" ht="15" customHeight="1" x14ac:dyDescent="0.25">
      <c r="A40" s="43">
        <v>1550</v>
      </c>
      <c r="B40" s="45">
        <v>0.5</v>
      </c>
      <c r="C40" s="45">
        <v>0.5</v>
      </c>
      <c r="D40" s="45">
        <v>0.62</v>
      </c>
      <c r="E40" s="45">
        <v>0.75</v>
      </c>
      <c r="F40" s="45">
        <v>0.89</v>
      </c>
      <c r="G40" s="45">
        <v>1.03</v>
      </c>
      <c r="H40" s="45">
        <v>1.1599999999999999</v>
      </c>
      <c r="I40" s="45">
        <v>1.3</v>
      </c>
      <c r="J40" s="45">
        <v>1.43</v>
      </c>
      <c r="K40" s="45">
        <v>1.57</v>
      </c>
    </row>
    <row r="41" spans="1:11" ht="15" customHeight="1" x14ac:dyDescent="0.25">
      <c r="A41" s="43">
        <v>1650</v>
      </c>
      <c r="B41" s="45">
        <v>0.5</v>
      </c>
      <c r="C41" s="45">
        <v>0.52</v>
      </c>
      <c r="D41" s="45">
        <v>0.66</v>
      </c>
      <c r="E41" s="45">
        <v>0.81</v>
      </c>
      <c r="F41" s="45">
        <v>0.96</v>
      </c>
      <c r="G41" s="45">
        <v>1.1000000000000001</v>
      </c>
      <c r="H41" s="45">
        <v>1.25</v>
      </c>
      <c r="I41" s="45">
        <v>1.39</v>
      </c>
      <c r="J41" s="45">
        <v>1.54</v>
      </c>
      <c r="K41" s="45">
        <v>1.68</v>
      </c>
    </row>
    <row r="42" spans="1:11" ht="15" customHeight="1" x14ac:dyDescent="0.25">
      <c r="A42" s="43">
        <v>1750</v>
      </c>
      <c r="B42" s="45">
        <v>0.5</v>
      </c>
      <c r="C42" s="45">
        <v>0.55000000000000004</v>
      </c>
      <c r="D42" s="45">
        <v>0.71</v>
      </c>
      <c r="E42" s="45">
        <v>0.87</v>
      </c>
      <c r="F42" s="45">
        <v>1.02</v>
      </c>
      <c r="G42" s="45">
        <v>1.18</v>
      </c>
      <c r="H42" s="45">
        <v>1.33</v>
      </c>
      <c r="I42" s="45">
        <v>1.49</v>
      </c>
      <c r="J42" s="45">
        <v>1.64</v>
      </c>
      <c r="K42" s="45">
        <v>1.8</v>
      </c>
    </row>
    <row r="43" spans="1:11" ht="15" customHeight="1" x14ac:dyDescent="0.25">
      <c r="A43" s="43">
        <v>1850</v>
      </c>
      <c r="B43" s="45">
        <v>0.5</v>
      </c>
      <c r="C43" s="45">
        <v>0.59</v>
      </c>
      <c r="D43" s="45">
        <v>0.76</v>
      </c>
      <c r="E43" s="45">
        <v>0.92</v>
      </c>
      <c r="F43" s="45">
        <v>1.0900000000000001</v>
      </c>
      <c r="G43" s="45">
        <v>1.25</v>
      </c>
      <c r="H43" s="45">
        <v>1.42</v>
      </c>
      <c r="I43" s="45">
        <v>1.58</v>
      </c>
      <c r="J43" s="45">
        <v>1.75</v>
      </c>
      <c r="K43" s="45">
        <v>1.92</v>
      </c>
    </row>
    <row r="44" spans="1:11" ht="15" customHeight="1" x14ac:dyDescent="0.25">
      <c r="A44" s="43">
        <v>1950</v>
      </c>
      <c r="B44" s="45">
        <v>0.5</v>
      </c>
      <c r="C44" s="45">
        <v>0.63</v>
      </c>
      <c r="D44" s="45">
        <v>0.8</v>
      </c>
      <c r="E44" s="45">
        <v>0.98</v>
      </c>
      <c r="F44" s="45">
        <v>1.1499999999999999</v>
      </c>
      <c r="G44" s="45">
        <v>1.33</v>
      </c>
      <c r="H44" s="45">
        <v>1.5</v>
      </c>
      <c r="I44" s="45">
        <v>1.68</v>
      </c>
      <c r="J44" s="45">
        <v>1.86</v>
      </c>
      <c r="K44" s="45">
        <v>2.0299999999999998</v>
      </c>
    </row>
    <row r="45" spans="1:11" ht="15" customHeight="1" x14ac:dyDescent="0.25">
      <c r="A45" s="43">
        <v>2050</v>
      </c>
      <c r="B45" s="45">
        <v>0.5</v>
      </c>
      <c r="C45" s="45">
        <v>0.66</v>
      </c>
      <c r="D45" s="45">
        <v>0.85</v>
      </c>
      <c r="E45" s="45">
        <v>1.03</v>
      </c>
      <c r="F45" s="45">
        <v>1.22</v>
      </c>
      <c r="G45" s="45">
        <v>1.4</v>
      </c>
      <c r="H45" s="45">
        <v>1.59</v>
      </c>
      <c r="I45" s="45">
        <v>1.78</v>
      </c>
      <c r="J45" s="45">
        <v>1.96</v>
      </c>
      <c r="K45" s="45">
        <v>2.15</v>
      </c>
    </row>
    <row r="46" spans="1:11" ht="15" customHeight="1" x14ac:dyDescent="0.25">
      <c r="A46" s="43">
        <v>2150</v>
      </c>
      <c r="B46" s="45">
        <v>0.5</v>
      </c>
      <c r="C46" s="45">
        <v>0.7</v>
      </c>
      <c r="D46" s="45">
        <v>0.89</v>
      </c>
      <c r="E46" s="45">
        <v>1.0900000000000001</v>
      </c>
      <c r="F46" s="45">
        <v>1.28</v>
      </c>
      <c r="G46" s="45">
        <v>1.48</v>
      </c>
      <c r="H46" s="45">
        <v>1.68</v>
      </c>
      <c r="I46" s="45">
        <v>1.87</v>
      </c>
      <c r="J46" s="45">
        <v>2.0699999999999998</v>
      </c>
      <c r="K46" s="45">
        <v>2.2599999999999998</v>
      </c>
    </row>
    <row r="47" spans="1:11" ht="15" customHeight="1" x14ac:dyDescent="0.25">
      <c r="A47" s="43">
        <v>2250</v>
      </c>
      <c r="B47" s="45">
        <v>0.53</v>
      </c>
      <c r="C47" s="45">
        <v>0.73</v>
      </c>
      <c r="D47" s="45">
        <v>0.94</v>
      </c>
      <c r="E47" s="45">
        <v>1.1399999999999999</v>
      </c>
      <c r="F47" s="45">
        <v>1.35</v>
      </c>
      <c r="G47" s="45">
        <v>1.56</v>
      </c>
      <c r="H47" s="45">
        <v>1.76</v>
      </c>
      <c r="I47" s="45">
        <v>1.97</v>
      </c>
      <c r="J47" s="45">
        <v>2.17</v>
      </c>
      <c r="K47" s="45">
        <v>2.38</v>
      </c>
    </row>
    <row r="48" spans="1:11" ht="15" customHeight="1" x14ac:dyDescent="0.25">
      <c r="A48" s="43">
        <v>2350</v>
      </c>
      <c r="B48" s="45">
        <v>0.55000000000000004</v>
      </c>
      <c r="C48" s="45">
        <v>0.77</v>
      </c>
      <c r="D48" s="45">
        <v>0.98</v>
      </c>
      <c r="E48" s="45">
        <v>1.2</v>
      </c>
      <c r="F48" s="45">
        <v>1.42</v>
      </c>
      <c r="G48" s="45">
        <v>1.63</v>
      </c>
      <c r="H48" s="45">
        <v>1.85</v>
      </c>
      <c r="I48" s="45">
        <v>2.06</v>
      </c>
      <c r="J48" s="45">
        <v>2.2799999999999998</v>
      </c>
      <c r="K48" s="45">
        <v>2.4900000000000002</v>
      </c>
    </row>
    <row r="49" spans="1:11" ht="15" customHeight="1" x14ac:dyDescent="0.25">
      <c r="A49" s="43">
        <v>2450</v>
      </c>
      <c r="B49" s="45">
        <v>0.57999999999999996</v>
      </c>
      <c r="C49" s="45">
        <v>0.8</v>
      </c>
      <c r="D49" s="45">
        <v>1.03</v>
      </c>
      <c r="E49" s="45">
        <v>1.26</v>
      </c>
      <c r="F49" s="45">
        <v>1.48</v>
      </c>
      <c r="G49" s="45">
        <v>1.71</v>
      </c>
      <c r="H49" s="45">
        <v>1.93</v>
      </c>
      <c r="I49" s="45">
        <v>2.16</v>
      </c>
      <c r="J49" s="45">
        <v>2.38</v>
      </c>
      <c r="K49" s="45">
        <v>2.61</v>
      </c>
    </row>
    <row r="50" spans="1:11" ht="15" customHeight="1" x14ac:dyDescent="0.25">
      <c r="A50" s="43">
        <v>2500</v>
      </c>
      <c r="B50" s="45">
        <v>0.6</v>
      </c>
      <c r="C50" s="45">
        <v>0.84</v>
      </c>
      <c r="D50" s="45">
        <v>1.08</v>
      </c>
      <c r="E50" s="45">
        <v>1.31</v>
      </c>
      <c r="F50" s="45">
        <v>1.55</v>
      </c>
      <c r="G50" s="45">
        <v>1.78</v>
      </c>
      <c r="H50" s="45">
        <v>2.02</v>
      </c>
      <c r="I50" s="45">
        <v>2.25</v>
      </c>
      <c r="J50" s="45">
        <v>2.4900000000000002</v>
      </c>
      <c r="K50" s="45">
        <v>2.72</v>
      </c>
    </row>
    <row r="52" spans="1:11" ht="15" customHeight="1" x14ac:dyDescent="0.25">
      <c r="A52" s="121" t="s">
        <v>262</v>
      </c>
      <c r="B52" s="93"/>
      <c r="C52" s="93"/>
      <c r="D52" s="93"/>
      <c r="E52" s="93"/>
      <c r="F52" s="93"/>
      <c r="G52" s="93"/>
      <c r="H52" s="93"/>
      <c r="I52" s="93"/>
      <c r="J52" s="93"/>
      <c r="K52" s="93"/>
    </row>
    <row r="53" spans="1:11" ht="15" customHeight="1" x14ac:dyDescent="0.25">
      <c r="A53" s="48" t="s">
        <v>263</v>
      </c>
      <c r="B53" s="49">
        <f>Paramètres!$B$2</f>
        <v>0.51500000000000001</v>
      </c>
    </row>
    <row r="54" spans="1:11" ht="15" customHeight="1" x14ac:dyDescent="0.25">
      <c r="A54" s="43" t="s">
        <v>260</v>
      </c>
      <c r="B54" s="43">
        <v>400</v>
      </c>
      <c r="C54" s="43">
        <v>500</v>
      </c>
      <c r="D54" s="43">
        <v>600</v>
      </c>
      <c r="E54" s="43">
        <v>700</v>
      </c>
      <c r="F54" s="43">
        <v>800</v>
      </c>
      <c r="G54" s="43">
        <v>900</v>
      </c>
      <c r="H54" s="43">
        <v>1000</v>
      </c>
      <c r="I54" s="43">
        <v>1100</v>
      </c>
      <c r="J54" s="43">
        <v>1200</v>
      </c>
      <c r="K54" s="43">
        <v>1300</v>
      </c>
    </row>
    <row r="55" spans="1:11" ht="15" customHeight="1" x14ac:dyDescent="0.25">
      <c r="A55" s="43">
        <v>550</v>
      </c>
      <c r="B55" s="53">
        <f>IF(B5="","",B5*(1-Paramètres!$B$2))</f>
        <v>443.77499999999998</v>
      </c>
      <c r="C55" s="53">
        <f>IF(C5="","",C5*(1-Paramètres!$B$2))</f>
        <v>460.26499999999999</v>
      </c>
      <c r="D55" s="53">
        <f>IF(D5="","",D5*(1-Paramètres!$B$2))</f>
        <v>475.78499999999997</v>
      </c>
      <c r="E55" s="53">
        <f>IF(E5="","",E5*(1-Paramètres!$B$2))</f>
        <v>492.76</v>
      </c>
      <c r="F55" s="54" t="str">
        <f>IF(F5="","",F5*(1-Paramètres!$B$2))</f>
        <v/>
      </c>
      <c r="G55" s="54" t="str">
        <f>IF(G5="","",G5*(1-Paramètres!$B$2))</f>
        <v/>
      </c>
      <c r="H55" s="54" t="str">
        <f>IF(H5="","",H5*(1-Paramètres!$B$2))</f>
        <v/>
      </c>
      <c r="I55" s="54" t="str">
        <f>IF(I5="","",I5*(1-Paramètres!$B$2))</f>
        <v/>
      </c>
      <c r="J55" s="54" t="str">
        <f>IF(J5="","",J5*(1-Paramètres!$B$2))</f>
        <v/>
      </c>
      <c r="K55" s="54" t="str">
        <f>IF(K5="","",K5*(1-Paramètres!$B$2))</f>
        <v/>
      </c>
    </row>
    <row r="56" spans="1:11" ht="15" customHeight="1" x14ac:dyDescent="0.25">
      <c r="A56" s="43">
        <v>650</v>
      </c>
      <c r="B56" s="53">
        <f>IF(B6="","",B6*(1-Paramètres!$B$2))</f>
        <v>457.84</v>
      </c>
      <c r="C56" s="53">
        <f>IF(C6="","",C6*(1-Paramètres!$B$2))</f>
        <v>474.815</v>
      </c>
      <c r="D56" s="53">
        <f>IF(D6="","",D6*(1-Paramètres!$B$2))</f>
        <v>492.76</v>
      </c>
      <c r="E56" s="53">
        <f>IF(E6="","",E6*(1-Paramètres!$B$2))</f>
        <v>510.21999999999997</v>
      </c>
      <c r="F56" s="53">
        <f>IF(F6="","",F6*(1-Paramètres!$B$2))</f>
        <v>528.16499999999996</v>
      </c>
      <c r="G56" s="54" t="str">
        <f>IF(G6="","",G6*(1-Paramètres!$B$2))</f>
        <v/>
      </c>
      <c r="H56" s="54" t="str">
        <f>IF(H6="","",H6*(1-Paramètres!$B$2))</f>
        <v/>
      </c>
      <c r="I56" s="54" t="str">
        <f>IF(I6="","",I6*(1-Paramètres!$B$2))</f>
        <v/>
      </c>
      <c r="J56" s="54" t="str">
        <f>IF(J6="","",J6*(1-Paramètres!$B$2))</f>
        <v/>
      </c>
      <c r="K56" s="54" t="str">
        <f>IF(K6="","",K6*(1-Paramètres!$B$2))</f>
        <v/>
      </c>
    </row>
    <row r="57" spans="1:11" ht="15" customHeight="1" x14ac:dyDescent="0.25">
      <c r="A57" s="43">
        <v>750</v>
      </c>
      <c r="B57" s="53">
        <f>IF(B7="","",B7*(1-Paramètres!$B$2))</f>
        <v>473.36</v>
      </c>
      <c r="C57" s="53">
        <f>IF(C7="","",C7*(1-Paramètres!$B$2))</f>
        <v>491.30500000000001</v>
      </c>
      <c r="D57" s="53">
        <f>IF(D7="","",D7*(1-Paramètres!$B$2))</f>
        <v>509.73500000000001</v>
      </c>
      <c r="E57" s="53">
        <f>IF(E7="","",E7*(1-Paramètres!$B$2))</f>
        <v>528.65</v>
      </c>
      <c r="F57" s="53">
        <f>IF(F7="","",F7*(1-Paramètres!$B$2))</f>
        <v>547.08000000000004</v>
      </c>
      <c r="G57" s="53">
        <f>IF(G7="","",G7*(1-Paramètres!$B$2))</f>
        <v>564.54</v>
      </c>
      <c r="H57" s="54" t="str">
        <f>IF(H7="","",H7*(1-Paramètres!$B$2))</f>
        <v/>
      </c>
      <c r="I57" s="54" t="str">
        <f>IF(I7="","",I7*(1-Paramètres!$B$2))</f>
        <v/>
      </c>
      <c r="J57" s="54" t="str">
        <f>IF(J7="","",J7*(1-Paramètres!$B$2))</f>
        <v/>
      </c>
      <c r="K57" s="54" t="str">
        <f>IF(K7="","",K7*(1-Paramètres!$B$2))</f>
        <v/>
      </c>
    </row>
    <row r="58" spans="1:11" ht="15" customHeight="1" x14ac:dyDescent="0.25">
      <c r="A58" s="43">
        <v>850</v>
      </c>
      <c r="B58" s="53">
        <f>IF(B8="","",B8*(1-Paramètres!$B$2))</f>
        <v>489.36500000000001</v>
      </c>
      <c r="C58" s="53">
        <f>IF(C8="","",C8*(1-Paramètres!$B$2))</f>
        <v>508.28</v>
      </c>
      <c r="D58" s="53">
        <f>IF(D8="","",D8*(1-Paramètres!$B$2))</f>
        <v>527.19499999999994</v>
      </c>
      <c r="E58" s="53">
        <f>IF(E8="","",E8*(1-Paramètres!$B$2))</f>
        <v>547.08000000000004</v>
      </c>
      <c r="F58" s="53">
        <f>IF(F8="","",F8*(1-Paramètres!$B$2))</f>
        <v>565.02499999999998</v>
      </c>
      <c r="G58" s="53">
        <f>IF(G8="","",G8*(1-Paramètres!$B$2))</f>
        <v>584.91</v>
      </c>
      <c r="H58" s="53">
        <f>IF(H8="","",H8*(1-Paramètres!$B$2))</f>
        <v>602.85500000000002</v>
      </c>
      <c r="I58" s="53">
        <f>IF(I8="","",I8*(1-Paramètres!$B$2))</f>
        <v>621.28499999999997</v>
      </c>
      <c r="J58" s="54" t="str">
        <f>IF(J8="","",J8*(1-Paramètres!$B$2))</f>
        <v/>
      </c>
      <c r="K58" s="54" t="str">
        <f>IF(K8="","",K8*(1-Paramètres!$B$2))</f>
        <v/>
      </c>
    </row>
    <row r="59" spans="1:11" ht="15" customHeight="1" x14ac:dyDescent="0.25">
      <c r="A59" s="43">
        <v>950</v>
      </c>
      <c r="B59" s="53">
        <f>IF(B9="","",B9*(1-Paramètres!$B$2))</f>
        <v>503.43</v>
      </c>
      <c r="C59" s="53">
        <f>IF(C9="","",C9*(1-Paramètres!$B$2))</f>
        <v>524.28499999999997</v>
      </c>
      <c r="D59" s="53">
        <f>IF(D9="","",D9*(1-Paramètres!$B$2))</f>
        <v>545.14</v>
      </c>
      <c r="E59" s="53">
        <f>IF(E9="","",E9*(1-Paramètres!$B$2))</f>
        <v>564.05499999999995</v>
      </c>
      <c r="F59" s="53">
        <f>IF(F9="","",F9*(1-Paramètres!$B$2))</f>
        <v>584.42499999999995</v>
      </c>
      <c r="G59" s="53">
        <f>IF(G9="","",G9*(1-Paramètres!$B$2))</f>
        <v>602.85500000000002</v>
      </c>
      <c r="H59" s="53">
        <f>IF(H9="","",H9*(1-Paramètres!$B$2))</f>
        <v>621.77</v>
      </c>
      <c r="I59" s="53">
        <f>IF(I9="","",I9*(1-Paramètres!$B$2))</f>
        <v>641.65499999999997</v>
      </c>
      <c r="J59" s="53">
        <f>IF(J9="","",J9*(1-Paramètres!$B$2))</f>
        <v>662.51</v>
      </c>
      <c r="K59" s="54" t="str">
        <f>IF(K9="","",K9*(1-Paramètres!$B$2))</f>
        <v/>
      </c>
    </row>
    <row r="60" spans="1:11" ht="15" customHeight="1" x14ac:dyDescent="0.25">
      <c r="A60" s="43">
        <v>1050</v>
      </c>
      <c r="B60" s="53">
        <f>IF(B10="","",B10*(1-Paramètres!$B$2))</f>
        <v>519.91999999999996</v>
      </c>
      <c r="C60" s="53">
        <f>IF(C10="","",C10*(1-Paramètres!$B$2))</f>
        <v>540.29</v>
      </c>
      <c r="D60" s="53">
        <f>IF(D10="","",D10*(1-Paramètres!$B$2))</f>
        <v>560.66</v>
      </c>
      <c r="E60" s="53">
        <f>IF(E10="","",E10*(1-Paramètres!$B$2))</f>
        <v>581.51499999999999</v>
      </c>
      <c r="F60" s="53">
        <f>IF(F10="","",F10*(1-Paramètres!$B$2))</f>
        <v>601.88499999999999</v>
      </c>
      <c r="G60" s="53">
        <f>IF(G10="","",G10*(1-Paramètres!$B$2))</f>
        <v>621.28499999999997</v>
      </c>
      <c r="H60" s="53">
        <f>IF(H10="","",H10*(1-Paramètres!$B$2))</f>
        <v>641.65499999999997</v>
      </c>
      <c r="I60" s="53">
        <f>IF(I10="","",I10*(1-Paramètres!$B$2))</f>
        <v>662.995</v>
      </c>
      <c r="J60" s="53">
        <f>IF(J10="","",J10*(1-Paramètres!$B$2))</f>
        <v>683.85</v>
      </c>
      <c r="K60" s="53">
        <f>IF(K10="","",K10*(1-Paramètres!$B$2))</f>
        <v>695.49</v>
      </c>
    </row>
    <row r="61" spans="1:11" ht="15" customHeight="1" x14ac:dyDescent="0.25">
      <c r="A61" s="43">
        <v>1150</v>
      </c>
      <c r="B61" s="53">
        <f>IF(B11="","",B11*(1-Paramètres!$B$2))</f>
        <v>535.43999999999994</v>
      </c>
      <c r="C61" s="53">
        <f>IF(C11="","",C11*(1-Paramètres!$B$2))</f>
        <v>557.26499999999999</v>
      </c>
      <c r="D61" s="53">
        <f>IF(D11="","",D11*(1-Paramètres!$B$2))</f>
        <v>577.15</v>
      </c>
      <c r="E61" s="53">
        <f>IF(E11="","",E11*(1-Paramètres!$B$2))</f>
        <v>598.97500000000002</v>
      </c>
      <c r="F61" s="53">
        <f>IF(F11="","",F11*(1-Paramètres!$B$2))</f>
        <v>619.82999999999993</v>
      </c>
      <c r="G61" s="53">
        <f>IF(G11="","",G11*(1-Paramètres!$B$2))</f>
        <v>640.68499999999995</v>
      </c>
      <c r="H61" s="53">
        <f>IF(H11="","",H11*(1-Paramètres!$B$2))</f>
        <v>662.995</v>
      </c>
      <c r="I61" s="53">
        <f>IF(I11="","",I11*(1-Paramètres!$B$2))</f>
        <v>683.85</v>
      </c>
      <c r="J61" s="53">
        <f>IF(J11="","",J11*(1-Paramètres!$B$2))</f>
        <v>704.22</v>
      </c>
      <c r="K61" s="53">
        <f>IF(K11="","",K11*(1-Paramètres!$B$2))</f>
        <v>715.86</v>
      </c>
    </row>
    <row r="62" spans="1:11" ht="15" customHeight="1" x14ac:dyDescent="0.25">
      <c r="A62" s="43">
        <v>1250</v>
      </c>
      <c r="B62" s="53">
        <f>IF(B12="","",B12*(1-Paramètres!$B$2))</f>
        <v>550.96</v>
      </c>
      <c r="C62" s="53">
        <f>IF(C12="","",C12*(1-Paramètres!$B$2))</f>
        <v>573.27</v>
      </c>
      <c r="D62" s="53">
        <f>IF(D12="","",D12*(1-Paramètres!$B$2))</f>
        <v>594.125</v>
      </c>
      <c r="E62" s="53">
        <f>IF(E12="","",E12*(1-Paramètres!$B$2))</f>
        <v>615.94999999999993</v>
      </c>
      <c r="F62" s="53">
        <f>IF(F12="","",F12*(1-Paramètres!$B$2))</f>
        <v>638.26</v>
      </c>
      <c r="G62" s="53">
        <f>IF(G12="","",G12*(1-Paramètres!$B$2))</f>
        <v>661.54</v>
      </c>
      <c r="H62" s="53">
        <f>IF(H12="","",H12*(1-Paramètres!$B$2))</f>
        <v>682.39499999999998</v>
      </c>
      <c r="I62" s="53">
        <f>IF(I12="","",I12*(1-Paramètres!$B$2))</f>
        <v>703.25</v>
      </c>
      <c r="J62" s="53">
        <f>IF(J12="","",J12*(1-Paramètres!$B$2))</f>
        <v>726.04499999999996</v>
      </c>
      <c r="K62" s="53">
        <f>IF(K12="","",K12*(1-Paramètres!$B$2))</f>
        <v>737.19999999999993</v>
      </c>
    </row>
    <row r="63" spans="1:11" ht="15" customHeight="1" x14ac:dyDescent="0.25">
      <c r="A63" s="43">
        <v>1350</v>
      </c>
      <c r="B63" s="53">
        <f>IF(B13="","",B13*(1-Paramètres!$B$2))</f>
        <v>565.02499999999998</v>
      </c>
      <c r="C63" s="53">
        <f>IF(C13="","",C13*(1-Paramètres!$B$2))</f>
        <v>588.30499999999995</v>
      </c>
      <c r="D63" s="53">
        <f>IF(D13="","",D13*(1-Paramètres!$B$2))</f>
        <v>612.06999999999994</v>
      </c>
      <c r="E63" s="53">
        <f>IF(E13="","",E13*(1-Paramètres!$B$2))</f>
        <v>634.38</v>
      </c>
      <c r="F63" s="53">
        <f>IF(F13="","",F13*(1-Paramètres!$B$2))</f>
        <v>657.17499999999995</v>
      </c>
      <c r="G63" s="53">
        <f>IF(G13="","",G13*(1-Paramètres!$B$2))</f>
        <v>679.97</v>
      </c>
      <c r="H63" s="53">
        <f>IF(H13="","",H13*(1-Paramètres!$B$2))</f>
        <v>701.79499999999996</v>
      </c>
      <c r="I63" s="53">
        <f>IF(I13="","",I13*(1-Paramètres!$B$2))</f>
        <v>725.07499999999993</v>
      </c>
      <c r="J63" s="53">
        <f>IF(J13="","",J13*(1-Paramètres!$B$2))</f>
        <v>747.87</v>
      </c>
      <c r="K63" s="53">
        <f>IF(K13="","",K13*(1-Paramètres!$B$2))</f>
        <v>759.995</v>
      </c>
    </row>
    <row r="64" spans="1:11" ht="15" customHeight="1" x14ac:dyDescent="0.25">
      <c r="A64" s="43">
        <v>1450</v>
      </c>
      <c r="B64" s="53">
        <f>IF(B14="","",B14*(1-Paramètres!$B$2))</f>
        <v>581.03</v>
      </c>
      <c r="C64" s="53">
        <f>IF(C14="","",C14*(1-Paramètres!$B$2))</f>
        <v>604.30999999999995</v>
      </c>
      <c r="D64" s="53">
        <f>IF(D14="","",D14*(1-Paramètres!$B$2))</f>
        <v>628.55999999999995</v>
      </c>
      <c r="E64" s="53">
        <f>IF(E14="","",E14*(1-Paramètres!$B$2))</f>
        <v>652.32499999999993</v>
      </c>
      <c r="F64" s="53">
        <f>IF(F14="","",F14*(1-Paramètres!$B$2))</f>
        <v>675.12</v>
      </c>
      <c r="G64" s="53">
        <f>IF(G14="","",G14*(1-Paramètres!$B$2))</f>
        <v>698.88499999999999</v>
      </c>
      <c r="H64" s="53">
        <f>IF(H14="","",H14*(1-Paramètres!$B$2))</f>
        <v>722.65</v>
      </c>
      <c r="I64" s="53">
        <f>IF(I14="","",I14*(1-Paramètres!$B$2))</f>
        <v>746.41499999999996</v>
      </c>
      <c r="J64" s="53">
        <f>IF(J14="","",J14*(1-Paramètres!$B$2))</f>
        <v>769.20999999999992</v>
      </c>
      <c r="K64" s="53">
        <f>IF(K14="","",K14*(1-Paramètres!$B$2))</f>
        <v>780.85</v>
      </c>
    </row>
    <row r="65" spans="1:11" ht="15" customHeight="1" x14ac:dyDescent="0.25">
      <c r="A65" s="43">
        <v>1550</v>
      </c>
      <c r="B65" s="53">
        <f>IF(B15="","",B15*(1-Paramètres!$B$2))</f>
        <v>596.06499999999994</v>
      </c>
      <c r="C65" s="53">
        <f>IF(C15="","",C15*(1-Paramètres!$B$2))</f>
        <v>620.31499999999994</v>
      </c>
      <c r="D65" s="53">
        <f>IF(D15="","",D15*(1-Paramètres!$B$2))</f>
        <v>645.04999999999995</v>
      </c>
      <c r="E65" s="53">
        <f>IF(E15="","",E15*(1-Paramètres!$B$2))</f>
        <v>670.27</v>
      </c>
      <c r="F65" s="53">
        <f>IF(F15="","",F15*(1-Paramètres!$B$2))</f>
        <v>693.55</v>
      </c>
      <c r="G65" s="53">
        <f>IF(G15="","",G15*(1-Paramètres!$B$2))</f>
        <v>718.28499999999997</v>
      </c>
      <c r="H65" s="53">
        <f>IF(H15="","",H15*(1-Paramètres!$B$2))</f>
        <v>742.05</v>
      </c>
      <c r="I65" s="53">
        <f>IF(I15="","",I15*(1-Paramètres!$B$2))</f>
        <v>766.78499999999997</v>
      </c>
      <c r="J65" s="53">
        <f>IF(J15="","",J15*(1-Paramètres!$B$2))</f>
        <v>791.03499999999997</v>
      </c>
      <c r="K65" s="53">
        <f>IF(K15="","",K15*(1-Paramètres!$B$2))</f>
        <v>804.13</v>
      </c>
    </row>
    <row r="66" spans="1:11" ht="15" customHeight="1" x14ac:dyDescent="0.25">
      <c r="A66" s="43">
        <v>1650</v>
      </c>
      <c r="B66" s="53">
        <f>IF(B16="","",B16*(1-Paramètres!$B$2))</f>
        <v>612.06999999999994</v>
      </c>
      <c r="C66" s="53">
        <f>IF(C16="","",C16*(1-Paramètres!$B$2))</f>
        <v>636.31999999999994</v>
      </c>
      <c r="D66" s="53">
        <f>IF(D16="","",D16*(1-Paramètres!$B$2))</f>
        <v>662.02499999999998</v>
      </c>
      <c r="E66" s="53">
        <f>IF(E16="","",E16*(1-Paramètres!$B$2))</f>
        <v>685.79</v>
      </c>
      <c r="F66" s="53">
        <f>IF(F16="","",F16*(1-Paramètres!$B$2))</f>
        <v>712.46500000000003</v>
      </c>
      <c r="G66" s="53">
        <f>IF(G16="","",G16*(1-Paramètres!$B$2))</f>
        <v>736.71500000000003</v>
      </c>
      <c r="H66" s="53">
        <f>IF(H16="","",H16*(1-Paramètres!$B$2))</f>
        <v>761.93499999999995</v>
      </c>
      <c r="I66" s="53">
        <f>IF(I16="","",I16*(1-Paramètres!$B$2))</f>
        <v>787.64</v>
      </c>
      <c r="J66" s="53">
        <f>IF(J16="","",J16*(1-Paramètres!$B$2))</f>
        <v>813.34500000000003</v>
      </c>
      <c r="K66" s="53">
        <f>IF(K16="","",K16*(1-Paramètres!$B$2))</f>
        <v>825.95499999999993</v>
      </c>
    </row>
    <row r="67" spans="1:11" ht="15" customHeight="1" x14ac:dyDescent="0.25">
      <c r="A67" s="43">
        <v>1750</v>
      </c>
      <c r="B67" s="53">
        <f>IF(B17="","",B17*(1-Paramètres!$B$2))</f>
        <v>627.10500000000002</v>
      </c>
      <c r="C67" s="53">
        <f>IF(C17="","",C17*(1-Paramètres!$B$2))</f>
        <v>653.29499999999996</v>
      </c>
      <c r="D67" s="53">
        <f>IF(D17="","",D17*(1-Paramètres!$B$2))</f>
        <v>679</v>
      </c>
      <c r="E67" s="53">
        <f>IF(E17="","",E17*(1-Paramètres!$B$2))</f>
        <v>703.25</v>
      </c>
      <c r="F67" s="53">
        <f>IF(F17="","",F17*(1-Paramètres!$B$2))</f>
        <v>730.89499999999998</v>
      </c>
      <c r="G67" s="53">
        <f>IF(G17="","",G17*(1-Paramètres!$B$2))</f>
        <v>756.11500000000001</v>
      </c>
      <c r="H67" s="53">
        <f>IF(H17="","",H17*(1-Paramètres!$B$2))</f>
        <v>782.79</v>
      </c>
      <c r="I67" s="53">
        <f>IF(I17="","",I17*(1-Paramètres!$B$2))</f>
        <v>808.01</v>
      </c>
      <c r="J67" s="53">
        <f>IF(J17="","",J17*(1-Paramètres!$B$2))</f>
        <v>834.19999999999993</v>
      </c>
      <c r="K67" s="53">
        <f>IF(K17="","",K17*(1-Paramètres!$B$2))</f>
        <v>847.29499999999996</v>
      </c>
    </row>
    <row r="68" spans="1:11" ht="15" customHeight="1" x14ac:dyDescent="0.25">
      <c r="A68" s="43">
        <v>1850</v>
      </c>
      <c r="B68" s="53">
        <f>IF(B18="","",B18*(1-Paramètres!$B$2))</f>
        <v>641.65499999999997</v>
      </c>
      <c r="C68" s="53">
        <f>IF(C18="","",C18*(1-Paramètres!$B$2))</f>
        <v>670.27</v>
      </c>
      <c r="D68" s="53">
        <f>IF(D18="","",D18*(1-Paramètres!$B$2))</f>
        <v>695.97500000000002</v>
      </c>
      <c r="E68" s="53">
        <f>IF(E18="","",E18*(1-Paramètres!$B$2))</f>
        <v>721.68</v>
      </c>
      <c r="F68" s="53">
        <f>IF(F18="","",F18*(1-Paramètres!$B$2))</f>
        <v>748.84</v>
      </c>
      <c r="G68" s="53">
        <f>IF(G18="","",G18*(1-Paramètres!$B$2))</f>
        <v>775.51499999999999</v>
      </c>
      <c r="H68" s="53">
        <f>IF(H18="","",H18*(1-Paramètres!$B$2))</f>
        <v>802.67499999999995</v>
      </c>
      <c r="I68" s="53">
        <f>IF(I18="","",I18*(1-Paramètres!$B$2))</f>
        <v>829.35</v>
      </c>
      <c r="J68" s="53">
        <f>IF(J18="","",J18*(1-Paramètres!$B$2))</f>
        <v>855.54</v>
      </c>
      <c r="K68" s="53">
        <f>IF(K18="","",K18*(1-Paramètres!$B$2))</f>
        <v>868.15</v>
      </c>
    </row>
    <row r="69" spans="1:11" ht="15" customHeight="1" x14ac:dyDescent="0.25">
      <c r="A69" s="43">
        <v>1950</v>
      </c>
      <c r="B69" s="53">
        <f>IF(B19="","",B19*(1-Paramètres!$B$2))</f>
        <v>658.63</v>
      </c>
      <c r="C69" s="53">
        <f>IF(C19="","",C19*(1-Paramètres!$B$2))</f>
        <v>684.81999999999994</v>
      </c>
      <c r="D69" s="53">
        <f>IF(D19="","",D19*(1-Paramètres!$B$2))</f>
        <v>712.94999999999993</v>
      </c>
      <c r="E69" s="53">
        <f>IF(E19="","",E19*(1-Paramètres!$B$2))</f>
        <v>739.625</v>
      </c>
      <c r="F69" s="53">
        <f>IF(F19="","",F19*(1-Paramètres!$B$2))</f>
        <v>767.27</v>
      </c>
      <c r="G69" s="53">
        <f>IF(G19="","",G19*(1-Paramètres!$B$2))</f>
        <v>795.88499999999999</v>
      </c>
      <c r="H69" s="53">
        <f>IF(H19="","",H19*(1-Paramètres!$B$2))</f>
        <v>823.53</v>
      </c>
      <c r="I69" s="53">
        <f>IF(I19="","",I19*(1-Paramètres!$B$2))</f>
        <v>850.20499999999993</v>
      </c>
      <c r="J69" s="53">
        <f>IF(J19="","",J19*(1-Paramètres!$B$2))</f>
        <v>876.39499999999998</v>
      </c>
      <c r="K69" s="53">
        <f>IF(K19="","",K19*(1-Paramètres!$B$2))</f>
        <v>890.45999999999992</v>
      </c>
    </row>
    <row r="70" spans="1:11" ht="15" customHeight="1" x14ac:dyDescent="0.25">
      <c r="A70" s="43">
        <v>2050</v>
      </c>
      <c r="B70" s="53">
        <f>IF(B20="","",B20*(1-Paramètres!$B$2))</f>
        <v>673.18</v>
      </c>
      <c r="C70" s="53">
        <f>IF(C20="","",C20*(1-Paramètres!$B$2))</f>
        <v>700.82499999999993</v>
      </c>
      <c r="D70" s="53">
        <f>IF(D20="","",D20*(1-Paramètres!$B$2))</f>
        <v>728.95499999999993</v>
      </c>
      <c r="E70" s="53">
        <f>IF(E20="","",E20*(1-Paramètres!$B$2))</f>
        <v>756.6</v>
      </c>
      <c r="F70" s="53">
        <f>IF(F20="","",F20*(1-Paramètres!$B$2))</f>
        <v>786.18499999999995</v>
      </c>
      <c r="G70" s="53">
        <f>IF(G20="","",G20*(1-Paramètres!$B$2))</f>
        <v>813.82999999999993</v>
      </c>
      <c r="H70" s="53">
        <f>IF(H20="","",H20*(1-Paramètres!$B$2))</f>
        <v>842.44499999999994</v>
      </c>
      <c r="I70" s="53">
        <f>IF(I20="","",I20*(1-Paramètres!$B$2))</f>
        <v>870.09</v>
      </c>
      <c r="J70" s="53">
        <f>IF(J20="","",J20*(1-Paramètres!$B$2))</f>
        <v>898.70499999999993</v>
      </c>
      <c r="K70" s="53">
        <f>IF(K20="","",K20*(1-Paramètres!$B$2))</f>
        <v>912.28499999999997</v>
      </c>
    </row>
    <row r="71" spans="1:11" ht="15" customHeight="1" x14ac:dyDescent="0.25">
      <c r="A71" s="43">
        <v>2150</v>
      </c>
      <c r="B71" s="53">
        <f>IF(B21="","",B21*(1-Paramètres!$B$2))</f>
        <v>689.67</v>
      </c>
      <c r="C71" s="53">
        <f>IF(C21="","",C21*(1-Paramètres!$B$2))</f>
        <v>717.31499999999994</v>
      </c>
      <c r="D71" s="53">
        <f>IF(D21="","",D21*(1-Paramètres!$B$2))</f>
        <v>746.41499999999996</v>
      </c>
      <c r="E71" s="53">
        <f>IF(E21="","",E21*(1-Paramètres!$B$2))</f>
        <v>775.03</v>
      </c>
      <c r="F71" s="53">
        <f>IF(F21="","",F21*(1-Paramètres!$B$2))</f>
        <v>804.13</v>
      </c>
      <c r="G71" s="53">
        <f>IF(G21="","",G21*(1-Paramètres!$B$2))</f>
        <v>832.26</v>
      </c>
      <c r="H71" s="53">
        <f>IF(H21="","",H21*(1-Paramètres!$B$2))</f>
        <v>862.32999999999993</v>
      </c>
      <c r="I71" s="53">
        <f>IF(I21="","",I21*(1-Paramètres!$B$2))</f>
        <v>890.45999999999992</v>
      </c>
      <c r="J71" s="53">
        <f>IF(J21="","",J21*(1-Paramètres!$B$2))</f>
        <v>920.04499999999996</v>
      </c>
      <c r="K71" s="53">
        <f>IF(K21="","",K21*(1-Paramètres!$B$2))</f>
        <v>935.56499999999994</v>
      </c>
    </row>
    <row r="72" spans="1:11" ht="15" customHeight="1" x14ac:dyDescent="0.25">
      <c r="A72" s="43">
        <v>2250</v>
      </c>
      <c r="B72" s="53">
        <f>IF(B22="","",B22*(1-Paramètres!$B$2))</f>
        <v>703.25</v>
      </c>
      <c r="C72" s="53">
        <f>IF(C22="","",C22*(1-Paramètres!$B$2))</f>
        <v>734.29</v>
      </c>
      <c r="D72" s="53">
        <f>IF(D22="","",D22*(1-Paramètres!$B$2))</f>
        <v>762.42</v>
      </c>
      <c r="E72" s="53">
        <f>IF(E22="","",E22*(1-Paramètres!$B$2))</f>
        <v>792.97500000000002</v>
      </c>
      <c r="F72" s="53">
        <f>IF(F22="","",F22*(1-Paramètres!$B$2))</f>
        <v>823.53</v>
      </c>
      <c r="G72" s="53">
        <f>IF(G22="","",G22*(1-Paramètres!$B$2))</f>
        <v>852.14499999999998</v>
      </c>
      <c r="H72" s="53">
        <f>IF(H22="","",H22*(1-Paramètres!$B$2))</f>
        <v>882.21500000000003</v>
      </c>
      <c r="I72" s="53">
        <f>IF(I22="","",I22*(1-Paramètres!$B$2))</f>
        <v>912.28499999999997</v>
      </c>
      <c r="J72" s="53">
        <f>IF(J22="","",J22*(1-Paramètres!$B$2))</f>
        <v>941.87</v>
      </c>
      <c r="K72" s="53">
        <f>IF(K22="","",K22*(1-Paramètres!$B$2))</f>
        <v>970.97</v>
      </c>
    </row>
    <row r="73" spans="1:11" ht="15" customHeight="1" x14ac:dyDescent="0.25">
      <c r="A73" s="43">
        <v>2350</v>
      </c>
      <c r="B73" s="53">
        <f>IF(B23="","",B23*(1-Paramètres!$B$2))</f>
        <v>712.46500000000003</v>
      </c>
      <c r="C73" s="53">
        <f>IF(C23="","",C23*(1-Paramètres!$B$2))</f>
        <v>742.05</v>
      </c>
      <c r="D73" s="53">
        <f>IF(D23="","",D23*(1-Paramètres!$B$2))</f>
        <v>771.63499999999999</v>
      </c>
      <c r="E73" s="53">
        <f>IF(E23="","",E23*(1-Paramètres!$B$2))</f>
        <v>802.67499999999995</v>
      </c>
      <c r="F73" s="53">
        <f>IF(F23="","",F23*(1-Paramètres!$B$2))</f>
        <v>831.29</v>
      </c>
      <c r="G73" s="53">
        <f>IF(G23="","",G23*(1-Paramètres!$B$2))</f>
        <v>862.81499999999994</v>
      </c>
      <c r="H73" s="53">
        <f>IF(H23="","",H23*(1-Paramètres!$B$2))</f>
        <v>891.91499999999996</v>
      </c>
      <c r="I73" s="53">
        <f>IF(I23="","",I23*(1-Paramètres!$B$2))</f>
        <v>923.92499999999995</v>
      </c>
      <c r="J73" s="53">
        <f>IF(J23="","",J23*(1-Paramètres!$B$2))</f>
        <v>955.44999999999993</v>
      </c>
      <c r="K73" s="53">
        <f>IF(K23="","",K23*(1-Paramètres!$B$2))</f>
        <v>986.49</v>
      </c>
    </row>
    <row r="74" spans="1:11" ht="15" customHeight="1" x14ac:dyDescent="0.25">
      <c r="A74" s="43">
        <v>2450</v>
      </c>
      <c r="B74" s="53">
        <f>IF(B24="","",B24*(1-Paramètres!$B$2))</f>
        <v>715.86</v>
      </c>
      <c r="C74" s="53">
        <f>IF(C24="","",C24*(1-Paramètres!$B$2))</f>
        <v>746.41499999999996</v>
      </c>
      <c r="D74" s="53">
        <f>IF(D24="","",D24*(1-Paramètres!$B$2))</f>
        <v>775.51499999999999</v>
      </c>
      <c r="E74" s="53">
        <f>IF(E24="","",E24*(1-Paramètres!$B$2))</f>
        <v>806.55499999999995</v>
      </c>
      <c r="F74" s="53">
        <f>IF(F24="","",F24*(1-Paramètres!$B$2))</f>
        <v>836.14</v>
      </c>
      <c r="G74" s="53">
        <f>IF(G24="","",G24*(1-Paramètres!$B$2))</f>
        <v>866.69499999999994</v>
      </c>
      <c r="H74" s="53">
        <f>IF(H24="","",H24*(1-Paramètres!$B$2))</f>
        <v>897.25</v>
      </c>
      <c r="I74" s="53">
        <f>IF(I24="","",I24*(1-Paramètres!$B$2))</f>
        <v>928.77499999999998</v>
      </c>
      <c r="J74" s="53">
        <f>IF(J24="","",J24*(1-Paramètres!$B$2))</f>
        <v>961.27</v>
      </c>
      <c r="K74" s="53">
        <f>IF(K24="","",K24*(1-Paramètres!$B$2))</f>
        <v>992.79499999999996</v>
      </c>
    </row>
    <row r="75" spans="1:11" ht="15" customHeight="1" x14ac:dyDescent="0.25">
      <c r="A75" s="43">
        <v>2500</v>
      </c>
      <c r="B75" s="53">
        <f>IF(B25="","",B25*(1-Paramètres!$B$2))</f>
        <v>720.22500000000002</v>
      </c>
      <c r="C75" s="53">
        <f>IF(C25="","",C25*(1-Paramètres!$B$2))</f>
        <v>749.32499999999993</v>
      </c>
      <c r="D75" s="53">
        <f>IF(D25="","",D25*(1-Paramètres!$B$2))</f>
        <v>779.39499999999998</v>
      </c>
      <c r="E75" s="53">
        <f>IF(E25="","",E25*(1-Paramètres!$B$2))</f>
        <v>810.43499999999995</v>
      </c>
      <c r="F75" s="53">
        <f>IF(F25="","",F25*(1-Paramètres!$B$2))</f>
        <v>840.99</v>
      </c>
      <c r="G75" s="53">
        <f>IF(G25="","",G25*(1-Paramètres!$B$2))</f>
        <v>870.09</v>
      </c>
      <c r="H75" s="53">
        <f>IF(H25="","",H25*(1-Paramètres!$B$2))</f>
        <v>901.61500000000001</v>
      </c>
      <c r="I75" s="53">
        <f>IF(I25="","",I25*(1-Paramètres!$B$2))</f>
        <v>934.11</v>
      </c>
      <c r="J75" s="53">
        <f>IF(J25="","",J25*(1-Paramètres!$B$2))</f>
        <v>966.60500000000002</v>
      </c>
      <c r="K75" s="53">
        <f>IF(K25="","",K25*(1-Paramètres!$B$2))</f>
        <v>999.1</v>
      </c>
    </row>
  </sheetData>
  <mergeCells count="4">
    <mergeCell ref="A52:K52"/>
    <mergeCell ref="A1:K1"/>
    <mergeCell ref="A28:K28"/>
    <mergeCell ref="A3:K3"/>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75"/>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19" width="9" customWidth="1"/>
  </cols>
  <sheetData>
    <row r="1" spans="1:19" ht="24" customHeight="1" x14ac:dyDescent="0.25">
      <c r="A1" s="126" t="s">
        <v>661</v>
      </c>
      <c r="B1" s="93"/>
      <c r="C1" s="93"/>
      <c r="D1" s="93"/>
      <c r="E1" s="93"/>
      <c r="F1" s="93"/>
      <c r="G1" s="93"/>
      <c r="H1" s="93"/>
      <c r="I1" s="93"/>
      <c r="J1" s="93"/>
      <c r="K1" s="93"/>
      <c r="L1" s="93"/>
      <c r="M1" s="93"/>
      <c r="N1" s="93"/>
      <c r="O1" s="93"/>
      <c r="P1" s="93"/>
      <c r="Q1" s="93"/>
      <c r="R1" s="93"/>
      <c r="S1" s="93"/>
    </row>
    <row r="3" spans="1:19" ht="15" customHeight="1" x14ac:dyDescent="0.25">
      <c r="A3" s="121" t="s">
        <v>259</v>
      </c>
      <c r="B3" s="93"/>
      <c r="C3" s="93"/>
      <c r="D3" s="93"/>
      <c r="E3" s="93"/>
      <c r="F3" s="93"/>
      <c r="G3" s="93"/>
      <c r="H3" s="93"/>
      <c r="I3" s="93"/>
      <c r="J3" s="93"/>
      <c r="K3" s="93"/>
      <c r="L3" s="93"/>
      <c r="M3" s="93"/>
      <c r="N3" s="93"/>
      <c r="O3" s="93"/>
      <c r="P3" s="93"/>
      <c r="Q3" s="93"/>
      <c r="R3" s="93"/>
      <c r="S3" s="93"/>
    </row>
    <row r="4" spans="1:19" ht="15" customHeight="1" x14ac:dyDescent="0.25">
      <c r="A4" s="43" t="s">
        <v>260</v>
      </c>
      <c r="B4" s="43">
        <v>700</v>
      </c>
      <c r="C4" s="43">
        <v>800</v>
      </c>
      <c r="D4" s="43">
        <v>900</v>
      </c>
      <c r="E4" s="43">
        <v>1000</v>
      </c>
      <c r="F4" s="43">
        <v>1100</v>
      </c>
      <c r="G4" s="43">
        <v>1200</v>
      </c>
      <c r="H4" s="43">
        <v>1300</v>
      </c>
      <c r="I4" s="43">
        <v>1400</v>
      </c>
      <c r="J4" s="43">
        <v>1500</v>
      </c>
      <c r="K4" s="43">
        <v>1600</v>
      </c>
      <c r="L4" s="43">
        <v>1700</v>
      </c>
      <c r="M4" s="43">
        <v>1800</v>
      </c>
      <c r="N4" s="43">
        <v>1900</v>
      </c>
      <c r="O4" s="43">
        <v>2000</v>
      </c>
      <c r="P4" s="43">
        <v>2100</v>
      </c>
      <c r="Q4" s="43">
        <v>2200</v>
      </c>
      <c r="R4" s="43">
        <v>2300</v>
      </c>
      <c r="S4" s="43">
        <v>2400</v>
      </c>
    </row>
    <row r="5" spans="1:19" ht="15" customHeight="1" x14ac:dyDescent="0.25">
      <c r="A5" s="43">
        <v>550</v>
      </c>
      <c r="B5" s="44">
        <v>1399</v>
      </c>
      <c r="C5" s="44">
        <v>1433</v>
      </c>
      <c r="D5" s="44">
        <v>1467</v>
      </c>
      <c r="E5" s="44">
        <v>1497</v>
      </c>
      <c r="F5" s="44">
        <v>1532</v>
      </c>
      <c r="G5" s="44">
        <v>1567</v>
      </c>
      <c r="H5" s="51"/>
      <c r="I5" s="51"/>
      <c r="J5" s="51"/>
      <c r="K5" s="51"/>
      <c r="L5" s="51"/>
      <c r="M5" s="51"/>
      <c r="N5" s="51"/>
      <c r="O5" s="51"/>
      <c r="P5" s="51"/>
      <c r="Q5" s="51"/>
      <c r="R5" s="51"/>
      <c r="S5" s="51"/>
    </row>
    <row r="6" spans="1:19" ht="15" customHeight="1" x14ac:dyDescent="0.25">
      <c r="A6" s="43">
        <v>650</v>
      </c>
      <c r="B6" s="44">
        <v>1444</v>
      </c>
      <c r="C6" s="44">
        <v>1481</v>
      </c>
      <c r="D6" s="44">
        <v>1517</v>
      </c>
      <c r="E6" s="44">
        <v>1552</v>
      </c>
      <c r="F6" s="44">
        <v>1588</v>
      </c>
      <c r="G6" s="44">
        <v>1623</v>
      </c>
      <c r="H6" s="44">
        <v>1659</v>
      </c>
      <c r="I6" s="44">
        <v>1697</v>
      </c>
      <c r="J6" s="51"/>
      <c r="K6" s="51"/>
      <c r="L6" s="51"/>
      <c r="M6" s="51"/>
      <c r="N6" s="51"/>
      <c r="O6" s="51"/>
      <c r="P6" s="51"/>
      <c r="Q6" s="51"/>
      <c r="R6" s="51"/>
      <c r="S6" s="51"/>
    </row>
    <row r="7" spans="1:19" ht="15" customHeight="1" x14ac:dyDescent="0.25">
      <c r="A7" s="43">
        <v>750</v>
      </c>
      <c r="B7" s="44">
        <v>1491</v>
      </c>
      <c r="C7" s="44">
        <v>1529</v>
      </c>
      <c r="D7" s="44">
        <v>1567</v>
      </c>
      <c r="E7" s="44">
        <v>1604</v>
      </c>
      <c r="F7" s="44">
        <v>1644</v>
      </c>
      <c r="G7" s="44">
        <v>1679</v>
      </c>
      <c r="H7" s="44">
        <v>1715</v>
      </c>
      <c r="I7" s="44">
        <v>1755</v>
      </c>
      <c r="J7" s="44">
        <v>1790</v>
      </c>
      <c r="K7" s="44">
        <v>1828</v>
      </c>
      <c r="L7" s="51"/>
      <c r="M7" s="51"/>
      <c r="N7" s="51"/>
      <c r="O7" s="51"/>
      <c r="P7" s="51"/>
      <c r="Q7" s="51"/>
      <c r="R7" s="51"/>
      <c r="S7" s="51"/>
    </row>
    <row r="8" spans="1:19" ht="15" customHeight="1" x14ac:dyDescent="0.25">
      <c r="A8" s="43">
        <v>850</v>
      </c>
      <c r="B8" s="44">
        <v>1540</v>
      </c>
      <c r="C8" s="44">
        <v>1578</v>
      </c>
      <c r="D8" s="44">
        <v>1619</v>
      </c>
      <c r="E8" s="44">
        <v>1658</v>
      </c>
      <c r="F8" s="44">
        <v>1698</v>
      </c>
      <c r="G8" s="44">
        <v>1736</v>
      </c>
      <c r="H8" s="44">
        <v>1776</v>
      </c>
      <c r="I8" s="44">
        <v>1813</v>
      </c>
      <c r="J8" s="44">
        <v>1853</v>
      </c>
      <c r="K8" s="44">
        <v>1891</v>
      </c>
      <c r="L8" s="44">
        <v>1930</v>
      </c>
      <c r="M8" s="51"/>
      <c r="N8" s="51"/>
      <c r="O8" s="51"/>
      <c r="P8" s="51"/>
      <c r="Q8" s="51"/>
      <c r="R8" s="51"/>
      <c r="S8" s="51"/>
    </row>
    <row r="9" spans="1:19" ht="15" customHeight="1" x14ac:dyDescent="0.25">
      <c r="A9" s="43">
        <v>950</v>
      </c>
      <c r="B9" s="44">
        <v>1588</v>
      </c>
      <c r="C9" s="44">
        <v>1629</v>
      </c>
      <c r="D9" s="44">
        <v>1669</v>
      </c>
      <c r="E9" s="44">
        <v>1710</v>
      </c>
      <c r="F9" s="44">
        <v>1750</v>
      </c>
      <c r="G9" s="44">
        <v>1790</v>
      </c>
      <c r="H9" s="44">
        <v>1830</v>
      </c>
      <c r="I9" s="44">
        <v>1871</v>
      </c>
      <c r="J9" s="44">
        <v>1914</v>
      </c>
      <c r="K9" s="44">
        <v>1953</v>
      </c>
      <c r="L9" s="44">
        <v>1994</v>
      </c>
      <c r="M9" s="44">
        <v>2035</v>
      </c>
      <c r="N9" s="44">
        <v>2076</v>
      </c>
      <c r="O9" s="44">
        <v>2117</v>
      </c>
      <c r="P9" s="44">
        <v>2158</v>
      </c>
      <c r="Q9" s="44">
        <v>2200</v>
      </c>
      <c r="R9" s="44">
        <v>2242</v>
      </c>
      <c r="S9" s="44">
        <v>2283</v>
      </c>
    </row>
    <row r="10" spans="1:19" ht="15" customHeight="1" x14ac:dyDescent="0.25">
      <c r="A10" s="43">
        <v>1050</v>
      </c>
      <c r="B10" s="44">
        <v>1640</v>
      </c>
      <c r="C10" s="44">
        <v>1679</v>
      </c>
      <c r="D10" s="44">
        <v>1721</v>
      </c>
      <c r="E10" s="44">
        <v>1762</v>
      </c>
      <c r="F10" s="44">
        <v>1805</v>
      </c>
      <c r="G10" s="44">
        <v>1845</v>
      </c>
      <c r="H10" s="44">
        <v>1888</v>
      </c>
      <c r="I10" s="44">
        <v>1931</v>
      </c>
      <c r="J10" s="44">
        <v>1973</v>
      </c>
      <c r="K10" s="44">
        <v>2017</v>
      </c>
      <c r="L10" s="44">
        <v>2057</v>
      </c>
      <c r="M10" s="44">
        <v>2097</v>
      </c>
      <c r="N10" s="44">
        <v>2137</v>
      </c>
      <c r="O10" s="44">
        <v>2177</v>
      </c>
      <c r="P10" s="44">
        <v>2217</v>
      </c>
      <c r="Q10" s="44">
        <v>2257</v>
      </c>
      <c r="R10" s="44">
        <v>2297</v>
      </c>
      <c r="S10" s="44">
        <v>2337</v>
      </c>
    </row>
    <row r="11" spans="1:19" ht="15" customHeight="1" x14ac:dyDescent="0.25">
      <c r="A11" s="43">
        <v>1150</v>
      </c>
      <c r="B11" s="44">
        <v>1684</v>
      </c>
      <c r="C11" s="44">
        <v>1727</v>
      </c>
      <c r="D11" s="44">
        <v>1774</v>
      </c>
      <c r="E11" s="44">
        <v>1817</v>
      </c>
      <c r="F11" s="44">
        <v>1861</v>
      </c>
      <c r="G11" s="44">
        <v>1905</v>
      </c>
      <c r="H11" s="44">
        <v>1945</v>
      </c>
      <c r="I11" s="44">
        <v>1990</v>
      </c>
      <c r="J11" s="44">
        <v>2034</v>
      </c>
      <c r="K11" s="44">
        <v>2077</v>
      </c>
      <c r="L11" s="44">
        <v>2119</v>
      </c>
      <c r="M11" s="44">
        <v>2160</v>
      </c>
      <c r="N11" s="44">
        <v>2202</v>
      </c>
      <c r="O11" s="44">
        <v>2243</v>
      </c>
      <c r="P11" s="44">
        <v>2284</v>
      </c>
      <c r="Q11" s="44">
        <v>2326</v>
      </c>
      <c r="R11" s="44">
        <v>2366</v>
      </c>
      <c r="S11" s="44">
        <v>2408</v>
      </c>
    </row>
    <row r="12" spans="1:19" ht="15" customHeight="1" x14ac:dyDescent="0.25">
      <c r="A12" s="43">
        <v>1250</v>
      </c>
      <c r="B12" s="44">
        <v>1735</v>
      </c>
      <c r="C12" s="44">
        <v>1779</v>
      </c>
      <c r="D12" s="44">
        <v>1824</v>
      </c>
      <c r="E12" s="44">
        <v>1869</v>
      </c>
      <c r="F12" s="44">
        <v>1915</v>
      </c>
      <c r="G12" s="44">
        <v>1960</v>
      </c>
      <c r="H12" s="44">
        <v>2005</v>
      </c>
      <c r="I12" s="44">
        <v>2050</v>
      </c>
      <c r="J12" s="44">
        <v>2094</v>
      </c>
      <c r="K12" s="44">
        <v>2140</v>
      </c>
      <c r="L12" s="44">
        <v>2186</v>
      </c>
      <c r="M12" s="44">
        <v>2231</v>
      </c>
      <c r="N12" s="44">
        <v>2277</v>
      </c>
      <c r="O12" s="44">
        <v>2325</v>
      </c>
      <c r="P12" s="44">
        <v>2371</v>
      </c>
      <c r="Q12" s="44">
        <v>2416</v>
      </c>
      <c r="R12" s="44">
        <v>2462</v>
      </c>
      <c r="S12" s="44">
        <v>2508</v>
      </c>
    </row>
    <row r="13" spans="1:19" ht="15" customHeight="1" x14ac:dyDescent="0.25">
      <c r="A13" s="43">
        <v>1350</v>
      </c>
      <c r="B13" s="44">
        <v>1780</v>
      </c>
      <c r="C13" s="44">
        <v>1827</v>
      </c>
      <c r="D13" s="44">
        <v>1874</v>
      </c>
      <c r="E13" s="44">
        <v>1921</v>
      </c>
      <c r="F13" s="44">
        <v>1970</v>
      </c>
      <c r="G13" s="44">
        <v>2016</v>
      </c>
      <c r="H13" s="44">
        <v>2060</v>
      </c>
      <c r="I13" s="44">
        <v>2109</v>
      </c>
      <c r="J13" s="44">
        <v>2156</v>
      </c>
      <c r="K13" s="44">
        <v>2203</v>
      </c>
      <c r="L13" s="44">
        <v>2250</v>
      </c>
      <c r="M13" s="44">
        <v>2297</v>
      </c>
      <c r="N13" s="44">
        <v>2344</v>
      </c>
      <c r="O13" s="44">
        <v>2390</v>
      </c>
      <c r="P13" s="44">
        <v>2439</v>
      </c>
      <c r="Q13" s="44">
        <v>2486</v>
      </c>
      <c r="R13" s="44">
        <v>2533</v>
      </c>
      <c r="S13" s="44">
        <v>2580</v>
      </c>
    </row>
    <row r="14" spans="1:19" ht="15" customHeight="1" x14ac:dyDescent="0.25">
      <c r="A14" s="43">
        <v>1450</v>
      </c>
      <c r="B14" s="44">
        <v>1829</v>
      </c>
      <c r="C14" s="44">
        <v>1879</v>
      </c>
      <c r="D14" s="44">
        <v>1926</v>
      </c>
      <c r="E14" s="44">
        <v>1974</v>
      </c>
      <c r="F14" s="44">
        <v>2024</v>
      </c>
      <c r="G14" s="44">
        <v>2071</v>
      </c>
      <c r="H14" s="44">
        <v>2117</v>
      </c>
      <c r="I14" s="44">
        <v>2167</v>
      </c>
      <c r="J14" s="44">
        <v>2217</v>
      </c>
      <c r="K14" s="44">
        <v>2265</v>
      </c>
      <c r="L14" s="44">
        <v>2311</v>
      </c>
      <c r="M14" s="44">
        <v>2360</v>
      </c>
      <c r="N14" s="44">
        <v>2407</v>
      </c>
      <c r="O14" s="44">
        <v>2454</v>
      </c>
      <c r="P14" s="44">
        <v>2501</v>
      </c>
      <c r="Q14" s="44">
        <v>2547</v>
      </c>
      <c r="R14" s="44">
        <v>2595</v>
      </c>
      <c r="S14" s="44">
        <v>2642</v>
      </c>
    </row>
    <row r="15" spans="1:19" ht="15" customHeight="1" x14ac:dyDescent="0.25">
      <c r="A15" s="43">
        <v>1550</v>
      </c>
      <c r="B15" s="44">
        <v>1877</v>
      </c>
      <c r="C15" s="44">
        <v>1928</v>
      </c>
      <c r="D15" s="44">
        <v>1978</v>
      </c>
      <c r="E15" s="44">
        <v>2028</v>
      </c>
      <c r="F15" s="44">
        <v>2076</v>
      </c>
      <c r="G15" s="44">
        <v>2128</v>
      </c>
      <c r="H15" s="44">
        <v>2179</v>
      </c>
      <c r="I15" s="44">
        <v>2226</v>
      </c>
      <c r="J15" s="44">
        <v>2276</v>
      </c>
      <c r="K15" s="44">
        <v>2327</v>
      </c>
      <c r="L15" s="44">
        <v>2377</v>
      </c>
      <c r="M15" s="44">
        <v>2428</v>
      </c>
      <c r="N15" s="44">
        <v>2479</v>
      </c>
      <c r="O15" s="44">
        <v>2529</v>
      </c>
      <c r="P15" s="44">
        <v>2580</v>
      </c>
      <c r="Q15" s="44">
        <v>2630</v>
      </c>
      <c r="R15" s="44">
        <v>2682</v>
      </c>
      <c r="S15" s="44">
        <v>2732</v>
      </c>
    </row>
    <row r="16" spans="1:19" ht="15" customHeight="1" x14ac:dyDescent="0.25">
      <c r="A16" s="43">
        <v>1650</v>
      </c>
      <c r="B16" s="44">
        <v>1926</v>
      </c>
      <c r="C16" s="44">
        <v>1978</v>
      </c>
      <c r="D16" s="44">
        <v>2030</v>
      </c>
      <c r="E16" s="44">
        <v>2079</v>
      </c>
      <c r="F16" s="44">
        <v>2132</v>
      </c>
      <c r="G16" s="44">
        <v>2183</v>
      </c>
      <c r="H16" s="44">
        <v>2236</v>
      </c>
      <c r="I16" s="44">
        <v>2285</v>
      </c>
      <c r="J16" s="44">
        <v>2337</v>
      </c>
      <c r="K16" s="44">
        <v>2387</v>
      </c>
      <c r="L16" s="44">
        <v>2442</v>
      </c>
      <c r="M16" s="44">
        <v>2496</v>
      </c>
      <c r="N16" s="44">
        <v>2550</v>
      </c>
      <c r="O16" s="44">
        <v>2605</v>
      </c>
      <c r="P16" s="44">
        <v>2659</v>
      </c>
      <c r="Q16" s="44">
        <v>2714</v>
      </c>
      <c r="R16" s="44">
        <v>2767</v>
      </c>
      <c r="S16" s="44">
        <v>2821</v>
      </c>
    </row>
    <row r="17" spans="1:19" ht="15" customHeight="1" x14ac:dyDescent="0.25">
      <c r="A17" s="43">
        <v>1750</v>
      </c>
      <c r="B17" s="44">
        <v>1973</v>
      </c>
      <c r="C17" s="44">
        <v>2027</v>
      </c>
      <c r="D17" s="44">
        <v>2079</v>
      </c>
      <c r="E17" s="44">
        <v>2134</v>
      </c>
      <c r="F17" s="44">
        <v>2186</v>
      </c>
      <c r="G17" s="44">
        <v>2240</v>
      </c>
      <c r="H17" s="44">
        <v>2294</v>
      </c>
      <c r="I17" s="44">
        <v>2346</v>
      </c>
      <c r="J17" s="44">
        <v>2399</v>
      </c>
      <c r="K17" s="44">
        <v>2453</v>
      </c>
      <c r="L17" s="44">
        <v>2505</v>
      </c>
      <c r="M17" s="44">
        <v>2559</v>
      </c>
      <c r="N17" s="44">
        <v>2612</v>
      </c>
      <c r="O17" s="44">
        <v>2664</v>
      </c>
      <c r="P17" s="44">
        <v>2718</v>
      </c>
      <c r="Q17" s="44">
        <v>2771</v>
      </c>
      <c r="R17" s="44">
        <v>2823</v>
      </c>
      <c r="S17" s="44">
        <v>2877</v>
      </c>
    </row>
    <row r="18" spans="1:19" ht="15" customHeight="1" x14ac:dyDescent="0.25">
      <c r="A18" s="43">
        <v>1850</v>
      </c>
      <c r="B18" s="44">
        <v>2023</v>
      </c>
      <c r="C18" s="44">
        <v>2076</v>
      </c>
      <c r="D18" s="44">
        <v>2132</v>
      </c>
      <c r="E18" s="44">
        <v>2186</v>
      </c>
      <c r="F18" s="44">
        <v>2242</v>
      </c>
      <c r="G18" s="44">
        <v>2296</v>
      </c>
      <c r="H18" s="44">
        <v>2350</v>
      </c>
      <c r="I18" s="44">
        <v>2407</v>
      </c>
      <c r="J18" s="44">
        <v>2462</v>
      </c>
      <c r="K18" s="44">
        <v>2514</v>
      </c>
      <c r="L18" s="44">
        <v>2570</v>
      </c>
      <c r="M18" s="44">
        <v>2625</v>
      </c>
      <c r="N18" s="44">
        <v>2682</v>
      </c>
      <c r="O18" s="44">
        <v>2737</v>
      </c>
      <c r="P18" s="44">
        <v>2792</v>
      </c>
      <c r="Q18" s="44">
        <v>2847</v>
      </c>
      <c r="R18" s="44">
        <v>2902</v>
      </c>
      <c r="S18" s="44">
        <v>2958</v>
      </c>
    </row>
    <row r="19" spans="1:19" ht="15" customHeight="1" x14ac:dyDescent="0.25">
      <c r="A19" s="43">
        <v>1950</v>
      </c>
      <c r="B19" s="44">
        <v>2070</v>
      </c>
      <c r="C19" s="44">
        <v>2127</v>
      </c>
      <c r="D19" s="44">
        <v>2182</v>
      </c>
      <c r="E19" s="44">
        <v>2240</v>
      </c>
      <c r="F19" s="44">
        <v>2296</v>
      </c>
      <c r="G19" s="44">
        <v>2351</v>
      </c>
      <c r="H19" s="44">
        <v>2409</v>
      </c>
      <c r="I19" s="44">
        <v>2465</v>
      </c>
      <c r="J19" s="44">
        <v>2520</v>
      </c>
      <c r="K19" s="44">
        <v>2578</v>
      </c>
      <c r="L19" s="44">
        <v>2635</v>
      </c>
      <c r="M19" s="44">
        <v>2691</v>
      </c>
      <c r="N19" s="44">
        <v>2746</v>
      </c>
      <c r="O19" s="44">
        <v>2803</v>
      </c>
      <c r="P19" s="44">
        <v>2859</v>
      </c>
      <c r="Q19" s="44">
        <v>2917</v>
      </c>
      <c r="R19" s="44">
        <v>2973</v>
      </c>
      <c r="S19" s="44">
        <v>3030</v>
      </c>
    </row>
    <row r="20" spans="1:19" ht="15" customHeight="1" x14ac:dyDescent="0.25">
      <c r="A20" s="43">
        <v>2050</v>
      </c>
      <c r="B20" s="44">
        <v>2116</v>
      </c>
      <c r="C20" s="44">
        <v>2176</v>
      </c>
      <c r="D20" s="44">
        <v>2235</v>
      </c>
      <c r="E20" s="44">
        <v>2292</v>
      </c>
      <c r="F20" s="44">
        <v>2350</v>
      </c>
      <c r="G20" s="44">
        <v>2408</v>
      </c>
      <c r="H20" s="44">
        <v>2466</v>
      </c>
      <c r="I20" s="44">
        <v>2525</v>
      </c>
      <c r="J20" s="44">
        <v>2581</v>
      </c>
      <c r="K20" s="44">
        <v>2639</v>
      </c>
      <c r="L20" s="44">
        <v>2696</v>
      </c>
      <c r="M20" s="44">
        <v>2754</v>
      </c>
      <c r="N20" s="44">
        <v>2812</v>
      </c>
      <c r="O20" s="44">
        <v>2870</v>
      </c>
      <c r="P20" s="44">
        <v>2927</v>
      </c>
      <c r="Q20" s="44">
        <v>2984</v>
      </c>
      <c r="R20" s="44">
        <v>3042</v>
      </c>
      <c r="S20" s="44">
        <v>3100</v>
      </c>
    </row>
    <row r="21" spans="1:19" ht="15" customHeight="1" x14ac:dyDescent="0.25">
      <c r="A21" s="43">
        <v>2150</v>
      </c>
      <c r="B21" s="44">
        <v>2165</v>
      </c>
      <c r="C21" s="44">
        <v>2224</v>
      </c>
      <c r="D21" s="44">
        <v>2284</v>
      </c>
      <c r="E21" s="44">
        <v>2343</v>
      </c>
      <c r="F21" s="44">
        <v>2406</v>
      </c>
      <c r="G21" s="44">
        <v>2464</v>
      </c>
      <c r="H21" s="44">
        <v>2525</v>
      </c>
      <c r="I21" s="44">
        <v>2582</v>
      </c>
      <c r="J21" s="44">
        <v>2641</v>
      </c>
      <c r="K21" s="44">
        <v>2700</v>
      </c>
      <c r="L21" s="44">
        <v>2762</v>
      </c>
      <c r="M21" s="44">
        <v>2821</v>
      </c>
      <c r="N21" s="44">
        <v>2881</v>
      </c>
      <c r="O21" s="44">
        <v>2941</v>
      </c>
      <c r="P21" s="44">
        <v>3002</v>
      </c>
      <c r="Q21" s="44">
        <v>3061</v>
      </c>
      <c r="R21" s="44">
        <v>3122</v>
      </c>
      <c r="S21" s="44">
        <v>3181</v>
      </c>
    </row>
    <row r="22" spans="1:19" ht="15" customHeight="1" x14ac:dyDescent="0.25">
      <c r="A22" s="43">
        <v>2250</v>
      </c>
      <c r="B22" s="44">
        <v>2216</v>
      </c>
      <c r="C22" s="44">
        <v>2274</v>
      </c>
      <c r="D22" s="44">
        <v>2334</v>
      </c>
      <c r="E22" s="44">
        <v>2397</v>
      </c>
      <c r="F22" s="44">
        <v>2460</v>
      </c>
      <c r="G22" s="44">
        <v>2519</v>
      </c>
      <c r="H22" s="44">
        <v>2581</v>
      </c>
      <c r="I22" s="44">
        <v>2641</v>
      </c>
      <c r="J22" s="44">
        <v>2702</v>
      </c>
      <c r="K22" s="44">
        <v>2764</v>
      </c>
      <c r="L22" s="44">
        <v>2823</v>
      </c>
      <c r="M22" s="44">
        <v>2883</v>
      </c>
      <c r="N22" s="44">
        <v>2944</v>
      </c>
      <c r="O22" s="44">
        <v>3004</v>
      </c>
      <c r="P22" s="44">
        <v>3063</v>
      </c>
      <c r="Q22" s="44">
        <v>3124</v>
      </c>
      <c r="R22" s="44">
        <v>3185</v>
      </c>
      <c r="S22" s="44">
        <v>3244</v>
      </c>
    </row>
    <row r="23" spans="1:19" ht="15" customHeight="1" x14ac:dyDescent="0.25">
      <c r="A23" s="43">
        <v>2350</v>
      </c>
      <c r="B23" s="44">
        <v>2242</v>
      </c>
      <c r="C23" s="44">
        <v>2302</v>
      </c>
      <c r="D23" s="44">
        <v>2361</v>
      </c>
      <c r="E23" s="44">
        <v>2423</v>
      </c>
      <c r="F23" s="44">
        <v>2488</v>
      </c>
      <c r="G23" s="44">
        <v>2547</v>
      </c>
      <c r="H23" s="44">
        <v>2608</v>
      </c>
      <c r="I23" s="44">
        <v>2673</v>
      </c>
      <c r="J23" s="44">
        <v>2734</v>
      </c>
      <c r="K23" s="44">
        <v>2797</v>
      </c>
      <c r="L23" s="44">
        <v>2857</v>
      </c>
      <c r="M23" s="44">
        <v>2920</v>
      </c>
      <c r="N23" s="44">
        <v>2980</v>
      </c>
      <c r="O23" s="44">
        <v>3041</v>
      </c>
      <c r="P23" s="44">
        <v>3103</v>
      </c>
      <c r="Q23" s="44">
        <v>3164</v>
      </c>
      <c r="R23" s="44">
        <v>3226</v>
      </c>
      <c r="S23" s="44">
        <v>3287</v>
      </c>
    </row>
    <row r="24" spans="1:19" ht="15" customHeight="1" x14ac:dyDescent="0.25">
      <c r="A24" s="43">
        <v>2450</v>
      </c>
      <c r="B24" s="44">
        <v>2253</v>
      </c>
      <c r="C24" s="44">
        <v>2311</v>
      </c>
      <c r="D24" s="44">
        <v>2373</v>
      </c>
      <c r="E24" s="44">
        <v>2434</v>
      </c>
      <c r="F24" s="44">
        <v>2502</v>
      </c>
      <c r="G24" s="44">
        <v>2561</v>
      </c>
      <c r="H24" s="44">
        <v>2624</v>
      </c>
      <c r="I24" s="44">
        <v>2686</v>
      </c>
      <c r="J24" s="44">
        <v>2749</v>
      </c>
      <c r="K24" s="44">
        <v>2811</v>
      </c>
      <c r="L24" s="44">
        <v>2871</v>
      </c>
      <c r="M24" s="44">
        <v>2931</v>
      </c>
      <c r="N24" s="44">
        <v>2992</v>
      </c>
      <c r="O24" s="44">
        <v>3051</v>
      </c>
      <c r="P24" s="44">
        <v>3111</v>
      </c>
      <c r="Q24" s="44">
        <v>3171</v>
      </c>
      <c r="R24" s="44">
        <v>3232</v>
      </c>
      <c r="S24" s="44">
        <v>3291</v>
      </c>
    </row>
    <row r="25" spans="1:19" ht="15" customHeight="1" x14ac:dyDescent="0.25">
      <c r="A25" s="43">
        <v>2500</v>
      </c>
      <c r="B25" s="44">
        <v>2265</v>
      </c>
      <c r="C25" s="44">
        <v>2323</v>
      </c>
      <c r="D25" s="44">
        <v>2384</v>
      </c>
      <c r="E25" s="44">
        <v>2447</v>
      </c>
      <c r="F25" s="44">
        <v>2516</v>
      </c>
      <c r="G25" s="44">
        <v>2573</v>
      </c>
      <c r="H25" s="44">
        <v>2641</v>
      </c>
      <c r="I25" s="44">
        <v>2698</v>
      </c>
      <c r="J25" s="44">
        <v>2765</v>
      </c>
      <c r="K25" s="44">
        <v>2824</v>
      </c>
      <c r="L25" s="44">
        <v>2883</v>
      </c>
      <c r="M25" s="44">
        <v>2943</v>
      </c>
      <c r="N25" s="44">
        <v>3002</v>
      </c>
      <c r="O25" s="44">
        <v>3060</v>
      </c>
      <c r="P25" s="44">
        <v>3119</v>
      </c>
      <c r="Q25" s="44">
        <v>3178</v>
      </c>
      <c r="R25" s="44">
        <v>3237</v>
      </c>
      <c r="S25" s="44">
        <v>3295</v>
      </c>
    </row>
    <row r="26" spans="1:19" ht="15" customHeight="1" x14ac:dyDescent="0.25">
      <c r="A26" s="46" t="s">
        <v>243</v>
      </c>
      <c r="B26" s="47">
        <v>263</v>
      </c>
      <c r="C26" s="47">
        <v>271</v>
      </c>
      <c r="D26" s="47">
        <v>280</v>
      </c>
      <c r="E26" s="47">
        <v>285</v>
      </c>
      <c r="F26" s="47">
        <v>292</v>
      </c>
      <c r="G26" s="47">
        <v>298</v>
      </c>
      <c r="H26" s="47">
        <v>314</v>
      </c>
      <c r="I26" s="47">
        <v>321</v>
      </c>
      <c r="J26" s="47">
        <v>327</v>
      </c>
      <c r="K26" s="47">
        <v>334</v>
      </c>
      <c r="L26" s="47">
        <v>341</v>
      </c>
      <c r="M26" s="47">
        <v>338</v>
      </c>
      <c r="N26" s="47">
        <v>357</v>
      </c>
      <c r="O26" s="47">
        <v>362</v>
      </c>
      <c r="P26" s="47">
        <v>370</v>
      </c>
      <c r="Q26" s="47">
        <v>375</v>
      </c>
      <c r="R26" s="47">
        <v>382</v>
      </c>
      <c r="S26" s="47">
        <v>399</v>
      </c>
    </row>
    <row r="28" spans="1:19" ht="15" customHeight="1" x14ac:dyDescent="0.25">
      <c r="A28" s="121" t="s">
        <v>261</v>
      </c>
      <c r="B28" s="93"/>
      <c r="C28" s="93"/>
      <c r="D28" s="93"/>
      <c r="E28" s="93"/>
      <c r="F28" s="93"/>
      <c r="G28" s="93"/>
      <c r="H28" s="93"/>
      <c r="I28" s="93"/>
      <c r="J28" s="93"/>
      <c r="K28" s="93"/>
      <c r="L28" s="93"/>
      <c r="M28" s="93"/>
      <c r="N28" s="93"/>
      <c r="O28" s="93"/>
      <c r="P28" s="93"/>
      <c r="Q28" s="93"/>
      <c r="R28" s="93"/>
      <c r="S28" s="93"/>
    </row>
    <row r="29" spans="1:19" ht="15" customHeight="1" x14ac:dyDescent="0.25">
      <c r="A29" s="43" t="s">
        <v>260</v>
      </c>
      <c r="B29" s="43">
        <v>700</v>
      </c>
      <c r="C29" s="43">
        <v>800</v>
      </c>
      <c r="D29" s="43">
        <v>900</v>
      </c>
      <c r="E29" s="43">
        <v>1000</v>
      </c>
      <c r="F29" s="43">
        <v>1100</v>
      </c>
      <c r="G29" s="43">
        <v>1200</v>
      </c>
      <c r="H29" s="43">
        <v>1300</v>
      </c>
      <c r="I29" s="43">
        <v>1400</v>
      </c>
      <c r="J29" s="43">
        <v>1500</v>
      </c>
      <c r="K29" s="43">
        <v>1600</v>
      </c>
      <c r="L29" s="43">
        <v>1700</v>
      </c>
      <c r="M29" s="43">
        <v>1800</v>
      </c>
      <c r="N29" s="43">
        <v>1900</v>
      </c>
      <c r="O29" s="43">
        <v>2000</v>
      </c>
      <c r="P29" s="43">
        <v>2100</v>
      </c>
      <c r="Q29" s="43">
        <v>2200</v>
      </c>
      <c r="R29" s="43">
        <v>2300</v>
      </c>
      <c r="S29" s="43">
        <v>2400</v>
      </c>
    </row>
    <row r="30" spans="1:19" ht="15" customHeight="1" x14ac:dyDescent="0.25">
      <c r="A30" s="43">
        <v>550</v>
      </c>
      <c r="B30" s="45">
        <v>0.5</v>
      </c>
      <c r="C30" s="45">
        <v>0.5</v>
      </c>
      <c r="D30" s="45">
        <v>0.5</v>
      </c>
      <c r="E30" s="45">
        <v>0.5</v>
      </c>
      <c r="F30" s="45">
        <v>0.5</v>
      </c>
      <c r="G30" s="45">
        <v>0.5</v>
      </c>
      <c r="H30" s="52"/>
      <c r="I30" s="52"/>
      <c r="J30" s="52"/>
      <c r="K30" s="52"/>
      <c r="L30" s="52"/>
      <c r="M30" s="52"/>
      <c r="N30" s="52"/>
      <c r="O30" s="52"/>
      <c r="P30" s="52"/>
      <c r="Q30" s="52"/>
      <c r="R30" s="52"/>
      <c r="S30" s="52"/>
    </row>
    <row r="31" spans="1:19" ht="15" customHeight="1" x14ac:dyDescent="0.25">
      <c r="A31" s="43">
        <v>650</v>
      </c>
      <c r="B31" s="45">
        <v>0.5</v>
      </c>
      <c r="C31" s="45">
        <v>0.5</v>
      </c>
      <c r="D31" s="45">
        <v>0.5</v>
      </c>
      <c r="E31" s="45">
        <v>0.5</v>
      </c>
      <c r="F31" s="45">
        <v>0.5</v>
      </c>
      <c r="G31" s="45">
        <v>0.5</v>
      </c>
      <c r="H31" s="45">
        <v>0.5</v>
      </c>
      <c r="I31" s="45">
        <v>0.55000000000000004</v>
      </c>
      <c r="J31" s="52"/>
      <c r="K31" s="52"/>
      <c r="L31" s="52"/>
      <c r="M31" s="52"/>
      <c r="N31" s="52"/>
      <c r="O31" s="52"/>
      <c r="P31" s="52"/>
      <c r="Q31" s="52"/>
      <c r="R31" s="52"/>
      <c r="S31" s="52"/>
    </row>
    <row r="32" spans="1:19" ht="15" customHeight="1" x14ac:dyDescent="0.25">
      <c r="A32" s="43">
        <v>750</v>
      </c>
      <c r="B32" s="45">
        <v>0.5</v>
      </c>
      <c r="C32" s="45">
        <v>0.5</v>
      </c>
      <c r="D32" s="45">
        <v>0.5</v>
      </c>
      <c r="E32" s="45">
        <v>0.5</v>
      </c>
      <c r="F32" s="45">
        <v>0.5</v>
      </c>
      <c r="G32" s="45">
        <v>0.55000000000000004</v>
      </c>
      <c r="H32" s="45">
        <v>0.61</v>
      </c>
      <c r="I32" s="45">
        <v>0.66</v>
      </c>
      <c r="J32" s="45">
        <v>0.72</v>
      </c>
      <c r="K32" s="45">
        <v>0.78</v>
      </c>
      <c r="L32" s="52"/>
      <c r="M32" s="52"/>
      <c r="N32" s="52"/>
      <c r="O32" s="52"/>
      <c r="P32" s="52"/>
      <c r="Q32" s="52"/>
      <c r="R32" s="52"/>
      <c r="S32" s="52"/>
    </row>
    <row r="33" spans="1:19" ht="15" customHeight="1" x14ac:dyDescent="0.25">
      <c r="A33" s="43">
        <v>850</v>
      </c>
      <c r="B33" s="45">
        <v>0.5</v>
      </c>
      <c r="C33" s="45">
        <v>0.5</v>
      </c>
      <c r="D33" s="45">
        <v>0.5</v>
      </c>
      <c r="E33" s="45">
        <v>0.52</v>
      </c>
      <c r="F33" s="45">
        <v>0.59</v>
      </c>
      <c r="G33" s="45">
        <v>0.65</v>
      </c>
      <c r="H33" s="45">
        <v>0.72</v>
      </c>
      <c r="I33" s="45">
        <v>0.78</v>
      </c>
      <c r="J33" s="45">
        <v>0.85</v>
      </c>
      <c r="K33" s="45">
        <v>0.92</v>
      </c>
      <c r="L33" s="45">
        <v>0.98</v>
      </c>
      <c r="M33" s="52"/>
      <c r="N33" s="52"/>
      <c r="O33" s="52"/>
      <c r="P33" s="52"/>
      <c r="Q33" s="52"/>
      <c r="R33" s="52"/>
      <c r="S33" s="52"/>
    </row>
    <row r="34" spans="1:19" ht="15" customHeight="1" x14ac:dyDescent="0.25">
      <c r="A34" s="43">
        <v>950</v>
      </c>
      <c r="B34" s="45">
        <v>0.5</v>
      </c>
      <c r="C34" s="45">
        <v>0.5</v>
      </c>
      <c r="D34" s="45">
        <v>0.53</v>
      </c>
      <c r="E34" s="45">
        <v>0.6</v>
      </c>
      <c r="F34" s="45">
        <v>0.68</v>
      </c>
      <c r="G34" s="45">
        <v>0.75</v>
      </c>
      <c r="H34" s="45">
        <v>0.83</v>
      </c>
      <c r="I34" s="45">
        <v>0.9</v>
      </c>
      <c r="J34" s="45">
        <v>0.98</v>
      </c>
      <c r="K34" s="45">
        <v>1.05</v>
      </c>
      <c r="L34" s="45">
        <v>1.1299999999999999</v>
      </c>
      <c r="M34" s="45">
        <v>1.21</v>
      </c>
      <c r="N34" s="45">
        <v>1.28</v>
      </c>
      <c r="O34" s="45">
        <v>1.36</v>
      </c>
      <c r="P34" s="45">
        <v>1.43</v>
      </c>
      <c r="Q34" s="45">
        <v>1.51</v>
      </c>
      <c r="R34" s="45">
        <v>1.58</v>
      </c>
      <c r="S34" s="45">
        <v>1.66</v>
      </c>
    </row>
    <row r="35" spans="1:19" ht="15" customHeight="1" x14ac:dyDescent="0.25">
      <c r="A35" s="43">
        <v>1050</v>
      </c>
      <c r="B35" s="45">
        <v>0.5</v>
      </c>
      <c r="C35" s="45">
        <v>0.51</v>
      </c>
      <c r="D35" s="45">
        <v>0.59</v>
      </c>
      <c r="E35" s="45">
        <v>0.68</v>
      </c>
      <c r="F35" s="45">
        <v>0.77</v>
      </c>
      <c r="G35" s="45">
        <v>0.85</v>
      </c>
      <c r="H35" s="45">
        <v>0.94</v>
      </c>
      <c r="I35" s="45">
        <v>1.02</v>
      </c>
      <c r="J35" s="45">
        <v>1.1100000000000001</v>
      </c>
      <c r="K35" s="45">
        <v>1.19</v>
      </c>
      <c r="L35" s="45">
        <v>1.28</v>
      </c>
      <c r="M35" s="45">
        <v>1.37</v>
      </c>
      <c r="N35" s="45">
        <v>1.45</v>
      </c>
      <c r="O35" s="45">
        <v>1.54</v>
      </c>
      <c r="P35" s="45">
        <v>1.62</v>
      </c>
      <c r="Q35" s="45">
        <v>1.71</v>
      </c>
      <c r="R35" s="45">
        <v>1.79</v>
      </c>
      <c r="S35" s="45">
        <v>1.88</v>
      </c>
    </row>
    <row r="36" spans="1:19" ht="15" customHeight="1" x14ac:dyDescent="0.25">
      <c r="A36" s="43">
        <v>1150</v>
      </c>
      <c r="B36" s="45">
        <v>0.5</v>
      </c>
      <c r="C36" s="45">
        <v>0.56999999999999995</v>
      </c>
      <c r="D36" s="45">
        <v>0.66</v>
      </c>
      <c r="E36" s="45">
        <v>0.76</v>
      </c>
      <c r="F36" s="45">
        <v>0.86</v>
      </c>
      <c r="G36" s="45">
        <v>0.95</v>
      </c>
      <c r="H36" s="45">
        <v>1.05</v>
      </c>
      <c r="I36" s="45">
        <v>1.1399999999999999</v>
      </c>
      <c r="J36" s="45">
        <v>1.24</v>
      </c>
      <c r="K36" s="45">
        <v>1.33</v>
      </c>
      <c r="L36" s="45">
        <v>1.43</v>
      </c>
      <c r="M36" s="45">
        <v>1.53</v>
      </c>
      <c r="N36" s="45">
        <v>1.62</v>
      </c>
      <c r="O36" s="45">
        <v>1.72</v>
      </c>
      <c r="P36" s="45">
        <v>1.81</v>
      </c>
      <c r="Q36" s="45">
        <v>1.91</v>
      </c>
      <c r="R36" s="45">
        <v>2</v>
      </c>
      <c r="S36" s="45">
        <v>2.1</v>
      </c>
    </row>
    <row r="37" spans="1:19" ht="15" customHeight="1" x14ac:dyDescent="0.25">
      <c r="A37" s="43">
        <v>1250</v>
      </c>
      <c r="B37" s="45">
        <v>0.52</v>
      </c>
      <c r="C37" s="45">
        <v>0.63</v>
      </c>
      <c r="D37" s="45">
        <v>0.73</v>
      </c>
      <c r="E37" s="45">
        <v>0.84</v>
      </c>
      <c r="F37" s="45">
        <v>0.95</v>
      </c>
      <c r="G37" s="45">
        <v>1.05</v>
      </c>
      <c r="H37" s="45">
        <v>1.1599999999999999</v>
      </c>
      <c r="I37" s="45">
        <v>1.26</v>
      </c>
      <c r="J37" s="45">
        <v>1.37</v>
      </c>
      <c r="K37" s="45">
        <v>1.47</v>
      </c>
      <c r="L37" s="45">
        <v>1.58</v>
      </c>
      <c r="M37" s="45">
        <v>1.68</v>
      </c>
      <c r="N37" s="45">
        <v>1.79</v>
      </c>
      <c r="O37" s="45">
        <v>1.9</v>
      </c>
      <c r="P37" s="45">
        <v>2</v>
      </c>
      <c r="Q37" s="45">
        <v>2.11</v>
      </c>
      <c r="R37" s="45">
        <v>2.21</v>
      </c>
      <c r="S37" s="45">
        <v>2.3199999999999998</v>
      </c>
    </row>
    <row r="38" spans="1:19" ht="15" customHeight="1" x14ac:dyDescent="0.25">
      <c r="A38" s="43">
        <v>1350</v>
      </c>
      <c r="B38" s="45">
        <v>0.56999999999999995</v>
      </c>
      <c r="C38" s="45">
        <v>0.69</v>
      </c>
      <c r="D38" s="45">
        <v>0.8</v>
      </c>
      <c r="E38" s="45">
        <v>0.92</v>
      </c>
      <c r="F38" s="45">
        <v>1.03</v>
      </c>
      <c r="G38" s="45">
        <v>1.1499999999999999</v>
      </c>
      <c r="H38" s="45">
        <v>1.27</v>
      </c>
      <c r="I38" s="45">
        <v>1.38</v>
      </c>
      <c r="J38" s="45">
        <v>1.5</v>
      </c>
      <c r="K38" s="45">
        <v>1.61</v>
      </c>
      <c r="L38" s="45">
        <v>1.73</v>
      </c>
      <c r="M38" s="45">
        <v>1.84</v>
      </c>
      <c r="N38" s="45">
        <v>1.96</v>
      </c>
      <c r="O38" s="45">
        <v>2.08</v>
      </c>
      <c r="P38" s="45">
        <v>2.19</v>
      </c>
      <c r="Q38" s="45">
        <v>2.31</v>
      </c>
      <c r="R38" s="45">
        <v>2.42</v>
      </c>
      <c r="S38" s="45">
        <v>2.54</v>
      </c>
    </row>
    <row r="39" spans="1:19" ht="15" customHeight="1" x14ac:dyDescent="0.25">
      <c r="A39" s="43">
        <v>1450</v>
      </c>
      <c r="B39" s="45">
        <v>0.62</v>
      </c>
      <c r="C39" s="45">
        <v>0.75</v>
      </c>
      <c r="D39" s="45">
        <v>0.87</v>
      </c>
      <c r="E39" s="45">
        <v>1</v>
      </c>
      <c r="F39" s="45">
        <v>1.1200000000000001</v>
      </c>
      <c r="G39" s="45">
        <v>1.25</v>
      </c>
      <c r="H39" s="45">
        <v>1.38</v>
      </c>
      <c r="I39" s="45">
        <v>1.5</v>
      </c>
      <c r="J39" s="45">
        <v>1.63</v>
      </c>
      <c r="K39" s="45">
        <v>1.75</v>
      </c>
      <c r="L39" s="45">
        <v>1.88</v>
      </c>
      <c r="M39" s="45">
        <v>2</v>
      </c>
      <c r="N39" s="45">
        <v>2.13</v>
      </c>
      <c r="O39" s="45">
        <v>2.25</v>
      </c>
      <c r="P39" s="45">
        <v>2.38</v>
      </c>
      <c r="Q39" s="45">
        <v>2.5099999999999998</v>
      </c>
      <c r="R39" s="45">
        <v>2.63</v>
      </c>
      <c r="S39" s="45">
        <v>2.76</v>
      </c>
    </row>
    <row r="40" spans="1:19" ht="15" customHeight="1" x14ac:dyDescent="0.25">
      <c r="A40" s="43">
        <v>1550</v>
      </c>
      <c r="B40" s="45">
        <v>0.67</v>
      </c>
      <c r="C40" s="45">
        <v>0.81</v>
      </c>
      <c r="D40" s="45">
        <v>0.94</v>
      </c>
      <c r="E40" s="45">
        <v>1.08</v>
      </c>
      <c r="F40" s="45">
        <v>1.21</v>
      </c>
      <c r="G40" s="45">
        <v>1.35</v>
      </c>
      <c r="H40" s="45">
        <v>1.48</v>
      </c>
      <c r="I40" s="45">
        <v>1.62</v>
      </c>
      <c r="J40" s="45">
        <v>1.76</v>
      </c>
      <c r="K40" s="45">
        <v>1.89</v>
      </c>
      <c r="L40" s="45">
        <v>2.0299999999999998</v>
      </c>
      <c r="M40" s="45">
        <v>2.16</v>
      </c>
      <c r="N40" s="45">
        <v>2.2999999999999998</v>
      </c>
      <c r="O40" s="45">
        <v>2.4300000000000002</v>
      </c>
      <c r="P40" s="45">
        <v>2.57</v>
      </c>
      <c r="Q40" s="45">
        <v>2.71</v>
      </c>
      <c r="R40" s="45">
        <v>2.84</v>
      </c>
      <c r="S40" s="45">
        <v>2.98</v>
      </c>
    </row>
    <row r="41" spans="1:19" ht="15" customHeight="1" x14ac:dyDescent="0.25">
      <c r="A41" s="43">
        <v>1650</v>
      </c>
      <c r="B41" s="45">
        <v>0.72</v>
      </c>
      <c r="C41" s="45">
        <v>0.87</v>
      </c>
      <c r="D41" s="45">
        <v>1.01</v>
      </c>
      <c r="E41" s="45">
        <v>1.1599999999999999</v>
      </c>
      <c r="F41" s="45">
        <v>1.3</v>
      </c>
      <c r="G41" s="45">
        <v>1.45</v>
      </c>
      <c r="H41" s="45">
        <v>1.59</v>
      </c>
      <c r="I41" s="45">
        <v>1.74</v>
      </c>
      <c r="J41" s="45">
        <v>1.89</v>
      </c>
      <c r="K41" s="45">
        <v>2.0299999999999998</v>
      </c>
      <c r="L41" s="45">
        <v>2.1800000000000002</v>
      </c>
      <c r="M41" s="45">
        <v>2.3199999999999998</v>
      </c>
      <c r="N41" s="45">
        <v>2.4700000000000002</v>
      </c>
      <c r="O41" s="45">
        <v>2.61</v>
      </c>
      <c r="P41" s="45">
        <v>2.76</v>
      </c>
      <c r="Q41" s="45">
        <v>2.91</v>
      </c>
      <c r="R41" s="45">
        <v>3.05</v>
      </c>
      <c r="S41" s="45">
        <v>3.2</v>
      </c>
    </row>
    <row r="42" spans="1:19" ht="15" customHeight="1" x14ac:dyDescent="0.25">
      <c r="A42" s="43">
        <v>1750</v>
      </c>
      <c r="B42" s="45">
        <v>0.77</v>
      </c>
      <c r="C42" s="45">
        <v>0.93</v>
      </c>
      <c r="D42" s="45">
        <v>1.08</v>
      </c>
      <c r="E42" s="45">
        <v>1.24</v>
      </c>
      <c r="F42" s="45">
        <v>1.39</v>
      </c>
      <c r="G42" s="45">
        <v>1.55</v>
      </c>
      <c r="H42" s="45">
        <v>1.7</v>
      </c>
      <c r="I42" s="45">
        <v>1.86</v>
      </c>
      <c r="J42" s="45">
        <v>2.02</v>
      </c>
      <c r="K42" s="45">
        <v>2.17</v>
      </c>
      <c r="L42" s="45">
        <v>2.33</v>
      </c>
      <c r="M42" s="45">
        <v>2.48</v>
      </c>
      <c r="N42" s="45">
        <v>2.64</v>
      </c>
      <c r="O42" s="45">
        <v>2.79</v>
      </c>
      <c r="P42" s="45">
        <v>2.95</v>
      </c>
      <c r="Q42" s="45">
        <v>3.1</v>
      </c>
      <c r="R42" s="45">
        <v>3.26</v>
      </c>
      <c r="S42" s="45">
        <v>3.42</v>
      </c>
    </row>
    <row r="43" spans="1:19" ht="15" customHeight="1" x14ac:dyDescent="0.25">
      <c r="A43" s="43">
        <v>1850</v>
      </c>
      <c r="B43" s="45">
        <v>0.82</v>
      </c>
      <c r="C43" s="45">
        <v>0.99</v>
      </c>
      <c r="D43" s="45">
        <v>1.1499999999999999</v>
      </c>
      <c r="E43" s="45">
        <v>1.32</v>
      </c>
      <c r="F43" s="45">
        <v>1.48</v>
      </c>
      <c r="G43" s="45">
        <v>1.65</v>
      </c>
      <c r="H43" s="45">
        <v>1.81</v>
      </c>
      <c r="I43" s="45">
        <v>1.98</v>
      </c>
      <c r="J43" s="45">
        <v>2.14</v>
      </c>
      <c r="K43" s="45">
        <v>2.31</v>
      </c>
      <c r="L43" s="45">
        <v>2.48</v>
      </c>
      <c r="M43" s="45">
        <v>2.64</v>
      </c>
      <c r="N43" s="45">
        <v>2.81</v>
      </c>
      <c r="O43" s="45">
        <v>2.97</v>
      </c>
      <c r="P43" s="45">
        <v>3.14</v>
      </c>
      <c r="Q43" s="45">
        <v>3.3</v>
      </c>
      <c r="R43" s="45">
        <v>3.47</v>
      </c>
      <c r="S43" s="45">
        <v>3.64</v>
      </c>
    </row>
    <row r="44" spans="1:19" ht="15" customHeight="1" x14ac:dyDescent="0.25">
      <c r="A44" s="43">
        <v>1950</v>
      </c>
      <c r="B44" s="45">
        <v>0.87</v>
      </c>
      <c r="C44" s="45">
        <v>1.04</v>
      </c>
      <c r="D44" s="45">
        <v>1.22</v>
      </c>
      <c r="E44" s="45">
        <v>1.4</v>
      </c>
      <c r="F44" s="45">
        <v>1.57</v>
      </c>
      <c r="G44" s="45">
        <v>1.75</v>
      </c>
      <c r="H44" s="45">
        <v>1.92</v>
      </c>
      <c r="I44" s="45">
        <v>2.1</v>
      </c>
      <c r="J44" s="45">
        <v>2.27</v>
      </c>
      <c r="K44" s="45">
        <v>2.4500000000000002</v>
      </c>
      <c r="L44" s="45">
        <v>2.63</v>
      </c>
      <c r="M44" s="45">
        <v>2.8</v>
      </c>
      <c r="N44" s="45">
        <v>2.98</v>
      </c>
      <c r="O44" s="45">
        <v>3.15</v>
      </c>
      <c r="P44" s="45">
        <v>3.33</v>
      </c>
      <c r="Q44" s="45">
        <v>3.5</v>
      </c>
      <c r="R44" s="45">
        <v>3.68</v>
      </c>
      <c r="S44" s="45">
        <v>3.85</v>
      </c>
    </row>
    <row r="45" spans="1:19" ht="15" customHeight="1" x14ac:dyDescent="0.25">
      <c r="A45" s="43">
        <v>2050</v>
      </c>
      <c r="B45" s="45">
        <v>0.92</v>
      </c>
      <c r="C45" s="45">
        <v>1.1000000000000001</v>
      </c>
      <c r="D45" s="45">
        <v>1.29</v>
      </c>
      <c r="E45" s="45">
        <v>1.48</v>
      </c>
      <c r="F45" s="45">
        <v>1.66</v>
      </c>
      <c r="G45" s="45">
        <v>1.85</v>
      </c>
      <c r="H45" s="45">
        <v>2.0299999999999998</v>
      </c>
      <c r="I45" s="45">
        <v>2.2200000000000002</v>
      </c>
      <c r="J45" s="45">
        <v>2.4</v>
      </c>
      <c r="K45" s="45">
        <v>2.59</v>
      </c>
      <c r="L45" s="45">
        <v>2.77</v>
      </c>
      <c r="M45" s="45">
        <v>2.96</v>
      </c>
      <c r="N45" s="45">
        <v>3.15</v>
      </c>
      <c r="O45" s="45">
        <v>3.33</v>
      </c>
      <c r="P45" s="45">
        <v>3.52</v>
      </c>
      <c r="Q45" s="45">
        <v>3.7</v>
      </c>
      <c r="R45" s="45">
        <v>3.89</v>
      </c>
      <c r="S45" s="45">
        <v>4.07</v>
      </c>
    </row>
    <row r="46" spans="1:19" ht="15" customHeight="1" x14ac:dyDescent="0.25">
      <c r="A46" s="43">
        <v>2150</v>
      </c>
      <c r="B46" s="45">
        <v>0.97</v>
      </c>
      <c r="C46" s="45">
        <v>1.1599999999999999</v>
      </c>
      <c r="D46" s="45">
        <v>1.36</v>
      </c>
      <c r="E46" s="45">
        <v>1.55</v>
      </c>
      <c r="F46" s="45">
        <v>1.75</v>
      </c>
      <c r="G46" s="45">
        <v>1.95</v>
      </c>
      <c r="H46" s="45">
        <v>2.14</v>
      </c>
      <c r="I46" s="45">
        <v>2.34</v>
      </c>
      <c r="J46" s="45">
        <v>2.5299999999999998</v>
      </c>
      <c r="K46" s="45">
        <v>2.73</v>
      </c>
      <c r="L46" s="45">
        <v>2.92</v>
      </c>
      <c r="M46" s="45">
        <v>3.12</v>
      </c>
      <c r="N46" s="45">
        <v>3.32</v>
      </c>
      <c r="O46" s="45">
        <v>3.51</v>
      </c>
      <c r="P46" s="45">
        <v>3.71</v>
      </c>
      <c r="Q46" s="45">
        <v>3.9</v>
      </c>
      <c r="R46" s="45">
        <v>4.0999999999999996</v>
      </c>
      <c r="S46" s="45">
        <v>4.29</v>
      </c>
    </row>
    <row r="47" spans="1:19" ht="15" customHeight="1" x14ac:dyDescent="0.25">
      <c r="A47" s="43">
        <v>2250</v>
      </c>
      <c r="B47" s="45">
        <v>1.02</v>
      </c>
      <c r="C47" s="45">
        <v>1.22</v>
      </c>
      <c r="D47" s="45">
        <v>1.43</v>
      </c>
      <c r="E47" s="45">
        <v>1.63</v>
      </c>
      <c r="F47" s="45">
        <v>1.84</v>
      </c>
      <c r="G47" s="45">
        <v>2.0499999999999998</v>
      </c>
      <c r="H47" s="45">
        <v>2.25</v>
      </c>
      <c r="I47" s="45">
        <v>2.46</v>
      </c>
      <c r="J47" s="45">
        <v>2.66</v>
      </c>
      <c r="K47" s="45">
        <v>2.87</v>
      </c>
      <c r="L47" s="45">
        <v>3.07</v>
      </c>
      <c r="M47" s="45">
        <v>3.28</v>
      </c>
      <c r="N47" s="45">
        <v>3.49</v>
      </c>
      <c r="O47" s="45">
        <v>3.69</v>
      </c>
      <c r="P47" s="45">
        <v>3.9</v>
      </c>
      <c r="Q47" s="45">
        <v>4.0999999999999996</v>
      </c>
      <c r="R47" s="45">
        <v>4.3099999999999996</v>
      </c>
      <c r="S47" s="45">
        <v>4.51</v>
      </c>
    </row>
    <row r="48" spans="1:19" ht="15" customHeight="1" x14ac:dyDescent="0.25">
      <c r="A48" s="43">
        <v>2350</v>
      </c>
      <c r="B48" s="45">
        <v>1.07</v>
      </c>
      <c r="C48" s="45">
        <v>1.28</v>
      </c>
      <c r="D48" s="45">
        <v>1.5</v>
      </c>
      <c r="E48" s="45">
        <v>1.71</v>
      </c>
      <c r="F48" s="45">
        <v>1.93</v>
      </c>
      <c r="G48" s="45">
        <v>2.15</v>
      </c>
      <c r="H48" s="45">
        <v>2.36</v>
      </c>
      <c r="I48" s="45">
        <v>2.58</v>
      </c>
      <c r="J48" s="45">
        <v>2.79</v>
      </c>
      <c r="K48" s="45">
        <v>3.01</v>
      </c>
      <c r="L48" s="45">
        <v>3.22</v>
      </c>
      <c r="M48" s="45">
        <v>3.44</v>
      </c>
      <c r="N48" s="45">
        <v>3.65</v>
      </c>
      <c r="O48" s="45">
        <v>3.87</v>
      </c>
      <c r="P48" s="45">
        <v>4.09</v>
      </c>
      <c r="Q48" s="45">
        <v>4.3</v>
      </c>
      <c r="R48" s="45">
        <v>4.5199999999999996</v>
      </c>
      <c r="S48" s="45">
        <v>4.7300000000000004</v>
      </c>
    </row>
    <row r="49" spans="1:19" ht="15" customHeight="1" x14ac:dyDescent="0.25">
      <c r="A49" s="43">
        <v>2450</v>
      </c>
      <c r="B49" s="45">
        <v>1.1200000000000001</v>
      </c>
      <c r="C49" s="45">
        <v>1.34</v>
      </c>
      <c r="D49" s="45">
        <v>1.57</v>
      </c>
      <c r="E49" s="45">
        <v>1.79</v>
      </c>
      <c r="F49" s="45">
        <v>2.02</v>
      </c>
      <c r="G49" s="45">
        <v>2.2400000000000002</v>
      </c>
      <c r="H49" s="45">
        <v>2.4700000000000002</v>
      </c>
      <c r="I49" s="45">
        <v>2.7</v>
      </c>
      <c r="J49" s="45">
        <v>2.92</v>
      </c>
      <c r="K49" s="45">
        <v>3.15</v>
      </c>
      <c r="L49" s="45">
        <v>3.37</v>
      </c>
      <c r="M49" s="45">
        <v>3.6</v>
      </c>
      <c r="N49" s="45">
        <v>3.82</v>
      </c>
      <c r="O49" s="45">
        <v>4.05</v>
      </c>
      <c r="P49" s="45">
        <v>4.28</v>
      </c>
      <c r="Q49" s="45">
        <v>4.5</v>
      </c>
      <c r="R49" s="45">
        <v>4.7300000000000004</v>
      </c>
      <c r="S49" s="45">
        <v>4.95</v>
      </c>
    </row>
    <row r="50" spans="1:19" ht="15" customHeight="1" x14ac:dyDescent="0.25">
      <c r="A50" s="43">
        <v>2500</v>
      </c>
      <c r="B50" s="45">
        <v>1.17</v>
      </c>
      <c r="C50" s="45">
        <v>1.4</v>
      </c>
      <c r="D50" s="45">
        <v>1.64</v>
      </c>
      <c r="E50" s="45">
        <v>1.87</v>
      </c>
      <c r="F50" s="45">
        <v>2.11</v>
      </c>
      <c r="G50" s="45">
        <v>2.34</v>
      </c>
      <c r="H50" s="45">
        <v>2.58</v>
      </c>
      <c r="I50" s="45">
        <v>2.82</v>
      </c>
      <c r="J50" s="45">
        <v>3.05</v>
      </c>
      <c r="K50" s="45">
        <v>3.29</v>
      </c>
      <c r="L50" s="45">
        <v>3.52</v>
      </c>
      <c r="M50" s="45">
        <v>3.76</v>
      </c>
      <c r="N50" s="45">
        <v>3.99</v>
      </c>
      <c r="O50" s="45">
        <v>4.2300000000000004</v>
      </c>
      <c r="P50" s="45">
        <v>4.46</v>
      </c>
      <c r="Q50" s="45">
        <v>4.7</v>
      </c>
      <c r="R50" s="45">
        <v>4.9400000000000004</v>
      </c>
      <c r="S50" s="45">
        <v>5.17</v>
      </c>
    </row>
    <row r="52" spans="1:19" ht="15" customHeight="1" x14ac:dyDescent="0.25">
      <c r="A52" s="121" t="s">
        <v>262</v>
      </c>
      <c r="B52" s="93"/>
      <c r="C52" s="93"/>
      <c r="D52" s="93"/>
      <c r="E52" s="93"/>
      <c r="F52" s="93"/>
      <c r="G52" s="93"/>
      <c r="H52" s="93"/>
      <c r="I52" s="93"/>
      <c r="J52" s="93"/>
      <c r="K52" s="93"/>
      <c r="L52" s="93"/>
      <c r="M52" s="93"/>
      <c r="N52" s="93"/>
      <c r="O52" s="93"/>
      <c r="P52" s="93"/>
      <c r="Q52" s="93"/>
      <c r="R52" s="93"/>
      <c r="S52" s="93"/>
    </row>
    <row r="53" spans="1:19" ht="15" customHeight="1" x14ac:dyDescent="0.25">
      <c r="A53" s="48" t="s">
        <v>263</v>
      </c>
      <c r="B53" s="49">
        <f>Paramètres!$B$2</f>
        <v>0.51500000000000001</v>
      </c>
    </row>
    <row r="54" spans="1:19" ht="15" customHeight="1" x14ac:dyDescent="0.25">
      <c r="A54" s="43" t="s">
        <v>260</v>
      </c>
      <c r="B54" s="43">
        <v>700</v>
      </c>
      <c r="C54" s="43">
        <v>800</v>
      </c>
      <c r="D54" s="43">
        <v>900</v>
      </c>
      <c r="E54" s="43">
        <v>1000</v>
      </c>
      <c r="F54" s="43">
        <v>1100</v>
      </c>
      <c r="G54" s="43">
        <v>1200</v>
      </c>
      <c r="H54" s="43">
        <v>1300</v>
      </c>
      <c r="I54" s="43">
        <v>1400</v>
      </c>
      <c r="J54" s="43">
        <v>1500</v>
      </c>
      <c r="K54" s="43">
        <v>1600</v>
      </c>
      <c r="L54" s="43">
        <v>1700</v>
      </c>
      <c r="M54" s="43">
        <v>1800</v>
      </c>
      <c r="N54" s="43">
        <v>1900</v>
      </c>
      <c r="O54" s="43">
        <v>2000</v>
      </c>
      <c r="P54" s="43">
        <v>2100</v>
      </c>
      <c r="Q54" s="43">
        <v>2200</v>
      </c>
      <c r="R54" s="43">
        <v>2300</v>
      </c>
      <c r="S54" s="43">
        <v>2400</v>
      </c>
    </row>
    <row r="55" spans="1:19" ht="15" customHeight="1" x14ac:dyDescent="0.25">
      <c r="A55" s="43">
        <v>550</v>
      </c>
      <c r="B55" s="53">
        <f>IF(B5="","",B5*(1-Paramètres!$B$2))</f>
        <v>678.51499999999999</v>
      </c>
      <c r="C55" s="53">
        <f>IF(C5="","",C5*(1-Paramètres!$B$2))</f>
        <v>695.005</v>
      </c>
      <c r="D55" s="53">
        <f>IF(D5="","",D5*(1-Paramètres!$B$2))</f>
        <v>711.495</v>
      </c>
      <c r="E55" s="53">
        <f>IF(E5="","",E5*(1-Paramètres!$B$2))</f>
        <v>726.04499999999996</v>
      </c>
      <c r="F55" s="53">
        <f>IF(F5="","",F5*(1-Paramètres!$B$2))</f>
        <v>743.02</v>
      </c>
      <c r="G55" s="53">
        <f>IF(G5="","",G5*(1-Paramètres!$B$2))</f>
        <v>759.995</v>
      </c>
      <c r="H55" s="54" t="str">
        <f>IF(H5="","",H5*(1-Paramètres!$B$2))</f>
        <v/>
      </c>
      <c r="I55" s="54" t="str">
        <f>IF(I5="","",I5*(1-Paramètres!$B$2))</f>
        <v/>
      </c>
      <c r="J55" s="54" t="str">
        <f>IF(J5="","",J5*(1-Paramètres!$B$2))</f>
        <v/>
      </c>
      <c r="K55" s="54" t="str">
        <f>IF(K5="","",K5*(1-Paramètres!$B$2))</f>
        <v/>
      </c>
      <c r="L55" s="54" t="str">
        <f>IF(L5="","",L5*(1-Paramètres!$B$2))</f>
        <v/>
      </c>
      <c r="M55" s="54" t="str">
        <f>IF(M5="","",M5*(1-Paramètres!$B$2))</f>
        <v/>
      </c>
      <c r="N55" s="54" t="str">
        <f>IF(N5="","",N5*(1-Paramètres!$B$2))</f>
        <v/>
      </c>
      <c r="O55" s="54" t="str">
        <f>IF(O5="","",O5*(1-Paramètres!$B$2))</f>
        <v/>
      </c>
      <c r="P55" s="54" t="str">
        <f>IF(P5="","",P5*(1-Paramètres!$B$2))</f>
        <v/>
      </c>
      <c r="Q55" s="54" t="str">
        <f>IF(Q5="","",Q5*(1-Paramètres!$B$2))</f>
        <v/>
      </c>
      <c r="R55" s="54" t="str">
        <f>IF(R5="","",R5*(1-Paramètres!$B$2))</f>
        <v/>
      </c>
      <c r="S55" s="54" t="str">
        <f>IF(S5="","",S5*(1-Paramètres!$B$2))</f>
        <v/>
      </c>
    </row>
    <row r="56" spans="1:19" ht="15" customHeight="1" x14ac:dyDescent="0.25">
      <c r="A56" s="43">
        <v>650</v>
      </c>
      <c r="B56" s="53">
        <f>IF(B6="","",B6*(1-Paramètres!$B$2))</f>
        <v>700.34</v>
      </c>
      <c r="C56" s="53">
        <f>IF(C6="","",C6*(1-Paramètres!$B$2))</f>
        <v>718.28499999999997</v>
      </c>
      <c r="D56" s="53">
        <f>IF(D6="","",D6*(1-Paramètres!$B$2))</f>
        <v>735.745</v>
      </c>
      <c r="E56" s="53">
        <f>IF(E6="","",E6*(1-Paramètres!$B$2))</f>
        <v>752.72</v>
      </c>
      <c r="F56" s="53">
        <f>IF(F6="","",F6*(1-Paramètres!$B$2))</f>
        <v>770.18</v>
      </c>
      <c r="G56" s="53">
        <f>IF(G6="","",G6*(1-Paramètres!$B$2))</f>
        <v>787.15499999999997</v>
      </c>
      <c r="H56" s="53">
        <f>IF(H6="","",H6*(1-Paramètres!$B$2))</f>
        <v>804.61500000000001</v>
      </c>
      <c r="I56" s="53">
        <f>IF(I6="","",I6*(1-Paramètres!$B$2))</f>
        <v>823.04499999999996</v>
      </c>
      <c r="J56" s="54" t="str">
        <f>IF(J6="","",J6*(1-Paramètres!$B$2))</f>
        <v/>
      </c>
      <c r="K56" s="54" t="str">
        <f>IF(K6="","",K6*(1-Paramètres!$B$2))</f>
        <v/>
      </c>
      <c r="L56" s="54" t="str">
        <f>IF(L6="","",L6*(1-Paramètres!$B$2))</f>
        <v/>
      </c>
      <c r="M56" s="54" t="str">
        <f>IF(M6="","",M6*(1-Paramètres!$B$2))</f>
        <v/>
      </c>
      <c r="N56" s="54" t="str">
        <f>IF(N6="","",N6*(1-Paramètres!$B$2))</f>
        <v/>
      </c>
      <c r="O56" s="54" t="str">
        <f>IF(O6="","",O6*(1-Paramètres!$B$2))</f>
        <v/>
      </c>
      <c r="P56" s="54" t="str">
        <f>IF(P6="","",P6*(1-Paramètres!$B$2))</f>
        <v/>
      </c>
      <c r="Q56" s="54" t="str">
        <f>IF(Q6="","",Q6*(1-Paramètres!$B$2))</f>
        <v/>
      </c>
      <c r="R56" s="54" t="str">
        <f>IF(R6="","",R6*(1-Paramètres!$B$2))</f>
        <v/>
      </c>
      <c r="S56" s="54" t="str">
        <f>IF(S6="","",S6*(1-Paramètres!$B$2))</f>
        <v/>
      </c>
    </row>
    <row r="57" spans="1:19" ht="15" customHeight="1" x14ac:dyDescent="0.25">
      <c r="A57" s="43">
        <v>750</v>
      </c>
      <c r="B57" s="53">
        <f>IF(B7="","",B7*(1-Paramètres!$B$2))</f>
        <v>723.13499999999999</v>
      </c>
      <c r="C57" s="53">
        <f>IF(C7="","",C7*(1-Paramètres!$B$2))</f>
        <v>741.56499999999994</v>
      </c>
      <c r="D57" s="53">
        <f>IF(D7="","",D7*(1-Paramètres!$B$2))</f>
        <v>759.995</v>
      </c>
      <c r="E57" s="53">
        <f>IF(E7="","",E7*(1-Paramètres!$B$2))</f>
        <v>777.93999999999994</v>
      </c>
      <c r="F57" s="53">
        <f>IF(F7="","",F7*(1-Paramètres!$B$2))</f>
        <v>797.34</v>
      </c>
      <c r="G57" s="53">
        <f>IF(G7="","",G7*(1-Paramètres!$B$2))</f>
        <v>814.31499999999994</v>
      </c>
      <c r="H57" s="53">
        <f>IF(H7="","",H7*(1-Paramètres!$B$2))</f>
        <v>831.77499999999998</v>
      </c>
      <c r="I57" s="53">
        <f>IF(I7="","",I7*(1-Paramètres!$B$2))</f>
        <v>851.17499999999995</v>
      </c>
      <c r="J57" s="53">
        <f>IF(J7="","",J7*(1-Paramètres!$B$2))</f>
        <v>868.15</v>
      </c>
      <c r="K57" s="53">
        <f>IF(K7="","",K7*(1-Paramètres!$B$2))</f>
        <v>886.57999999999993</v>
      </c>
      <c r="L57" s="54" t="str">
        <f>IF(L7="","",L7*(1-Paramètres!$B$2))</f>
        <v/>
      </c>
      <c r="M57" s="54" t="str">
        <f>IF(M7="","",M7*(1-Paramètres!$B$2))</f>
        <v/>
      </c>
      <c r="N57" s="54" t="str">
        <f>IF(N7="","",N7*(1-Paramètres!$B$2))</f>
        <v/>
      </c>
      <c r="O57" s="54" t="str">
        <f>IF(O7="","",O7*(1-Paramètres!$B$2))</f>
        <v/>
      </c>
      <c r="P57" s="54" t="str">
        <f>IF(P7="","",P7*(1-Paramètres!$B$2))</f>
        <v/>
      </c>
      <c r="Q57" s="54" t="str">
        <f>IF(Q7="","",Q7*(1-Paramètres!$B$2))</f>
        <v/>
      </c>
      <c r="R57" s="54" t="str">
        <f>IF(R7="","",R7*(1-Paramètres!$B$2))</f>
        <v/>
      </c>
      <c r="S57" s="54" t="str">
        <f>IF(S7="","",S7*(1-Paramètres!$B$2))</f>
        <v/>
      </c>
    </row>
    <row r="58" spans="1:19" ht="15" customHeight="1" x14ac:dyDescent="0.25">
      <c r="A58" s="43">
        <v>850</v>
      </c>
      <c r="B58" s="53">
        <f>IF(B8="","",B8*(1-Paramètres!$B$2))</f>
        <v>746.9</v>
      </c>
      <c r="C58" s="53">
        <f>IF(C8="","",C8*(1-Paramètres!$B$2))</f>
        <v>765.32999999999993</v>
      </c>
      <c r="D58" s="53">
        <f>IF(D8="","",D8*(1-Paramètres!$B$2))</f>
        <v>785.21500000000003</v>
      </c>
      <c r="E58" s="53">
        <f>IF(E8="","",E8*(1-Paramètres!$B$2))</f>
        <v>804.13</v>
      </c>
      <c r="F58" s="53">
        <f>IF(F8="","",F8*(1-Paramètres!$B$2))</f>
        <v>823.53</v>
      </c>
      <c r="G58" s="53">
        <f>IF(G8="","",G8*(1-Paramètres!$B$2))</f>
        <v>841.95999999999992</v>
      </c>
      <c r="H58" s="53">
        <f>IF(H8="","",H8*(1-Paramètres!$B$2))</f>
        <v>861.36</v>
      </c>
      <c r="I58" s="53">
        <f>IF(I8="","",I8*(1-Paramètres!$B$2))</f>
        <v>879.30499999999995</v>
      </c>
      <c r="J58" s="53">
        <f>IF(J8="","",J8*(1-Paramètres!$B$2))</f>
        <v>898.70499999999993</v>
      </c>
      <c r="K58" s="53">
        <f>IF(K8="","",K8*(1-Paramètres!$B$2))</f>
        <v>917.13499999999999</v>
      </c>
      <c r="L58" s="53">
        <f>IF(L8="","",L8*(1-Paramètres!$B$2))</f>
        <v>936.05</v>
      </c>
      <c r="M58" s="54" t="str">
        <f>IF(M8="","",M8*(1-Paramètres!$B$2))</f>
        <v/>
      </c>
      <c r="N58" s="54" t="str">
        <f>IF(N8="","",N8*(1-Paramètres!$B$2))</f>
        <v/>
      </c>
      <c r="O58" s="54" t="str">
        <f>IF(O8="","",O8*(1-Paramètres!$B$2))</f>
        <v/>
      </c>
      <c r="P58" s="54" t="str">
        <f>IF(P8="","",P8*(1-Paramètres!$B$2))</f>
        <v/>
      </c>
      <c r="Q58" s="54" t="str">
        <f>IF(Q8="","",Q8*(1-Paramètres!$B$2))</f>
        <v/>
      </c>
      <c r="R58" s="54" t="str">
        <f>IF(R8="","",R8*(1-Paramètres!$B$2))</f>
        <v/>
      </c>
      <c r="S58" s="54" t="str">
        <f>IF(S8="","",S8*(1-Paramètres!$B$2))</f>
        <v/>
      </c>
    </row>
    <row r="59" spans="1:19" ht="15" customHeight="1" x14ac:dyDescent="0.25">
      <c r="A59" s="43">
        <v>950</v>
      </c>
      <c r="B59" s="53">
        <f>IF(B9="","",B9*(1-Paramètres!$B$2))</f>
        <v>770.18</v>
      </c>
      <c r="C59" s="53">
        <f>IF(C9="","",C9*(1-Paramètres!$B$2))</f>
        <v>790.06499999999994</v>
      </c>
      <c r="D59" s="53">
        <f>IF(D9="","",D9*(1-Paramètres!$B$2))</f>
        <v>809.46500000000003</v>
      </c>
      <c r="E59" s="53">
        <f>IF(E9="","",E9*(1-Paramètres!$B$2))</f>
        <v>829.35</v>
      </c>
      <c r="F59" s="53">
        <f>IF(F9="","",F9*(1-Paramètres!$B$2))</f>
        <v>848.75</v>
      </c>
      <c r="G59" s="53">
        <f>IF(G9="","",G9*(1-Paramètres!$B$2))</f>
        <v>868.15</v>
      </c>
      <c r="H59" s="53">
        <f>IF(H9="","",H9*(1-Paramètres!$B$2))</f>
        <v>887.55</v>
      </c>
      <c r="I59" s="53">
        <f>IF(I9="","",I9*(1-Paramètres!$B$2))</f>
        <v>907.43499999999995</v>
      </c>
      <c r="J59" s="53">
        <f>IF(J9="","",J9*(1-Paramètres!$B$2))</f>
        <v>928.29</v>
      </c>
      <c r="K59" s="53">
        <f>IF(K9="","",K9*(1-Paramètres!$B$2))</f>
        <v>947.20499999999993</v>
      </c>
      <c r="L59" s="53">
        <f>IF(L9="","",L9*(1-Paramètres!$B$2))</f>
        <v>967.08999999999992</v>
      </c>
      <c r="M59" s="53">
        <f>IF(M9="","",M9*(1-Paramètres!$B$2))</f>
        <v>986.97500000000002</v>
      </c>
      <c r="N59" s="53">
        <f>IF(N9="","",N9*(1-Paramètres!$B$2))</f>
        <v>1006.86</v>
      </c>
      <c r="O59" s="53">
        <f>IF(O9="","",O9*(1-Paramètres!$B$2))</f>
        <v>1026.7449999999999</v>
      </c>
      <c r="P59" s="53">
        <f>IF(P9="","",P9*(1-Paramètres!$B$2))</f>
        <v>1046.6299999999999</v>
      </c>
      <c r="Q59" s="53">
        <f>IF(Q9="","",Q9*(1-Paramètres!$B$2))</f>
        <v>1067</v>
      </c>
      <c r="R59" s="53">
        <f>IF(R9="","",R9*(1-Paramètres!$B$2))</f>
        <v>1087.3699999999999</v>
      </c>
      <c r="S59" s="53">
        <f>IF(S9="","",S9*(1-Paramètres!$B$2))</f>
        <v>1107.2549999999999</v>
      </c>
    </row>
    <row r="60" spans="1:19" ht="15" customHeight="1" x14ac:dyDescent="0.25">
      <c r="A60" s="43">
        <v>1050</v>
      </c>
      <c r="B60" s="53">
        <f>IF(B10="","",B10*(1-Paramètres!$B$2))</f>
        <v>795.4</v>
      </c>
      <c r="C60" s="53">
        <f>IF(C10="","",C10*(1-Paramètres!$B$2))</f>
        <v>814.31499999999994</v>
      </c>
      <c r="D60" s="53">
        <f>IF(D10="","",D10*(1-Paramètres!$B$2))</f>
        <v>834.68499999999995</v>
      </c>
      <c r="E60" s="53">
        <f>IF(E10="","",E10*(1-Paramètres!$B$2))</f>
        <v>854.56999999999994</v>
      </c>
      <c r="F60" s="53">
        <f>IF(F10="","",F10*(1-Paramètres!$B$2))</f>
        <v>875.42499999999995</v>
      </c>
      <c r="G60" s="53">
        <f>IF(G10="","",G10*(1-Paramètres!$B$2))</f>
        <v>894.82499999999993</v>
      </c>
      <c r="H60" s="53">
        <f>IF(H10="","",H10*(1-Paramètres!$B$2))</f>
        <v>915.68</v>
      </c>
      <c r="I60" s="53">
        <f>IF(I10="","",I10*(1-Paramètres!$B$2))</f>
        <v>936.53499999999997</v>
      </c>
      <c r="J60" s="53">
        <f>IF(J10="","",J10*(1-Paramètres!$B$2))</f>
        <v>956.90499999999997</v>
      </c>
      <c r="K60" s="53">
        <f>IF(K10="","",K10*(1-Paramètres!$B$2))</f>
        <v>978.245</v>
      </c>
      <c r="L60" s="53">
        <f>IF(L10="","",L10*(1-Paramètres!$B$2))</f>
        <v>997.64499999999998</v>
      </c>
      <c r="M60" s="53">
        <f>IF(M10="","",M10*(1-Paramètres!$B$2))</f>
        <v>1017.045</v>
      </c>
      <c r="N60" s="53">
        <f>IF(N10="","",N10*(1-Paramètres!$B$2))</f>
        <v>1036.4449999999999</v>
      </c>
      <c r="O60" s="53">
        <f>IF(O10="","",O10*(1-Paramètres!$B$2))</f>
        <v>1055.845</v>
      </c>
      <c r="P60" s="53">
        <f>IF(P10="","",P10*(1-Paramètres!$B$2))</f>
        <v>1075.2449999999999</v>
      </c>
      <c r="Q60" s="53">
        <f>IF(Q10="","",Q10*(1-Paramètres!$B$2))</f>
        <v>1094.645</v>
      </c>
      <c r="R60" s="53">
        <f>IF(R10="","",R10*(1-Paramètres!$B$2))</f>
        <v>1114.0450000000001</v>
      </c>
      <c r="S60" s="53">
        <f>IF(S10="","",S10*(1-Paramètres!$B$2))</f>
        <v>1133.4449999999999</v>
      </c>
    </row>
    <row r="61" spans="1:19" ht="15" customHeight="1" x14ac:dyDescent="0.25">
      <c r="A61" s="43">
        <v>1150</v>
      </c>
      <c r="B61" s="53">
        <f>IF(B11="","",B11*(1-Paramètres!$B$2))</f>
        <v>816.74</v>
      </c>
      <c r="C61" s="53">
        <f>IF(C11="","",C11*(1-Paramètres!$B$2))</f>
        <v>837.59500000000003</v>
      </c>
      <c r="D61" s="53">
        <f>IF(D11="","",D11*(1-Paramètres!$B$2))</f>
        <v>860.39</v>
      </c>
      <c r="E61" s="53">
        <f>IF(E11="","",E11*(1-Paramètres!$B$2))</f>
        <v>881.245</v>
      </c>
      <c r="F61" s="53">
        <f>IF(F11="","",F11*(1-Paramètres!$B$2))</f>
        <v>902.58499999999992</v>
      </c>
      <c r="G61" s="53">
        <f>IF(G11="","",G11*(1-Paramètres!$B$2))</f>
        <v>923.92499999999995</v>
      </c>
      <c r="H61" s="53">
        <f>IF(H11="","",H11*(1-Paramètres!$B$2))</f>
        <v>943.32499999999993</v>
      </c>
      <c r="I61" s="53">
        <f>IF(I11="","",I11*(1-Paramètres!$B$2))</f>
        <v>965.15</v>
      </c>
      <c r="J61" s="53">
        <f>IF(J11="","",J11*(1-Paramètres!$B$2))</f>
        <v>986.49</v>
      </c>
      <c r="K61" s="53">
        <f>IF(K11="","",K11*(1-Paramètres!$B$2))</f>
        <v>1007.345</v>
      </c>
      <c r="L61" s="53">
        <f>IF(L11="","",L11*(1-Paramètres!$B$2))</f>
        <v>1027.7149999999999</v>
      </c>
      <c r="M61" s="53">
        <f>IF(M11="","",M11*(1-Paramètres!$B$2))</f>
        <v>1047.5999999999999</v>
      </c>
      <c r="N61" s="53">
        <f>IF(N11="","",N11*(1-Paramètres!$B$2))</f>
        <v>1067.97</v>
      </c>
      <c r="O61" s="53">
        <f>IF(O11="","",O11*(1-Paramètres!$B$2))</f>
        <v>1087.855</v>
      </c>
      <c r="P61" s="53">
        <f>IF(P11="","",P11*(1-Paramètres!$B$2))</f>
        <v>1107.74</v>
      </c>
      <c r="Q61" s="53">
        <f>IF(Q11="","",Q11*(1-Paramètres!$B$2))</f>
        <v>1128.1099999999999</v>
      </c>
      <c r="R61" s="53">
        <f>IF(R11="","",R11*(1-Paramètres!$B$2))</f>
        <v>1147.51</v>
      </c>
      <c r="S61" s="53">
        <f>IF(S11="","",S11*(1-Paramètres!$B$2))</f>
        <v>1167.8799999999999</v>
      </c>
    </row>
    <row r="62" spans="1:19" ht="15" customHeight="1" x14ac:dyDescent="0.25">
      <c r="A62" s="43">
        <v>1250</v>
      </c>
      <c r="B62" s="53">
        <f>IF(B12="","",B12*(1-Paramètres!$B$2))</f>
        <v>841.47500000000002</v>
      </c>
      <c r="C62" s="53">
        <f>IF(C12="","",C12*(1-Paramètres!$B$2))</f>
        <v>862.81499999999994</v>
      </c>
      <c r="D62" s="53">
        <f>IF(D12="","",D12*(1-Paramètres!$B$2))</f>
        <v>884.64</v>
      </c>
      <c r="E62" s="53">
        <f>IF(E12="","",E12*(1-Paramètres!$B$2))</f>
        <v>906.46500000000003</v>
      </c>
      <c r="F62" s="53">
        <f>IF(F12="","",F12*(1-Paramètres!$B$2))</f>
        <v>928.77499999999998</v>
      </c>
      <c r="G62" s="53">
        <f>IF(G12="","",G12*(1-Paramètres!$B$2))</f>
        <v>950.6</v>
      </c>
      <c r="H62" s="53">
        <f>IF(H12="","",H12*(1-Paramètres!$B$2))</f>
        <v>972.42499999999995</v>
      </c>
      <c r="I62" s="53">
        <f>IF(I12="","",I12*(1-Paramètres!$B$2))</f>
        <v>994.25</v>
      </c>
      <c r="J62" s="53">
        <f>IF(J12="","",J12*(1-Paramètres!$B$2))</f>
        <v>1015.5899999999999</v>
      </c>
      <c r="K62" s="53">
        <f>IF(K12="","",K12*(1-Paramètres!$B$2))</f>
        <v>1037.8999999999999</v>
      </c>
      <c r="L62" s="53">
        <f>IF(L12="","",L12*(1-Paramètres!$B$2))</f>
        <v>1060.21</v>
      </c>
      <c r="M62" s="53">
        <f>IF(M12="","",M12*(1-Paramètres!$B$2))</f>
        <v>1082.0350000000001</v>
      </c>
      <c r="N62" s="53">
        <f>IF(N12="","",N12*(1-Paramètres!$B$2))</f>
        <v>1104.345</v>
      </c>
      <c r="O62" s="53">
        <f>IF(O12="","",O12*(1-Paramètres!$B$2))</f>
        <v>1127.625</v>
      </c>
      <c r="P62" s="53">
        <f>IF(P12="","",P12*(1-Paramètres!$B$2))</f>
        <v>1149.9349999999999</v>
      </c>
      <c r="Q62" s="53">
        <f>IF(Q12="","",Q12*(1-Paramètres!$B$2))</f>
        <v>1171.76</v>
      </c>
      <c r="R62" s="53">
        <f>IF(R12="","",R12*(1-Paramètres!$B$2))</f>
        <v>1194.07</v>
      </c>
      <c r="S62" s="53">
        <f>IF(S12="","",S12*(1-Paramètres!$B$2))</f>
        <v>1216.3799999999999</v>
      </c>
    </row>
    <row r="63" spans="1:19" ht="15" customHeight="1" x14ac:dyDescent="0.25">
      <c r="A63" s="43">
        <v>1350</v>
      </c>
      <c r="B63" s="53">
        <f>IF(B13="","",B13*(1-Paramètres!$B$2))</f>
        <v>863.3</v>
      </c>
      <c r="C63" s="53">
        <f>IF(C13="","",C13*(1-Paramètres!$B$2))</f>
        <v>886.09500000000003</v>
      </c>
      <c r="D63" s="53">
        <f>IF(D13="","",D13*(1-Paramètres!$B$2))</f>
        <v>908.89</v>
      </c>
      <c r="E63" s="53">
        <f>IF(E13="","",E13*(1-Paramètres!$B$2))</f>
        <v>931.68499999999995</v>
      </c>
      <c r="F63" s="53">
        <f>IF(F13="","",F13*(1-Paramètres!$B$2))</f>
        <v>955.44999999999993</v>
      </c>
      <c r="G63" s="53">
        <f>IF(G13="","",G13*(1-Paramètres!$B$2))</f>
        <v>977.76</v>
      </c>
      <c r="H63" s="53">
        <f>IF(H13="","",H13*(1-Paramètres!$B$2))</f>
        <v>999.1</v>
      </c>
      <c r="I63" s="53">
        <f>IF(I13="","",I13*(1-Paramètres!$B$2))</f>
        <v>1022.865</v>
      </c>
      <c r="J63" s="53">
        <f>IF(J13="","",J13*(1-Paramètres!$B$2))</f>
        <v>1045.6600000000001</v>
      </c>
      <c r="K63" s="53">
        <f>IF(K13="","",K13*(1-Paramètres!$B$2))</f>
        <v>1068.4549999999999</v>
      </c>
      <c r="L63" s="53">
        <f>IF(L13="","",L13*(1-Paramètres!$B$2))</f>
        <v>1091.25</v>
      </c>
      <c r="M63" s="53">
        <f>IF(M13="","",M13*(1-Paramètres!$B$2))</f>
        <v>1114.0450000000001</v>
      </c>
      <c r="N63" s="53">
        <f>IF(N13="","",N13*(1-Paramètres!$B$2))</f>
        <v>1136.8399999999999</v>
      </c>
      <c r="O63" s="53">
        <f>IF(O13="","",O13*(1-Paramètres!$B$2))</f>
        <v>1159.1499999999999</v>
      </c>
      <c r="P63" s="53">
        <f>IF(P13="","",P13*(1-Paramètres!$B$2))</f>
        <v>1182.915</v>
      </c>
      <c r="Q63" s="53">
        <f>IF(Q13="","",Q13*(1-Paramètres!$B$2))</f>
        <v>1205.71</v>
      </c>
      <c r="R63" s="53">
        <f>IF(R13="","",R13*(1-Paramètres!$B$2))</f>
        <v>1228.5049999999999</v>
      </c>
      <c r="S63" s="53">
        <f>IF(S13="","",S13*(1-Paramètres!$B$2))</f>
        <v>1251.3</v>
      </c>
    </row>
    <row r="64" spans="1:19" ht="15" customHeight="1" x14ac:dyDescent="0.25">
      <c r="A64" s="43">
        <v>1450</v>
      </c>
      <c r="B64" s="53">
        <f>IF(B14="","",B14*(1-Paramètres!$B$2))</f>
        <v>887.06499999999994</v>
      </c>
      <c r="C64" s="53">
        <f>IF(C14="","",C14*(1-Paramètres!$B$2))</f>
        <v>911.31499999999994</v>
      </c>
      <c r="D64" s="53">
        <f>IF(D14="","",D14*(1-Paramètres!$B$2))</f>
        <v>934.11</v>
      </c>
      <c r="E64" s="53">
        <f>IF(E14="","",E14*(1-Paramètres!$B$2))</f>
        <v>957.39</v>
      </c>
      <c r="F64" s="53">
        <f>IF(F14="","",F14*(1-Paramètres!$B$2))</f>
        <v>981.64</v>
      </c>
      <c r="G64" s="53">
        <f>IF(G14="","",G14*(1-Paramètres!$B$2))</f>
        <v>1004.4349999999999</v>
      </c>
      <c r="H64" s="53">
        <f>IF(H14="","",H14*(1-Paramètres!$B$2))</f>
        <v>1026.7449999999999</v>
      </c>
      <c r="I64" s="53">
        <f>IF(I14="","",I14*(1-Paramètres!$B$2))</f>
        <v>1050.9949999999999</v>
      </c>
      <c r="J64" s="53">
        <f>IF(J14="","",J14*(1-Paramètres!$B$2))</f>
        <v>1075.2449999999999</v>
      </c>
      <c r="K64" s="53">
        <f>IF(K14="","",K14*(1-Paramètres!$B$2))</f>
        <v>1098.5249999999999</v>
      </c>
      <c r="L64" s="53">
        <f>IF(L14="","",L14*(1-Paramètres!$B$2))</f>
        <v>1120.835</v>
      </c>
      <c r="M64" s="53">
        <f>IF(M14="","",M14*(1-Paramètres!$B$2))</f>
        <v>1144.5999999999999</v>
      </c>
      <c r="N64" s="53">
        <f>IF(N14="","",N14*(1-Paramètres!$B$2))</f>
        <v>1167.395</v>
      </c>
      <c r="O64" s="53">
        <f>IF(O14="","",O14*(1-Paramètres!$B$2))</f>
        <v>1190.19</v>
      </c>
      <c r="P64" s="53">
        <f>IF(P14="","",P14*(1-Paramètres!$B$2))</f>
        <v>1212.9849999999999</v>
      </c>
      <c r="Q64" s="53">
        <f>IF(Q14="","",Q14*(1-Paramètres!$B$2))</f>
        <v>1235.2950000000001</v>
      </c>
      <c r="R64" s="53">
        <f>IF(R14="","",R14*(1-Paramètres!$B$2))</f>
        <v>1258.575</v>
      </c>
      <c r="S64" s="53">
        <f>IF(S14="","",S14*(1-Paramètres!$B$2))</f>
        <v>1281.3699999999999</v>
      </c>
    </row>
    <row r="65" spans="1:19" ht="15" customHeight="1" x14ac:dyDescent="0.25">
      <c r="A65" s="43">
        <v>1550</v>
      </c>
      <c r="B65" s="53">
        <f>IF(B15="","",B15*(1-Paramètres!$B$2))</f>
        <v>910.34500000000003</v>
      </c>
      <c r="C65" s="53">
        <f>IF(C15="","",C15*(1-Paramètres!$B$2))</f>
        <v>935.07999999999993</v>
      </c>
      <c r="D65" s="53">
        <f>IF(D15="","",D15*(1-Paramètres!$B$2))</f>
        <v>959.32999999999993</v>
      </c>
      <c r="E65" s="53">
        <f>IF(E15="","",E15*(1-Paramètres!$B$2))</f>
        <v>983.57999999999993</v>
      </c>
      <c r="F65" s="53">
        <f>IF(F15="","",F15*(1-Paramètres!$B$2))</f>
        <v>1006.86</v>
      </c>
      <c r="G65" s="53">
        <f>IF(G15="","",G15*(1-Paramètres!$B$2))</f>
        <v>1032.08</v>
      </c>
      <c r="H65" s="53">
        <f>IF(H15="","",H15*(1-Paramètres!$B$2))</f>
        <v>1056.8150000000001</v>
      </c>
      <c r="I65" s="53">
        <f>IF(I15="","",I15*(1-Paramètres!$B$2))</f>
        <v>1079.6099999999999</v>
      </c>
      <c r="J65" s="53">
        <f>IF(J15="","",J15*(1-Paramètres!$B$2))</f>
        <v>1103.8599999999999</v>
      </c>
      <c r="K65" s="53">
        <f>IF(K15="","",K15*(1-Paramètres!$B$2))</f>
        <v>1128.595</v>
      </c>
      <c r="L65" s="53">
        <f>IF(L15="","",L15*(1-Paramètres!$B$2))</f>
        <v>1152.845</v>
      </c>
      <c r="M65" s="53">
        <f>IF(M15="","",M15*(1-Paramètres!$B$2))</f>
        <v>1177.58</v>
      </c>
      <c r="N65" s="53">
        <f>IF(N15="","",N15*(1-Paramètres!$B$2))</f>
        <v>1202.3150000000001</v>
      </c>
      <c r="O65" s="53">
        <f>IF(O15="","",O15*(1-Paramètres!$B$2))</f>
        <v>1226.5650000000001</v>
      </c>
      <c r="P65" s="53">
        <f>IF(P15="","",P15*(1-Paramètres!$B$2))</f>
        <v>1251.3</v>
      </c>
      <c r="Q65" s="53">
        <f>IF(Q15="","",Q15*(1-Paramètres!$B$2))</f>
        <v>1275.55</v>
      </c>
      <c r="R65" s="53">
        <f>IF(R15="","",R15*(1-Paramètres!$B$2))</f>
        <v>1300.77</v>
      </c>
      <c r="S65" s="53">
        <f>IF(S15="","",S15*(1-Paramètres!$B$2))</f>
        <v>1325.02</v>
      </c>
    </row>
    <row r="66" spans="1:19" ht="15" customHeight="1" x14ac:dyDescent="0.25">
      <c r="A66" s="43">
        <v>1650</v>
      </c>
      <c r="B66" s="53">
        <f>IF(B16="","",B16*(1-Paramètres!$B$2))</f>
        <v>934.11</v>
      </c>
      <c r="C66" s="53">
        <f>IF(C16="","",C16*(1-Paramètres!$B$2))</f>
        <v>959.32999999999993</v>
      </c>
      <c r="D66" s="53">
        <f>IF(D16="","",D16*(1-Paramètres!$B$2))</f>
        <v>984.55</v>
      </c>
      <c r="E66" s="53">
        <f>IF(E16="","",E16*(1-Paramètres!$B$2))</f>
        <v>1008.3149999999999</v>
      </c>
      <c r="F66" s="53">
        <f>IF(F16="","",F16*(1-Paramètres!$B$2))</f>
        <v>1034.02</v>
      </c>
      <c r="G66" s="53">
        <f>IF(G16="","",G16*(1-Paramètres!$B$2))</f>
        <v>1058.7549999999999</v>
      </c>
      <c r="H66" s="53">
        <f>IF(H16="","",H16*(1-Paramètres!$B$2))</f>
        <v>1084.46</v>
      </c>
      <c r="I66" s="53">
        <f>IF(I16="","",I16*(1-Paramètres!$B$2))</f>
        <v>1108.2249999999999</v>
      </c>
      <c r="J66" s="53">
        <f>IF(J16="","",J16*(1-Paramètres!$B$2))</f>
        <v>1133.4449999999999</v>
      </c>
      <c r="K66" s="53">
        <f>IF(K16="","",K16*(1-Paramètres!$B$2))</f>
        <v>1157.6949999999999</v>
      </c>
      <c r="L66" s="53">
        <f>IF(L16="","",L16*(1-Paramètres!$B$2))</f>
        <v>1184.3699999999999</v>
      </c>
      <c r="M66" s="53">
        <f>IF(M16="","",M16*(1-Paramètres!$B$2))</f>
        <v>1210.56</v>
      </c>
      <c r="N66" s="53">
        <f>IF(N16="","",N16*(1-Paramètres!$B$2))</f>
        <v>1236.75</v>
      </c>
      <c r="O66" s="53">
        <f>IF(O16="","",O16*(1-Paramètres!$B$2))</f>
        <v>1263.425</v>
      </c>
      <c r="P66" s="53">
        <f>IF(P16="","",P16*(1-Paramètres!$B$2))</f>
        <v>1289.615</v>
      </c>
      <c r="Q66" s="53">
        <f>IF(Q16="","",Q16*(1-Paramètres!$B$2))</f>
        <v>1316.29</v>
      </c>
      <c r="R66" s="53">
        <f>IF(R16="","",R16*(1-Paramètres!$B$2))</f>
        <v>1341.9949999999999</v>
      </c>
      <c r="S66" s="53">
        <f>IF(S16="","",S16*(1-Paramètres!$B$2))</f>
        <v>1368.1849999999999</v>
      </c>
    </row>
    <row r="67" spans="1:19" ht="15" customHeight="1" x14ac:dyDescent="0.25">
      <c r="A67" s="43">
        <v>1750</v>
      </c>
      <c r="B67" s="53">
        <f>IF(B17="","",B17*(1-Paramètres!$B$2))</f>
        <v>956.90499999999997</v>
      </c>
      <c r="C67" s="53">
        <f>IF(C17="","",C17*(1-Paramètres!$B$2))</f>
        <v>983.09500000000003</v>
      </c>
      <c r="D67" s="53">
        <f>IF(D17="","",D17*(1-Paramètres!$B$2))</f>
        <v>1008.3149999999999</v>
      </c>
      <c r="E67" s="53">
        <f>IF(E17="","",E17*(1-Paramètres!$B$2))</f>
        <v>1034.99</v>
      </c>
      <c r="F67" s="53">
        <f>IF(F17="","",F17*(1-Paramètres!$B$2))</f>
        <v>1060.21</v>
      </c>
      <c r="G67" s="53">
        <f>IF(G17="","",G17*(1-Paramètres!$B$2))</f>
        <v>1086.3999999999999</v>
      </c>
      <c r="H67" s="53">
        <f>IF(H17="","",H17*(1-Paramètres!$B$2))</f>
        <v>1112.5899999999999</v>
      </c>
      <c r="I67" s="53">
        <f>IF(I17="","",I17*(1-Paramètres!$B$2))</f>
        <v>1137.81</v>
      </c>
      <c r="J67" s="53">
        <f>IF(J17="","",J17*(1-Paramètres!$B$2))</f>
        <v>1163.5149999999999</v>
      </c>
      <c r="K67" s="53">
        <f>IF(K17="","",K17*(1-Paramètres!$B$2))</f>
        <v>1189.7049999999999</v>
      </c>
      <c r="L67" s="53">
        <f>IF(L17="","",L17*(1-Paramètres!$B$2))</f>
        <v>1214.925</v>
      </c>
      <c r="M67" s="53">
        <f>IF(M17="","",M17*(1-Paramètres!$B$2))</f>
        <v>1241.115</v>
      </c>
      <c r="N67" s="53">
        <f>IF(N17="","",N17*(1-Paramètres!$B$2))</f>
        <v>1266.82</v>
      </c>
      <c r="O67" s="53">
        <f>IF(O17="","",O17*(1-Paramètres!$B$2))</f>
        <v>1292.04</v>
      </c>
      <c r="P67" s="53">
        <f>IF(P17="","",P17*(1-Paramètres!$B$2))</f>
        <v>1318.23</v>
      </c>
      <c r="Q67" s="53">
        <f>IF(Q17="","",Q17*(1-Paramètres!$B$2))</f>
        <v>1343.9349999999999</v>
      </c>
      <c r="R67" s="53">
        <f>IF(R17="","",R17*(1-Paramètres!$B$2))</f>
        <v>1369.155</v>
      </c>
      <c r="S67" s="53">
        <f>IF(S17="","",S17*(1-Paramètres!$B$2))</f>
        <v>1395.345</v>
      </c>
    </row>
    <row r="68" spans="1:19" ht="15" customHeight="1" x14ac:dyDescent="0.25">
      <c r="A68" s="43">
        <v>1850</v>
      </c>
      <c r="B68" s="53">
        <f>IF(B18="","",B18*(1-Paramètres!$B$2))</f>
        <v>981.15499999999997</v>
      </c>
      <c r="C68" s="53">
        <f>IF(C18="","",C18*(1-Paramètres!$B$2))</f>
        <v>1006.86</v>
      </c>
      <c r="D68" s="53">
        <f>IF(D18="","",D18*(1-Paramètres!$B$2))</f>
        <v>1034.02</v>
      </c>
      <c r="E68" s="53">
        <f>IF(E18="","",E18*(1-Paramètres!$B$2))</f>
        <v>1060.21</v>
      </c>
      <c r="F68" s="53">
        <f>IF(F18="","",F18*(1-Paramètres!$B$2))</f>
        <v>1087.3699999999999</v>
      </c>
      <c r="G68" s="53">
        <f>IF(G18="","",G18*(1-Paramètres!$B$2))</f>
        <v>1113.56</v>
      </c>
      <c r="H68" s="53">
        <f>IF(H18="","",H18*(1-Paramètres!$B$2))</f>
        <v>1139.75</v>
      </c>
      <c r="I68" s="53">
        <f>IF(I18="","",I18*(1-Paramètres!$B$2))</f>
        <v>1167.395</v>
      </c>
      <c r="J68" s="53">
        <f>IF(J18="","",J18*(1-Paramètres!$B$2))</f>
        <v>1194.07</v>
      </c>
      <c r="K68" s="53">
        <f>IF(K18="","",K18*(1-Paramètres!$B$2))</f>
        <v>1219.29</v>
      </c>
      <c r="L68" s="53">
        <f>IF(L18="","",L18*(1-Paramètres!$B$2))</f>
        <v>1246.45</v>
      </c>
      <c r="M68" s="53">
        <f>IF(M18="","",M18*(1-Paramètres!$B$2))</f>
        <v>1273.125</v>
      </c>
      <c r="N68" s="53">
        <f>IF(N18="","",N18*(1-Paramètres!$B$2))</f>
        <v>1300.77</v>
      </c>
      <c r="O68" s="53">
        <f>IF(O18="","",O18*(1-Paramètres!$B$2))</f>
        <v>1327.4449999999999</v>
      </c>
      <c r="P68" s="53">
        <f>IF(P18="","",P18*(1-Paramètres!$B$2))</f>
        <v>1354.12</v>
      </c>
      <c r="Q68" s="53">
        <f>IF(Q18="","",Q18*(1-Paramètres!$B$2))</f>
        <v>1380.7950000000001</v>
      </c>
      <c r="R68" s="53">
        <f>IF(R18="","",R18*(1-Paramètres!$B$2))</f>
        <v>1407.47</v>
      </c>
      <c r="S68" s="53">
        <f>IF(S18="","",S18*(1-Paramètres!$B$2))</f>
        <v>1434.6299999999999</v>
      </c>
    </row>
    <row r="69" spans="1:19" ht="15" customHeight="1" x14ac:dyDescent="0.25">
      <c r="A69" s="43">
        <v>1950</v>
      </c>
      <c r="B69" s="53">
        <f>IF(B19="","",B19*(1-Paramètres!$B$2))</f>
        <v>1003.9499999999999</v>
      </c>
      <c r="C69" s="53">
        <f>IF(C19="","",C19*(1-Paramètres!$B$2))</f>
        <v>1031.595</v>
      </c>
      <c r="D69" s="53">
        <f>IF(D19="","",D19*(1-Paramètres!$B$2))</f>
        <v>1058.27</v>
      </c>
      <c r="E69" s="53">
        <f>IF(E19="","",E19*(1-Paramètres!$B$2))</f>
        <v>1086.3999999999999</v>
      </c>
      <c r="F69" s="53">
        <f>IF(F19="","",F19*(1-Paramètres!$B$2))</f>
        <v>1113.56</v>
      </c>
      <c r="G69" s="53">
        <f>IF(G19="","",G19*(1-Paramètres!$B$2))</f>
        <v>1140.2349999999999</v>
      </c>
      <c r="H69" s="53">
        <f>IF(H19="","",H19*(1-Paramètres!$B$2))</f>
        <v>1168.365</v>
      </c>
      <c r="I69" s="53">
        <f>IF(I19="","",I19*(1-Paramètres!$B$2))</f>
        <v>1195.5249999999999</v>
      </c>
      <c r="J69" s="53">
        <f>IF(J19="","",J19*(1-Paramètres!$B$2))</f>
        <v>1222.2</v>
      </c>
      <c r="K69" s="53">
        <f>IF(K19="","",K19*(1-Paramètres!$B$2))</f>
        <v>1250.33</v>
      </c>
      <c r="L69" s="53">
        <f>IF(L19="","",L19*(1-Paramètres!$B$2))</f>
        <v>1277.9749999999999</v>
      </c>
      <c r="M69" s="53">
        <f>IF(M19="","",M19*(1-Paramètres!$B$2))</f>
        <v>1305.135</v>
      </c>
      <c r="N69" s="53">
        <f>IF(N19="","",N19*(1-Paramètres!$B$2))</f>
        <v>1331.81</v>
      </c>
      <c r="O69" s="53">
        <f>IF(O19="","",O19*(1-Paramètres!$B$2))</f>
        <v>1359.4549999999999</v>
      </c>
      <c r="P69" s="53">
        <f>IF(P19="","",P19*(1-Paramètres!$B$2))</f>
        <v>1386.615</v>
      </c>
      <c r="Q69" s="53">
        <f>IF(Q19="","",Q19*(1-Paramètres!$B$2))</f>
        <v>1414.7449999999999</v>
      </c>
      <c r="R69" s="53">
        <f>IF(R19="","",R19*(1-Paramètres!$B$2))</f>
        <v>1441.905</v>
      </c>
      <c r="S69" s="53">
        <f>IF(S19="","",S19*(1-Paramètres!$B$2))</f>
        <v>1469.55</v>
      </c>
    </row>
    <row r="70" spans="1:19" ht="15" customHeight="1" x14ac:dyDescent="0.25">
      <c r="A70" s="43">
        <v>2050</v>
      </c>
      <c r="B70" s="53">
        <f>IF(B20="","",B20*(1-Paramètres!$B$2))</f>
        <v>1026.26</v>
      </c>
      <c r="C70" s="53">
        <f>IF(C20="","",C20*(1-Paramètres!$B$2))</f>
        <v>1055.3599999999999</v>
      </c>
      <c r="D70" s="53">
        <f>IF(D20="","",D20*(1-Paramètres!$B$2))</f>
        <v>1083.9749999999999</v>
      </c>
      <c r="E70" s="53">
        <f>IF(E20="","",E20*(1-Paramètres!$B$2))</f>
        <v>1111.6199999999999</v>
      </c>
      <c r="F70" s="53">
        <f>IF(F20="","",F20*(1-Paramètres!$B$2))</f>
        <v>1139.75</v>
      </c>
      <c r="G70" s="53">
        <f>IF(G20="","",G20*(1-Paramètres!$B$2))</f>
        <v>1167.8799999999999</v>
      </c>
      <c r="H70" s="53">
        <f>IF(H20="","",H20*(1-Paramètres!$B$2))</f>
        <v>1196.01</v>
      </c>
      <c r="I70" s="53">
        <f>IF(I20="","",I20*(1-Paramètres!$B$2))</f>
        <v>1224.625</v>
      </c>
      <c r="J70" s="53">
        <f>IF(J20="","",J20*(1-Paramètres!$B$2))</f>
        <v>1251.7849999999999</v>
      </c>
      <c r="K70" s="53">
        <f>IF(K20="","",K20*(1-Paramètres!$B$2))</f>
        <v>1279.915</v>
      </c>
      <c r="L70" s="53">
        <f>IF(L20="","",L20*(1-Paramètres!$B$2))</f>
        <v>1307.56</v>
      </c>
      <c r="M70" s="53">
        <f>IF(M20="","",M20*(1-Paramètres!$B$2))</f>
        <v>1335.69</v>
      </c>
      <c r="N70" s="53">
        <f>IF(N20="","",N20*(1-Paramètres!$B$2))</f>
        <v>1363.82</v>
      </c>
      <c r="O70" s="53">
        <f>IF(O20="","",O20*(1-Paramètres!$B$2))</f>
        <v>1391.95</v>
      </c>
      <c r="P70" s="53">
        <f>IF(P20="","",P20*(1-Paramètres!$B$2))</f>
        <v>1419.595</v>
      </c>
      <c r="Q70" s="53">
        <f>IF(Q20="","",Q20*(1-Paramètres!$B$2))</f>
        <v>1447.24</v>
      </c>
      <c r="R70" s="53">
        <f>IF(R20="","",R20*(1-Paramètres!$B$2))</f>
        <v>1475.37</v>
      </c>
      <c r="S70" s="53">
        <f>IF(S20="","",S20*(1-Paramètres!$B$2))</f>
        <v>1503.5</v>
      </c>
    </row>
    <row r="71" spans="1:19" ht="15" customHeight="1" x14ac:dyDescent="0.25">
      <c r="A71" s="43">
        <v>2150</v>
      </c>
      <c r="B71" s="53">
        <f>IF(B21="","",B21*(1-Paramètres!$B$2))</f>
        <v>1050.0249999999999</v>
      </c>
      <c r="C71" s="53">
        <f>IF(C21="","",C21*(1-Paramètres!$B$2))</f>
        <v>1078.6399999999999</v>
      </c>
      <c r="D71" s="53">
        <f>IF(D21="","",D21*(1-Paramètres!$B$2))</f>
        <v>1107.74</v>
      </c>
      <c r="E71" s="53">
        <f>IF(E21="","",E21*(1-Paramètres!$B$2))</f>
        <v>1136.355</v>
      </c>
      <c r="F71" s="53">
        <f>IF(F21="","",F21*(1-Paramètres!$B$2))</f>
        <v>1166.9099999999999</v>
      </c>
      <c r="G71" s="53">
        <f>IF(G21="","",G21*(1-Paramètres!$B$2))</f>
        <v>1195.04</v>
      </c>
      <c r="H71" s="53">
        <f>IF(H21="","",H21*(1-Paramètres!$B$2))</f>
        <v>1224.625</v>
      </c>
      <c r="I71" s="53">
        <f>IF(I21="","",I21*(1-Paramètres!$B$2))</f>
        <v>1252.27</v>
      </c>
      <c r="J71" s="53">
        <f>IF(J21="","",J21*(1-Paramètres!$B$2))</f>
        <v>1280.885</v>
      </c>
      <c r="K71" s="53">
        <f>IF(K21="","",K21*(1-Paramètres!$B$2))</f>
        <v>1309.5</v>
      </c>
      <c r="L71" s="53">
        <f>IF(L21="","",L21*(1-Paramètres!$B$2))</f>
        <v>1339.57</v>
      </c>
      <c r="M71" s="53">
        <f>IF(M21="","",M21*(1-Paramètres!$B$2))</f>
        <v>1368.1849999999999</v>
      </c>
      <c r="N71" s="53">
        <f>IF(N21="","",N21*(1-Paramètres!$B$2))</f>
        <v>1397.2849999999999</v>
      </c>
      <c r="O71" s="53">
        <f>IF(O21="","",O21*(1-Paramètres!$B$2))</f>
        <v>1426.385</v>
      </c>
      <c r="P71" s="53">
        <f>IF(P21="","",P21*(1-Paramètres!$B$2))</f>
        <v>1455.97</v>
      </c>
      <c r="Q71" s="53">
        <f>IF(Q21="","",Q21*(1-Paramètres!$B$2))</f>
        <v>1484.585</v>
      </c>
      <c r="R71" s="53">
        <f>IF(R21="","",R21*(1-Paramètres!$B$2))</f>
        <v>1514.1699999999998</v>
      </c>
      <c r="S71" s="53">
        <f>IF(S21="","",S21*(1-Paramètres!$B$2))</f>
        <v>1542.7849999999999</v>
      </c>
    </row>
    <row r="72" spans="1:19" ht="15" customHeight="1" x14ac:dyDescent="0.25">
      <c r="A72" s="43">
        <v>2250</v>
      </c>
      <c r="B72" s="53">
        <f>IF(B22="","",B22*(1-Paramètres!$B$2))</f>
        <v>1074.76</v>
      </c>
      <c r="C72" s="53">
        <f>IF(C22="","",C22*(1-Paramètres!$B$2))</f>
        <v>1102.8899999999999</v>
      </c>
      <c r="D72" s="53">
        <f>IF(D22="","",D22*(1-Paramètres!$B$2))</f>
        <v>1131.99</v>
      </c>
      <c r="E72" s="53">
        <f>IF(E22="","",E22*(1-Paramètres!$B$2))</f>
        <v>1162.5450000000001</v>
      </c>
      <c r="F72" s="53">
        <f>IF(F22="","",F22*(1-Paramètres!$B$2))</f>
        <v>1193.0999999999999</v>
      </c>
      <c r="G72" s="53">
        <f>IF(G22="","",G22*(1-Paramètres!$B$2))</f>
        <v>1221.7149999999999</v>
      </c>
      <c r="H72" s="53">
        <f>IF(H22="","",H22*(1-Paramètres!$B$2))</f>
        <v>1251.7849999999999</v>
      </c>
      <c r="I72" s="53">
        <f>IF(I22="","",I22*(1-Paramètres!$B$2))</f>
        <v>1280.885</v>
      </c>
      <c r="J72" s="53">
        <f>IF(J22="","",J22*(1-Paramètres!$B$2))</f>
        <v>1310.47</v>
      </c>
      <c r="K72" s="53">
        <f>IF(K22="","",K22*(1-Paramètres!$B$2))</f>
        <v>1340.54</v>
      </c>
      <c r="L72" s="53">
        <f>IF(L22="","",L22*(1-Paramètres!$B$2))</f>
        <v>1369.155</v>
      </c>
      <c r="M72" s="53">
        <f>IF(M22="","",M22*(1-Paramètres!$B$2))</f>
        <v>1398.2549999999999</v>
      </c>
      <c r="N72" s="53">
        <f>IF(N22="","",N22*(1-Paramètres!$B$2))</f>
        <v>1427.84</v>
      </c>
      <c r="O72" s="53">
        <f>IF(O22="","",O22*(1-Paramètres!$B$2))</f>
        <v>1456.94</v>
      </c>
      <c r="P72" s="53">
        <f>IF(P22="","",P22*(1-Paramètres!$B$2))</f>
        <v>1485.5550000000001</v>
      </c>
      <c r="Q72" s="53">
        <f>IF(Q22="","",Q22*(1-Paramètres!$B$2))</f>
        <v>1515.1399999999999</v>
      </c>
      <c r="R72" s="53">
        <f>IF(R22="","",R22*(1-Paramètres!$B$2))</f>
        <v>1544.7249999999999</v>
      </c>
      <c r="S72" s="53">
        <f>IF(S22="","",S22*(1-Paramètres!$B$2))</f>
        <v>1573.34</v>
      </c>
    </row>
    <row r="73" spans="1:19" ht="15" customHeight="1" x14ac:dyDescent="0.25">
      <c r="A73" s="43">
        <v>2350</v>
      </c>
      <c r="B73" s="53">
        <f>IF(B23="","",B23*(1-Paramètres!$B$2))</f>
        <v>1087.3699999999999</v>
      </c>
      <c r="C73" s="53">
        <f>IF(C23="","",C23*(1-Paramètres!$B$2))</f>
        <v>1116.47</v>
      </c>
      <c r="D73" s="53">
        <f>IF(D23="","",D23*(1-Paramètres!$B$2))</f>
        <v>1145.085</v>
      </c>
      <c r="E73" s="53">
        <f>IF(E23="","",E23*(1-Paramètres!$B$2))</f>
        <v>1175.155</v>
      </c>
      <c r="F73" s="53">
        <f>IF(F23="","",F23*(1-Paramètres!$B$2))</f>
        <v>1206.68</v>
      </c>
      <c r="G73" s="53">
        <f>IF(G23="","",G23*(1-Paramètres!$B$2))</f>
        <v>1235.2950000000001</v>
      </c>
      <c r="H73" s="53">
        <f>IF(H23="","",H23*(1-Paramètres!$B$2))</f>
        <v>1264.8799999999999</v>
      </c>
      <c r="I73" s="53">
        <f>IF(I23="","",I23*(1-Paramètres!$B$2))</f>
        <v>1296.405</v>
      </c>
      <c r="J73" s="53">
        <f>IF(J23="","",J23*(1-Paramètres!$B$2))</f>
        <v>1325.99</v>
      </c>
      <c r="K73" s="53">
        <f>IF(K23="","",K23*(1-Paramètres!$B$2))</f>
        <v>1356.5450000000001</v>
      </c>
      <c r="L73" s="53">
        <f>IF(L23="","",L23*(1-Paramètres!$B$2))</f>
        <v>1385.645</v>
      </c>
      <c r="M73" s="53">
        <f>IF(M23="","",M23*(1-Paramètres!$B$2))</f>
        <v>1416.2</v>
      </c>
      <c r="N73" s="53">
        <f>IF(N23="","",N23*(1-Paramètres!$B$2))</f>
        <v>1445.3</v>
      </c>
      <c r="O73" s="53">
        <f>IF(O23="","",O23*(1-Paramètres!$B$2))</f>
        <v>1474.885</v>
      </c>
      <c r="P73" s="53">
        <f>IF(P23="","",P23*(1-Paramètres!$B$2))</f>
        <v>1504.9549999999999</v>
      </c>
      <c r="Q73" s="53">
        <f>IF(Q23="","",Q23*(1-Paramètres!$B$2))</f>
        <v>1534.54</v>
      </c>
      <c r="R73" s="53">
        <f>IF(R23="","",R23*(1-Paramètres!$B$2))</f>
        <v>1564.61</v>
      </c>
      <c r="S73" s="53">
        <f>IF(S23="","",S23*(1-Paramètres!$B$2))</f>
        <v>1594.1949999999999</v>
      </c>
    </row>
    <row r="74" spans="1:19" ht="15" customHeight="1" x14ac:dyDescent="0.25">
      <c r="A74" s="43">
        <v>2450</v>
      </c>
      <c r="B74" s="53">
        <f>IF(B24="","",B24*(1-Paramètres!$B$2))</f>
        <v>1092.7049999999999</v>
      </c>
      <c r="C74" s="53">
        <f>IF(C24="","",C24*(1-Paramètres!$B$2))</f>
        <v>1120.835</v>
      </c>
      <c r="D74" s="53">
        <f>IF(D24="","",D24*(1-Paramètres!$B$2))</f>
        <v>1150.905</v>
      </c>
      <c r="E74" s="53">
        <f>IF(E24="","",E24*(1-Paramètres!$B$2))</f>
        <v>1180.49</v>
      </c>
      <c r="F74" s="53">
        <f>IF(F24="","",F24*(1-Paramètres!$B$2))</f>
        <v>1213.47</v>
      </c>
      <c r="G74" s="53">
        <f>IF(G24="","",G24*(1-Paramètres!$B$2))</f>
        <v>1242.085</v>
      </c>
      <c r="H74" s="53">
        <f>IF(H24="","",H24*(1-Paramètres!$B$2))</f>
        <v>1272.6399999999999</v>
      </c>
      <c r="I74" s="53">
        <f>IF(I24="","",I24*(1-Paramètres!$B$2))</f>
        <v>1302.71</v>
      </c>
      <c r="J74" s="53">
        <f>IF(J24="","",J24*(1-Paramètres!$B$2))</f>
        <v>1333.2649999999999</v>
      </c>
      <c r="K74" s="53">
        <f>IF(K24="","",K24*(1-Paramètres!$B$2))</f>
        <v>1363.335</v>
      </c>
      <c r="L74" s="53">
        <f>IF(L24="","",L24*(1-Paramètres!$B$2))</f>
        <v>1392.4349999999999</v>
      </c>
      <c r="M74" s="53">
        <f>IF(M24="","",M24*(1-Paramètres!$B$2))</f>
        <v>1421.5349999999999</v>
      </c>
      <c r="N74" s="53">
        <f>IF(N24="","",N24*(1-Paramètres!$B$2))</f>
        <v>1451.12</v>
      </c>
      <c r="O74" s="53">
        <f>IF(O24="","",O24*(1-Paramètres!$B$2))</f>
        <v>1479.7349999999999</v>
      </c>
      <c r="P74" s="53">
        <f>IF(P24="","",P24*(1-Paramètres!$B$2))</f>
        <v>1508.835</v>
      </c>
      <c r="Q74" s="53">
        <f>IF(Q24="","",Q24*(1-Paramètres!$B$2))</f>
        <v>1537.9349999999999</v>
      </c>
      <c r="R74" s="53">
        <f>IF(R24="","",R24*(1-Paramètres!$B$2))</f>
        <v>1567.52</v>
      </c>
      <c r="S74" s="53">
        <f>IF(S24="","",S24*(1-Paramètres!$B$2))</f>
        <v>1596.135</v>
      </c>
    </row>
    <row r="75" spans="1:19" ht="15" customHeight="1" x14ac:dyDescent="0.25">
      <c r="A75" s="43">
        <v>2500</v>
      </c>
      <c r="B75" s="53">
        <f>IF(B25="","",B25*(1-Paramètres!$B$2))</f>
        <v>1098.5249999999999</v>
      </c>
      <c r="C75" s="53">
        <f>IF(C25="","",C25*(1-Paramètres!$B$2))</f>
        <v>1126.655</v>
      </c>
      <c r="D75" s="53">
        <f>IF(D25="","",D25*(1-Paramètres!$B$2))</f>
        <v>1156.24</v>
      </c>
      <c r="E75" s="53">
        <f>IF(E25="","",E25*(1-Paramètres!$B$2))</f>
        <v>1186.7950000000001</v>
      </c>
      <c r="F75" s="53">
        <f>IF(F25="","",F25*(1-Paramètres!$B$2))</f>
        <v>1220.26</v>
      </c>
      <c r="G75" s="53">
        <f>IF(G25="","",G25*(1-Paramètres!$B$2))</f>
        <v>1247.905</v>
      </c>
      <c r="H75" s="53">
        <f>IF(H25="","",H25*(1-Paramètres!$B$2))</f>
        <v>1280.885</v>
      </c>
      <c r="I75" s="53">
        <f>IF(I25="","",I25*(1-Paramètres!$B$2))</f>
        <v>1308.53</v>
      </c>
      <c r="J75" s="53">
        <f>IF(J25="","",J25*(1-Paramètres!$B$2))</f>
        <v>1341.0249999999999</v>
      </c>
      <c r="K75" s="53">
        <f>IF(K25="","",K25*(1-Paramètres!$B$2))</f>
        <v>1369.6399999999999</v>
      </c>
      <c r="L75" s="53">
        <f>IF(L25="","",L25*(1-Paramètres!$B$2))</f>
        <v>1398.2549999999999</v>
      </c>
      <c r="M75" s="53">
        <f>IF(M25="","",M25*(1-Paramètres!$B$2))</f>
        <v>1427.355</v>
      </c>
      <c r="N75" s="53">
        <f>IF(N25="","",N25*(1-Paramètres!$B$2))</f>
        <v>1455.97</v>
      </c>
      <c r="O75" s="53">
        <f>IF(O25="","",O25*(1-Paramètres!$B$2))</f>
        <v>1484.1</v>
      </c>
      <c r="P75" s="53">
        <f>IF(P25="","",P25*(1-Paramètres!$B$2))</f>
        <v>1512.7149999999999</v>
      </c>
      <c r="Q75" s="53">
        <f>IF(Q25="","",Q25*(1-Paramètres!$B$2))</f>
        <v>1541.33</v>
      </c>
      <c r="R75" s="53">
        <f>IF(R25="","",R25*(1-Paramètres!$B$2))</f>
        <v>1569.9449999999999</v>
      </c>
      <c r="S75" s="53">
        <f>IF(S25="","",S25*(1-Paramètres!$B$2))</f>
        <v>1598.075</v>
      </c>
    </row>
  </sheetData>
  <mergeCells count="4">
    <mergeCell ref="A1:S1"/>
    <mergeCell ref="A3:S3"/>
    <mergeCell ref="A52:S52"/>
    <mergeCell ref="A28:S28"/>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51"/>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11" width="9" customWidth="1"/>
  </cols>
  <sheetData>
    <row r="1" spans="1:11" ht="24" customHeight="1" x14ac:dyDescent="0.25">
      <c r="A1" s="126" t="s">
        <v>662</v>
      </c>
      <c r="B1" s="93"/>
      <c r="C1" s="93"/>
      <c r="D1" s="93"/>
      <c r="E1" s="93"/>
      <c r="F1" s="93"/>
      <c r="G1" s="93"/>
      <c r="H1" s="93"/>
      <c r="I1" s="93"/>
      <c r="J1" s="93"/>
      <c r="K1" s="93"/>
    </row>
    <row r="3" spans="1:11" ht="15" customHeight="1" x14ac:dyDescent="0.25">
      <c r="A3" s="121" t="s">
        <v>259</v>
      </c>
      <c r="B3" s="93"/>
      <c r="C3" s="93"/>
      <c r="D3" s="93"/>
      <c r="E3" s="93"/>
      <c r="F3" s="93"/>
      <c r="G3" s="93"/>
      <c r="H3" s="93"/>
      <c r="I3" s="93"/>
      <c r="J3" s="93"/>
      <c r="K3" s="93"/>
    </row>
    <row r="4" spans="1:11" ht="15" customHeight="1" x14ac:dyDescent="0.25">
      <c r="A4" s="43" t="s">
        <v>260</v>
      </c>
      <c r="B4" s="43">
        <v>400</v>
      </c>
      <c r="C4" s="43">
        <v>500</v>
      </c>
      <c r="D4" s="43">
        <v>600</v>
      </c>
      <c r="E4" s="43">
        <v>700</v>
      </c>
      <c r="F4" s="43">
        <v>800</v>
      </c>
      <c r="G4" s="43">
        <v>900</v>
      </c>
      <c r="H4" s="43">
        <v>1000</v>
      </c>
      <c r="I4" s="43">
        <v>1100</v>
      </c>
      <c r="J4" s="43">
        <v>1200</v>
      </c>
      <c r="K4" s="43">
        <v>1300</v>
      </c>
    </row>
    <row r="5" spans="1:11" ht="15" customHeight="1" x14ac:dyDescent="0.25">
      <c r="A5" s="43">
        <v>550</v>
      </c>
      <c r="B5" s="44">
        <v>983</v>
      </c>
      <c r="C5" s="44">
        <v>1017</v>
      </c>
      <c r="D5" s="44">
        <v>1049</v>
      </c>
      <c r="E5" s="44">
        <v>1084</v>
      </c>
      <c r="F5" s="51"/>
      <c r="G5" s="51"/>
      <c r="H5" s="51"/>
      <c r="I5" s="51"/>
      <c r="J5" s="51"/>
      <c r="K5" s="51"/>
    </row>
    <row r="6" spans="1:11" ht="15" customHeight="1" x14ac:dyDescent="0.25">
      <c r="A6" s="43">
        <v>650</v>
      </c>
      <c r="B6" s="44">
        <v>1012</v>
      </c>
      <c r="C6" s="44">
        <v>1047</v>
      </c>
      <c r="D6" s="44">
        <v>1084</v>
      </c>
      <c r="E6" s="44">
        <v>1120</v>
      </c>
      <c r="F6" s="44">
        <v>1157</v>
      </c>
      <c r="G6" s="51"/>
      <c r="H6" s="51"/>
      <c r="I6" s="51"/>
      <c r="J6" s="51"/>
      <c r="K6" s="51"/>
    </row>
    <row r="7" spans="1:11" ht="15" customHeight="1" x14ac:dyDescent="0.25">
      <c r="A7" s="43">
        <v>750</v>
      </c>
      <c r="B7" s="44">
        <v>1044</v>
      </c>
      <c r="C7" s="44">
        <v>1081</v>
      </c>
      <c r="D7" s="44">
        <v>1119</v>
      </c>
      <c r="E7" s="44">
        <v>1158</v>
      </c>
      <c r="F7" s="44">
        <v>1196</v>
      </c>
      <c r="G7" s="44">
        <v>1232</v>
      </c>
      <c r="H7" s="51"/>
      <c r="I7" s="51"/>
      <c r="J7" s="51"/>
      <c r="K7" s="51"/>
    </row>
    <row r="8" spans="1:11" ht="15" customHeight="1" x14ac:dyDescent="0.25">
      <c r="A8" s="43">
        <v>850</v>
      </c>
      <c r="B8" s="44">
        <v>1077</v>
      </c>
      <c r="C8" s="44">
        <v>1116</v>
      </c>
      <c r="D8" s="44">
        <v>1155</v>
      </c>
      <c r="E8" s="44">
        <v>1196</v>
      </c>
      <c r="F8" s="44">
        <v>1233</v>
      </c>
      <c r="G8" s="44">
        <v>1274</v>
      </c>
      <c r="H8" s="44">
        <v>1311</v>
      </c>
      <c r="I8" s="44">
        <v>1349</v>
      </c>
      <c r="J8" s="51"/>
      <c r="K8" s="51"/>
    </row>
    <row r="9" spans="1:11" ht="15" customHeight="1" x14ac:dyDescent="0.25">
      <c r="A9" s="43">
        <v>950</v>
      </c>
      <c r="B9" s="44">
        <v>1106</v>
      </c>
      <c r="C9" s="44">
        <v>1149</v>
      </c>
      <c r="D9" s="44">
        <v>1192</v>
      </c>
      <c r="E9" s="44">
        <v>1231</v>
      </c>
      <c r="F9" s="44">
        <v>1273</v>
      </c>
      <c r="G9" s="44">
        <v>1311</v>
      </c>
      <c r="H9" s="44">
        <v>1350</v>
      </c>
      <c r="I9" s="44">
        <v>1391</v>
      </c>
      <c r="J9" s="44">
        <v>1434</v>
      </c>
      <c r="K9" s="51"/>
    </row>
    <row r="10" spans="1:11" ht="15" customHeight="1" x14ac:dyDescent="0.25">
      <c r="A10" s="43">
        <v>1050</v>
      </c>
      <c r="B10" s="44">
        <v>1140</v>
      </c>
      <c r="C10" s="44">
        <v>1182</v>
      </c>
      <c r="D10" s="44">
        <v>1224</v>
      </c>
      <c r="E10" s="44">
        <v>1267</v>
      </c>
      <c r="F10" s="44">
        <v>1309</v>
      </c>
      <c r="G10" s="44">
        <v>1349</v>
      </c>
      <c r="H10" s="44">
        <v>1391</v>
      </c>
      <c r="I10" s="44">
        <v>1435</v>
      </c>
      <c r="J10" s="44">
        <v>1478</v>
      </c>
      <c r="K10" s="44">
        <v>1502</v>
      </c>
    </row>
    <row r="11" spans="1:11" ht="15" customHeight="1" x14ac:dyDescent="0.25">
      <c r="A11" s="43">
        <v>1150</v>
      </c>
      <c r="B11" s="44">
        <v>1172</v>
      </c>
      <c r="C11" s="44">
        <v>1217</v>
      </c>
      <c r="D11" s="44">
        <v>1258</v>
      </c>
      <c r="E11" s="44">
        <v>1303</v>
      </c>
      <c r="F11" s="44">
        <v>1346</v>
      </c>
      <c r="G11" s="44">
        <v>1389</v>
      </c>
      <c r="H11" s="44">
        <v>1435</v>
      </c>
      <c r="I11" s="44">
        <v>1478</v>
      </c>
      <c r="J11" s="44">
        <v>1520</v>
      </c>
      <c r="K11" s="44">
        <v>1544</v>
      </c>
    </row>
    <row r="12" spans="1:11" ht="15" customHeight="1" x14ac:dyDescent="0.25">
      <c r="A12" s="43">
        <v>1250</v>
      </c>
      <c r="B12" s="44">
        <v>1204</v>
      </c>
      <c r="C12" s="44">
        <v>1250</v>
      </c>
      <c r="D12" s="44">
        <v>1293</v>
      </c>
      <c r="E12" s="44">
        <v>1338</v>
      </c>
      <c r="F12" s="44">
        <v>1384</v>
      </c>
      <c r="G12" s="44">
        <v>1432</v>
      </c>
      <c r="H12" s="44">
        <v>1475</v>
      </c>
      <c r="I12" s="44">
        <v>1518</v>
      </c>
      <c r="J12" s="44">
        <v>1565</v>
      </c>
      <c r="K12" s="44">
        <v>1588</v>
      </c>
    </row>
    <row r="13" spans="1:11" ht="15" customHeight="1" x14ac:dyDescent="0.25">
      <c r="A13" s="43">
        <v>1350</v>
      </c>
      <c r="B13" s="44">
        <v>1233</v>
      </c>
      <c r="C13" s="44">
        <v>1281</v>
      </c>
      <c r="D13" s="44">
        <v>1330</v>
      </c>
      <c r="E13" s="44">
        <v>1376</v>
      </c>
      <c r="F13" s="44">
        <v>1423</v>
      </c>
      <c r="G13" s="44">
        <v>1470</v>
      </c>
      <c r="H13" s="44">
        <v>1515</v>
      </c>
      <c r="I13" s="44">
        <v>1563</v>
      </c>
      <c r="J13" s="44">
        <v>1610</v>
      </c>
      <c r="K13" s="44">
        <v>1635</v>
      </c>
    </row>
    <row r="14" spans="1:11" ht="15" customHeight="1" x14ac:dyDescent="0.25">
      <c r="A14" s="43">
        <v>1450</v>
      </c>
      <c r="B14" s="44">
        <v>1266</v>
      </c>
      <c r="C14" s="44">
        <v>1314</v>
      </c>
      <c r="D14" s="44">
        <v>1364</v>
      </c>
      <c r="E14" s="44">
        <v>1413</v>
      </c>
      <c r="F14" s="44">
        <v>1460</v>
      </c>
      <c r="G14" s="44">
        <v>1509</v>
      </c>
      <c r="H14" s="44">
        <v>1558</v>
      </c>
      <c r="I14" s="44">
        <v>1607</v>
      </c>
      <c r="J14" s="44">
        <v>1654</v>
      </c>
      <c r="K14" s="44">
        <v>1678</v>
      </c>
    </row>
    <row r="15" spans="1:11" ht="15" customHeight="1" x14ac:dyDescent="0.25">
      <c r="A15" s="43">
        <v>1550</v>
      </c>
      <c r="B15" s="44">
        <v>1297</v>
      </c>
      <c r="C15" s="44">
        <v>1347</v>
      </c>
      <c r="D15" s="44">
        <v>1398</v>
      </c>
      <c r="E15" s="44">
        <v>1450</v>
      </c>
      <c r="F15" s="44">
        <v>1498</v>
      </c>
      <c r="G15" s="44">
        <v>1549</v>
      </c>
      <c r="H15" s="44">
        <v>1598</v>
      </c>
      <c r="I15" s="44">
        <v>1649</v>
      </c>
      <c r="J15" s="44">
        <v>1699</v>
      </c>
      <c r="K15" s="44">
        <v>1726</v>
      </c>
    </row>
    <row r="16" spans="1:11" ht="15" customHeight="1" x14ac:dyDescent="0.25">
      <c r="A16" s="43">
        <v>1650</v>
      </c>
      <c r="B16" s="44">
        <v>1330</v>
      </c>
      <c r="C16" s="44">
        <v>1380</v>
      </c>
      <c r="D16" s="44">
        <v>1433</v>
      </c>
      <c r="E16" s="44">
        <v>1482</v>
      </c>
      <c r="F16" s="44">
        <v>1537</v>
      </c>
      <c r="G16" s="44">
        <v>1587</v>
      </c>
      <c r="H16" s="44">
        <v>1639</v>
      </c>
      <c r="I16" s="44">
        <v>1692</v>
      </c>
      <c r="J16" s="44">
        <v>1745</v>
      </c>
      <c r="K16" s="44">
        <v>1771</v>
      </c>
    </row>
    <row r="17" spans="1:11" ht="15" customHeight="1" x14ac:dyDescent="0.25">
      <c r="A17" s="43">
        <v>1750</v>
      </c>
      <c r="B17" s="44">
        <v>1361</v>
      </c>
      <c r="C17" s="44">
        <v>1415</v>
      </c>
      <c r="D17" s="44">
        <v>1468</v>
      </c>
      <c r="E17" s="44">
        <v>1518</v>
      </c>
      <c r="F17" s="44">
        <v>1575</v>
      </c>
      <c r="G17" s="44">
        <v>1627</v>
      </c>
      <c r="H17" s="44">
        <v>1682</v>
      </c>
      <c r="I17" s="44">
        <v>1734</v>
      </c>
      <c r="J17" s="44">
        <v>1788</v>
      </c>
      <c r="K17" s="44">
        <v>1815</v>
      </c>
    </row>
    <row r="18" spans="1:11" ht="15" customHeight="1" x14ac:dyDescent="0.25">
      <c r="A18" s="43">
        <v>1850</v>
      </c>
      <c r="B18" s="44">
        <v>1391</v>
      </c>
      <c r="C18" s="44">
        <v>1450</v>
      </c>
      <c r="D18" s="44">
        <v>1503</v>
      </c>
      <c r="E18" s="44">
        <v>1556</v>
      </c>
      <c r="F18" s="44">
        <v>1612</v>
      </c>
      <c r="G18" s="44">
        <v>1667</v>
      </c>
      <c r="H18" s="44">
        <v>1723</v>
      </c>
      <c r="I18" s="44">
        <v>1778</v>
      </c>
      <c r="J18" s="44">
        <v>1832</v>
      </c>
      <c r="K18" s="44">
        <v>1858</v>
      </c>
    </row>
    <row r="19" spans="1:11" ht="15" customHeight="1" x14ac:dyDescent="0.25">
      <c r="A19" s="43">
        <v>1950</v>
      </c>
      <c r="B19" s="44">
        <v>1426</v>
      </c>
      <c r="C19" s="44">
        <v>1480</v>
      </c>
      <c r="D19" s="44">
        <v>1538</v>
      </c>
      <c r="E19" s="44">
        <v>1593</v>
      </c>
      <c r="F19" s="44">
        <v>1650</v>
      </c>
      <c r="G19" s="44">
        <v>1709</v>
      </c>
      <c r="H19" s="44">
        <v>1766</v>
      </c>
      <c r="I19" s="44">
        <v>1821</v>
      </c>
      <c r="J19" s="44">
        <v>1875</v>
      </c>
      <c r="K19" s="44">
        <v>1904</v>
      </c>
    </row>
    <row r="20" spans="1:11" ht="15" customHeight="1" x14ac:dyDescent="0.25">
      <c r="A20" s="43">
        <v>2050</v>
      </c>
      <c r="B20" s="44">
        <v>1456</v>
      </c>
      <c r="C20" s="44">
        <v>1513</v>
      </c>
      <c r="D20" s="44">
        <v>1571</v>
      </c>
      <c r="E20" s="44">
        <v>1628</v>
      </c>
      <c r="F20" s="44">
        <v>1689</v>
      </c>
      <c r="G20" s="44">
        <v>1746</v>
      </c>
      <c r="H20" s="44">
        <v>1805</v>
      </c>
      <c r="I20" s="44">
        <v>1862</v>
      </c>
      <c r="J20" s="44">
        <v>1921</v>
      </c>
      <c r="K20" s="44">
        <v>1949</v>
      </c>
    </row>
    <row r="21" spans="1:11" ht="15" customHeight="1" x14ac:dyDescent="0.25">
      <c r="A21" s="43">
        <v>2150</v>
      </c>
      <c r="B21" s="44">
        <v>1490</v>
      </c>
      <c r="C21" s="44">
        <v>1547</v>
      </c>
      <c r="D21" s="44">
        <v>1607</v>
      </c>
      <c r="E21" s="44">
        <v>1666</v>
      </c>
      <c r="F21" s="44">
        <v>1726</v>
      </c>
      <c r="G21" s="44">
        <v>1784</v>
      </c>
      <c r="H21" s="44">
        <v>1846</v>
      </c>
      <c r="I21" s="44">
        <v>1904</v>
      </c>
      <c r="J21" s="44">
        <v>1965</v>
      </c>
      <c r="K21" s="44">
        <v>1997</v>
      </c>
    </row>
    <row r="22" spans="1:11" ht="15" customHeight="1" x14ac:dyDescent="0.25">
      <c r="A22" s="43">
        <v>2250</v>
      </c>
      <c r="B22" s="44">
        <v>1518</v>
      </c>
      <c r="C22" s="44">
        <v>1582</v>
      </c>
      <c r="D22" s="44">
        <v>1640</v>
      </c>
      <c r="E22" s="44">
        <v>1703</v>
      </c>
      <c r="F22" s="44">
        <v>1766</v>
      </c>
      <c r="G22" s="44">
        <v>1825</v>
      </c>
      <c r="H22" s="44">
        <v>1887</v>
      </c>
      <c r="I22" s="44">
        <v>1949</v>
      </c>
      <c r="J22" s="44">
        <v>2010</v>
      </c>
      <c r="K22" s="44">
        <v>2070</v>
      </c>
    </row>
    <row r="23" spans="1:11" ht="15" customHeight="1" x14ac:dyDescent="0.25">
      <c r="A23" s="43">
        <v>2350</v>
      </c>
      <c r="B23" s="44">
        <v>1537</v>
      </c>
      <c r="C23" s="44">
        <v>1598</v>
      </c>
      <c r="D23" s="44">
        <v>1659</v>
      </c>
      <c r="E23" s="44">
        <v>1723</v>
      </c>
      <c r="F23" s="44">
        <v>1782</v>
      </c>
      <c r="G23" s="44">
        <v>1847</v>
      </c>
      <c r="H23" s="44">
        <v>1907</v>
      </c>
      <c r="I23" s="44">
        <v>1973</v>
      </c>
      <c r="J23" s="44">
        <v>2038</v>
      </c>
      <c r="K23" s="44">
        <v>2102</v>
      </c>
    </row>
    <row r="24" spans="1:11" ht="15" customHeight="1" x14ac:dyDescent="0.25">
      <c r="A24" s="43">
        <v>2450</v>
      </c>
      <c r="B24" s="44">
        <v>1544</v>
      </c>
      <c r="C24" s="44">
        <v>1607</v>
      </c>
      <c r="D24" s="44">
        <v>1667</v>
      </c>
      <c r="E24" s="44">
        <v>1731</v>
      </c>
      <c r="F24" s="44">
        <v>1792</v>
      </c>
      <c r="G24" s="44">
        <v>1855</v>
      </c>
      <c r="H24" s="44">
        <v>1918</v>
      </c>
      <c r="I24" s="44">
        <v>1983</v>
      </c>
      <c r="J24" s="44">
        <v>2050</v>
      </c>
      <c r="K24" s="44">
        <v>2115</v>
      </c>
    </row>
    <row r="25" spans="1:11" ht="15" customHeight="1" x14ac:dyDescent="0.25">
      <c r="A25" s="43">
        <v>2500</v>
      </c>
      <c r="B25" s="44">
        <v>1553</v>
      </c>
      <c r="C25" s="44">
        <v>1613</v>
      </c>
      <c r="D25" s="44">
        <v>1675</v>
      </c>
      <c r="E25" s="44">
        <v>1739</v>
      </c>
      <c r="F25" s="44">
        <v>1802</v>
      </c>
      <c r="G25" s="44">
        <v>1862</v>
      </c>
      <c r="H25" s="44">
        <v>1927</v>
      </c>
      <c r="I25" s="44">
        <v>1994</v>
      </c>
      <c r="J25" s="44">
        <v>2061</v>
      </c>
      <c r="K25" s="44">
        <v>2128</v>
      </c>
    </row>
    <row r="26" spans="1:11" ht="15" customHeight="1" x14ac:dyDescent="0.25">
      <c r="A26" s="46" t="s">
        <v>243</v>
      </c>
      <c r="B26" s="47">
        <v>140</v>
      </c>
      <c r="C26" s="47">
        <v>145</v>
      </c>
      <c r="D26" s="47">
        <v>152</v>
      </c>
      <c r="E26" s="47">
        <v>158</v>
      </c>
      <c r="F26" s="47">
        <v>165</v>
      </c>
      <c r="G26" s="47">
        <v>172</v>
      </c>
      <c r="H26" s="47">
        <v>181</v>
      </c>
      <c r="I26" s="47">
        <v>188</v>
      </c>
      <c r="J26" s="47">
        <v>194</v>
      </c>
      <c r="K26" s="47">
        <v>206</v>
      </c>
    </row>
    <row r="28" spans="1:11" ht="15" customHeight="1" x14ac:dyDescent="0.25">
      <c r="A28" s="121" t="s">
        <v>262</v>
      </c>
      <c r="B28" s="93"/>
      <c r="C28" s="93"/>
      <c r="D28" s="93"/>
      <c r="E28" s="93"/>
      <c r="F28" s="93"/>
      <c r="G28" s="93"/>
      <c r="H28" s="93"/>
      <c r="I28" s="93"/>
      <c r="J28" s="93"/>
      <c r="K28" s="93"/>
    </row>
    <row r="29" spans="1:11" ht="15" customHeight="1" x14ac:dyDescent="0.25">
      <c r="A29" s="48" t="s">
        <v>263</v>
      </c>
      <c r="B29" s="49">
        <f>Paramètres!$B$2</f>
        <v>0.51500000000000001</v>
      </c>
    </row>
    <row r="30" spans="1:11" ht="15" customHeight="1" x14ac:dyDescent="0.25">
      <c r="A30" s="43" t="s">
        <v>260</v>
      </c>
      <c r="B30" s="43">
        <v>400</v>
      </c>
      <c r="C30" s="43">
        <v>500</v>
      </c>
      <c r="D30" s="43">
        <v>600</v>
      </c>
      <c r="E30" s="43">
        <v>700</v>
      </c>
      <c r="F30" s="43">
        <v>800</v>
      </c>
      <c r="G30" s="43">
        <v>900</v>
      </c>
      <c r="H30" s="43">
        <v>1000</v>
      </c>
      <c r="I30" s="43">
        <v>1100</v>
      </c>
      <c r="J30" s="43">
        <v>1200</v>
      </c>
      <c r="K30" s="43">
        <v>1300</v>
      </c>
    </row>
    <row r="31" spans="1:11" ht="15" customHeight="1" x14ac:dyDescent="0.25">
      <c r="A31" s="43">
        <v>550</v>
      </c>
      <c r="B31" s="53">
        <f>IF(B5="","",B5*(1-Paramètres!$B$2))</f>
        <v>476.755</v>
      </c>
      <c r="C31" s="53">
        <f>IF(C5="","",C5*(1-Paramètres!$B$2))</f>
        <v>493.245</v>
      </c>
      <c r="D31" s="53">
        <f>IF(D5="","",D5*(1-Paramètres!$B$2))</f>
        <v>508.76499999999999</v>
      </c>
      <c r="E31" s="53">
        <f>IF(E5="","",E5*(1-Paramètres!$B$2))</f>
        <v>525.74</v>
      </c>
      <c r="F31" s="54" t="str">
        <f>IF(F5="","",F5*(1-Paramètres!$B$2))</f>
        <v/>
      </c>
      <c r="G31" s="54" t="str">
        <f>IF(G5="","",G5*(1-Paramètres!$B$2))</f>
        <v/>
      </c>
      <c r="H31" s="54" t="str">
        <f>IF(H5="","",H5*(1-Paramètres!$B$2))</f>
        <v/>
      </c>
      <c r="I31" s="54" t="str">
        <f>IF(I5="","",I5*(1-Paramètres!$B$2))</f>
        <v/>
      </c>
      <c r="J31" s="54" t="str">
        <f>IF(J5="","",J5*(1-Paramètres!$B$2))</f>
        <v/>
      </c>
      <c r="K31" s="54" t="str">
        <f>IF(K5="","",K5*(1-Paramètres!$B$2))</f>
        <v/>
      </c>
    </row>
    <row r="32" spans="1:11" ht="15" customHeight="1" x14ac:dyDescent="0.25">
      <c r="A32" s="43">
        <v>650</v>
      </c>
      <c r="B32" s="53">
        <f>IF(B6="","",B6*(1-Paramètres!$B$2))</f>
        <v>490.82</v>
      </c>
      <c r="C32" s="53">
        <f>IF(C6="","",C6*(1-Paramètres!$B$2))</f>
        <v>507.79499999999996</v>
      </c>
      <c r="D32" s="53">
        <f>IF(D6="","",D6*(1-Paramètres!$B$2))</f>
        <v>525.74</v>
      </c>
      <c r="E32" s="53">
        <f>IF(E6="","",E6*(1-Paramètres!$B$2))</f>
        <v>543.19999999999993</v>
      </c>
      <c r="F32" s="53">
        <f>IF(F6="","",F6*(1-Paramètres!$B$2))</f>
        <v>561.14499999999998</v>
      </c>
      <c r="G32" s="54" t="str">
        <f>IF(G6="","",G6*(1-Paramètres!$B$2))</f>
        <v/>
      </c>
      <c r="H32" s="54" t="str">
        <f>IF(H6="","",H6*(1-Paramètres!$B$2))</f>
        <v/>
      </c>
      <c r="I32" s="54" t="str">
        <f>IF(I6="","",I6*(1-Paramètres!$B$2))</f>
        <v/>
      </c>
      <c r="J32" s="54" t="str">
        <f>IF(J6="","",J6*(1-Paramètres!$B$2))</f>
        <v/>
      </c>
      <c r="K32" s="54" t="str">
        <f>IF(K6="","",K6*(1-Paramètres!$B$2))</f>
        <v/>
      </c>
    </row>
    <row r="33" spans="1:11" ht="15" customHeight="1" x14ac:dyDescent="0.25">
      <c r="A33" s="43">
        <v>750</v>
      </c>
      <c r="B33" s="53">
        <f>IF(B7="","",B7*(1-Paramètres!$B$2))</f>
        <v>506.34</v>
      </c>
      <c r="C33" s="53">
        <f>IF(C7="","",C7*(1-Paramètres!$B$2))</f>
        <v>524.28499999999997</v>
      </c>
      <c r="D33" s="53">
        <f>IF(D7="","",D7*(1-Paramètres!$B$2))</f>
        <v>542.71500000000003</v>
      </c>
      <c r="E33" s="53">
        <f>IF(E7="","",E7*(1-Paramètres!$B$2))</f>
        <v>561.63</v>
      </c>
      <c r="F33" s="53">
        <f>IF(F7="","",F7*(1-Paramètres!$B$2))</f>
        <v>580.05999999999995</v>
      </c>
      <c r="G33" s="53">
        <f>IF(G7="","",G7*(1-Paramètres!$B$2))</f>
        <v>597.52</v>
      </c>
      <c r="H33" s="54" t="str">
        <f>IF(H7="","",H7*(1-Paramètres!$B$2))</f>
        <v/>
      </c>
      <c r="I33" s="54" t="str">
        <f>IF(I7="","",I7*(1-Paramètres!$B$2))</f>
        <v/>
      </c>
      <c r="J33" s="54" t="str">
        <f>IF(J7="","",J7*(1-Paramètres!$B$2))</f>
        <v/>
      </c>
      <c r="K33" s="54" t="str">
        <f>IF(K7="","",K7*(1-Paramètres!$B$2))</f>
        <v/>
      </c>
    </row>
    <row r="34" spans="1:11" ht="15" customHeight="1" x14ac:dyDescent="0.25">
      <c r="A34" s="43">
        <v>850</v>
      </c>
      <c r="B34" s="53">
        <f>IF(B8="","",B8*(1-Paramètres!$B$2))</f>
        <v>522.34500000000003</v>
      </c>
      <c r="C34" s="53">
        <f>IF(C8="","",C8*(1-Paramètres!$B$2))</f>
        <v>541.26</v>
      </c>
      <c r="D34" s="53">
        <f>IF(D8="","",D8*(1-Paramètres!$B$2))</f>
        <v>560.17499999999995</v>
      </c>
      <c r="E34" s="53">
        <f>IF(E8="","",E8*(1-Paramètres!$B$2))</f>
        <v>580.05999999999995</v>
      </c>
      <c r="F34" s="53">
        <f>IF(F8="","",F8*(1-Paramètres!$B$2))</f>
        <v>598.005</v>
      </c>
      <c r="G34" s="53">
        <f>IF(G8="","",G8*(1-Paramètres!$B$2))</f>
        <v>617.89</v>
      </c>
      <c r="H34" s="53">
        <f>IF(H8="","",H8*(1-Paramètres!$B$2))</f>
        <v>635.83500000000004</v>
      </c>
      <c r="I34" s="53">
        <f>IF(I8="","",I8*(1-Paramètres!$B$2))</f>
        <v>654.26499999999999</v>
      </c>
      <c r="J34" s="54" t="str">
        <f>IF(J8="","",J8*(1-Paramètres!$B$2))</f>
        <v/>
      </c>
      <c r="K34" s="54" t="str">
        <f>IF(K8="","",K8*(1-Paramètres!$B$2))</f>
        <v/>
      </c>
    </row>
    <row r="35" spans="1:11" ht="15" customHeight="1" x14ac:dyDescent="0.25">
      <c r="A35" s="43">
        <v>950</v>
      </c>
      <c r="B35" s="53">
        <f>IF(B9="","",B9*(1-Paramètres!$B$2))</f>
        <v>536.41</v>
      </c>
      <c r="C35" s="53">
        <f>IF(C9="","",C9*(1-Paramètres!$B$2))</f>
        <v>557.26499999999999</v>
      </c>
      <c r="D35" s="53">
        <f>IF(D9="","",D9*(1-Paramètres!$B$2))</f>
        <v>578.12</v>
      </c>
      <c r="E35" s="53">
        <f>IF(E9="","",E9*(1-Paramètres!$B$2))</f>
        <v>597.03499999999997</v>
      </c>
      <c r="F35" s="53">
        <f>IF(F9="","",F9*(1-Paramètres!$B$2))</f>
        <v>617.40499999999997</v>
      </c>
      <c r="G35" s="53">
        <f>IF(G9="","",G9*(1-Paramètres!$B$2))</f>
        <v>635.83500000000004</v>
      </c>
      <c r="H35" s="53">
        <f>IF(H9="","",H9*(1-Paramètres!$B$2))</f>
        <v>654.75</v>
      </c>
      <c r="I35" s="53">
        <f>IF(I9="","",I9*(1-Paramètres!$B$2))</f>
        <v>674.63499999999999</v>
      </c>
      <c r="J35" s="53">
        <f>IF(J9="","",J9*(1-Paramètres!$B$2))</f>
        <v>695.49</v>
      </c>
      <c r="K35" s="54" t="str">
        <f>IF(K9="","",K9*(1-Paramètres!$B$2))</f>
        <v/>
      </c>
    </row>
    <row r="36" spans="1:11" ht="15" customHeight="1" x14ac:dyDescent="0.25">
      <c r="A36" s="43">
        <v>1050</v>
      </c>
      <c r="B36" s="53">
        <f>IF(B10="","",B10*(1-Paramètres!$B$2))</f>
        <v>552.9</v>
      </c>
      <c r="C36" s="53">
        <f>IF(C10="","",C10*(1-Paramètres!$B$2))</f>
        <v>573.27</v>
      </c>
      <c r="D36" s="53">
        <f>IF(D10="","",D10*(1-Paramètres!$B$2))</f>
        <v>593.64</v>
      </c>
      <c r="E36" s="53">
        <f>IF(E10="","",E10*(1-Paramètres!$B$2))</f>
        <v>614.495</v>
      </c>
      <c r="F36" s="53">
        <f>IF(F10="","",F10*(1-Paramètres!$B$2))</f>
        <v>634.86500000000001</v>
      </c>
      <c r="G36" s="53">
        <f>IF(G10="","",G10*(1-Paramètres!$B$2))</f>
        <v>654.26499999999999</v>
      </c>
      <c r="H36" s="53">
        <f>IF(H10="","",H10*(1-Paramètres!$B$2))</f>
        <v>674.63499999999999</v>
      </c>
      <c r="I36" s="53">
        <f>IF(I10="","",I10*(1-Paramètres!$B$2))</f>
        <v>695.97500000000002</v>
      </c>
      <c r="J36" s="53">
        <f>IF(J10="","",J10*(1-Paramètres!$B$2))</f>
        <v>716.82999999999993</v>
      </c>
      <c r="K36" s="53">
        <f>IF(K10="","",K10*(1-Paramètres!$B$2))</f>
        <v>728.47</v>
      </c>
    </row>
    <row r="37" spans="1:11" ht="15" customHeight="1" x14ac:dyDescent="0.25">
      <c r="A37" s="43">
        <v>1150</v>
      </c>
      <c r="B37" s="53">
        <f>IF(B11="","",B11*(1-Paramètres!$B$2))</f>
        <v>568.41999999999996</v>
      </c>
      <c r="C37" s="53">
        <f>IF(C11="","",C11*(1-Paramètres!$B$2))</f>
        <v>590.245</v>
      </c>
      <c r="D37" s="53">
        <f>IF(D11="","",D11*(1-Paramètres!$B$2))</f>
        <v>610.13</v>
      </c>
      <c r="E37" s="53">
        <f>IF(E11="","",E11*(1-Paramètres!$B$2))</f>
        <v>631.95499999999993</v>
      </c>
      <c r="F37" s="53">
        <f>IF(F11="","",F11*(1-Paramètres!$B$2))</f>
        <v>652.80999999999995</v>
      </c>
      <c r="G37" s="53">
        <f>IF(G11="","",G11*(1-Paramètres!$B$2))</f>
        <v>673.66499999999996</v>
      </c>
      <c r="H37" s="53">
        <f>IF(H11="","",H11*(1-Paramètres!$B$2))</f>
        <v>695.97500000000002</v>
      </c>
      <c r="I37" s="53">
        <f>IF(I11="","",I11*(1-Paramètres!$B$2))</f>
        <v>716.82999999999993</v>
      </c>
      <c r="J37" s="53">
        <f>IF(J11="","",J11*(1-Paramètres!$B$2))</f>
        <v>737.19999999999993</v>
      </c>
      <c r="K37" s="53">
        <f>IF(K11="","",K11*(1-Paramètres!$B$2))</f>
        <v>748.84</v>
      </c>
    </row>
    <row r="38" spans="1:11" ht="15" customHeight="1" x14ac:dyDescent="0.25">
      <c r="A38" s="43">
        <v>1250</v>
      </c>
      <c r="B38" s="53">
        <f>IF(B12="","",B12*(1-Paramètres!$B$2))</f>
        <v>583.93999999999994</v>
      </c>
      <c r="C38" s="53">
        <f>IF(C12="","",C12*(1-Paramètres!$B$2))</f>
        <v>606.25</v>
      </c>
      <c r="D38" s="53">
        <f>IF(D12="","",D12*(1-Paramètres!$B$2))</f>
        <v>627.10500000000002</v>
      </c>
      <c r="E38" s="53">
        <f>IF(E12="","",E12*(1-Paramètres!$B$2))</f>
        <v>648.92999999999995</v>
      </c>
      <c r="F38" s="53">
        <f>IF(F12="","",F12*(1-Paramètres!$B$2))</f>
        <v>671.24</v>
      </c>
      <c r="G38" s="53">
        <f>IF(G12="","",G12*(1-Paramètres!$B$2))</f>
        <v>694.52</v>
      </c>
      <c r="H38" s="53">
        <f>IF(H12="","",H12*(1-Paramètres!$B$2))</f>
        <v>715.375</v>
      </c>
      <c r="I38" s="53">
        <f>IF(I12="","",I12*(1-Paramètres!$B$2))</f>
        <v>736.23</v>
      </c>
      <c r="J38" s="53">
        <f>IF(J12="","",J12*(1-Paramètres!$B$2))</f>
        <v>759.02499999999998</v>
      </c>
      <c r="K38" s="53">
        <f>IF(K12="","",K12*(1-Paramètres!$B$2))</f>
        <v>770.18</v>
      </c>
    </row>
    <row r="39" spans="1:11" ht="15" customHeight="1" x14ac:dyDescent="0.25">
      <c r="A39" s="43">
        <v>1350</v>
      </c>
      <c r="B39" s="53">
        <f>IF(B13="","",B13*(1-Paramètres!$B$2))</f>
        <v>598.005</v>
      </c>
      <c r="C39" s="53">
        <f>IF(C13="","",C13*(1-Paramètres!$B$2))</f>
        <v>621.28499999999997</v>
      </c>
      <c r="D39" s="53">
        <f>IF(D13="","",D13*(1-Paramètres!$B$2))</f>
        <v>645.04999999999995</v>
      </c>
      <c r="E39" s="53">
        <f>IF(E13="","",E13*(1-Paramètres!$B$2))</f>
        <v>667.36</v>
      </c>
      <c r="F39" s="53">
        <f>IF(F13="","",F13*(1-Paramètres!$B$2))</f>
        <v>690.15499999999997</v>
      </c>
      <c r="G39" s="53">
        <f>IF(G13="","",G13*(1-Paramètres!$B$2))</f>
        <v>712.94999999999993</v>
      </c>
      <c r="H39" s="53">
        <f>IF(H13="","",H13*(1-Paramètres!$B$2))</f>
        <v>734.77499999999998</v>
      </c>
      <c r="I39" s="53">
        <f>IF(I13="","",I13*(1-Paramètres!$B$2))</f>
        <v>758.05499999999995</v>
      </c>
      <c r="J39" s="53">
        <f>IF(J13="","",J13*(1-Paramètres!$B$2))</f>
        <v>780.85</v>
      </c>
      <c r="K39" s="53">
        <f>IF(K13="","",K13*(1-Paramètres!$B$2))</f>
        <v>792.97500000000002</v>
      </c>
    </row>
    <row r="40" spans="1:11" ht="15" customHeight="1" x14ac:dyDescent="0.25">
      <c r="A40" s="43">
        <v>1450</v>
      </c>
      <c r="B40" s="53">
        <f>IF(B14="","",B14*(1-Paramètres!$B$2))</f>
        <v>614.01</v>
      </c>
      <c r="C40" s="53">
        <f>IF(C14="","",C14*(1-Paramètres!$B$2))</f>
        <v>637.29</v>
      </c>
      <c r="D40" s="53">
        <f>IF(D14="","",D14*(1-Paramètres!$B$2))</f>
        <v>661.54</v>
      </c>
      <c r="E40" s="53">
        <f>IF(E14="","",E14*(1-Paramètres!$B$2))</f>
        <v>685.30499999999995</v>
      </c>
      <c r="F40" s="53">
        <f>IF(F14="","",F14*(1-Paramètres!$B$2))</f>
        <v>708.1</v>
      </c>
      <c r="G40" s="53">
        <f>IF(G14="","",G14*(1-Paramètres!$B$2))</f>
        <v>731.86500000000001</v>
      </c>
      <c r="H40" s="53">
        <f>IF(H14="","",H14*(1-Paramètres!$B$2))</f>
        <v>755.63</v>
      </c>
      <c r="I40" s="53">
        <f>IF(I14="","",I14*(1-Paramètres!$B$2))</f>
        <v>779.39499999999998</v>
      </c>
      <c r="J40" s="53">
        <f>IF(J14="","",J14*(1-Paramètres!$B$2))</f>
        <v>802.18999999999994</v>
      </c>
      <c r="K40" s="53">
        <f>IF(K14="","",K14*(1-Paramètres!$B$2))</f>
        <v>813.82999999999993</v>
      </c>
    </row>
    <row r="41" spans="1:11" ht="15" customHeight="1" x14ac:dyDescent="0.25">
      <c r="A41" s="43">
        <v>1550</v>
      </c>
      <c r="B41" s="53">
        <f>IF(B15="","",B15*(1-Paramètres!$B$2))</f>
        <v>629.04499999999996</v>
      </c>
      <c r="C41" s="53">
        <f>IF(C15="","",C15*(1-Paramètres!$B$2))</f>
        <v>653.29499999999996</v>
      </c>
      <c r="D41" s="53">
        <f>IF(D15="","",D15*(1-Paramètres!$B$2))</f>
        <v>678.03</v>
      </c>
      <c r="E41" s="53">
        <f>IF(E15="","",E15*(1-Paramètres!$B$2))</f>
        <v>703.25</v>
      </c>
      <c r="F41" s="53">
        <f>IF(F15="","",F15*(1-Paramètres!$B$2))</f>
        <v>726.53</v>
      </c>
      <c r="G41" s="53">
        <f>IF(G15="","",G15*(1-Paramètres!$B$2))</f>
        <v>751.26499999999999</v>
      </c>
      <c r="H41" s="53">
        <f>IF(H15="","",H15*(1-Paramètres!$B$2))</f>
        <v>775.03</v>
      </c>
      <c r="I41" s="53">
        <f>IF(I15="","",I15*(1-Paramètres!$B$2))</f>
        <v>799.76499999999999</v>
      </c>
      <c r="J41" s="53">
        <f>IF(J15="","",J15*(1-Paramètres!$B$2))</f>
        <v>824.01499999999999</v>
      </c>
      <c r="K41" s="53">
        <f>IF(K15="","",K15*(1-Paramètres!$B$2))</f>
        <v>837.11</v>
      </c>
    </row>
    <row r="42" spans="1:11" ht="15" customHeight="1" x14ac:dyDescent="0.25">
      <c r="A42" s="43">
        <v>1650</v>
      </c>
      <c r="B42" s="53">
        <f>IF(B16="","",B16*(1-Paramètres!$B$2))</f>
        <v>645.04999999999995</v>
      </c>
      <c r="C42" s="53">
        <f>IF(C16="","",C16*(1-Paramètres!$B$2))</f>
        <v>669.3</v>
      </c>
      <c r="D42" s="53">
        <f>IF(D16="","",D16*(1-Paramètres!$B$2))</f>
        <v>695.005</v>
      </c>
      <c r="E42" s="53">
        <f>IF(E16="","",E16*(1-Paramètres!$B$2))</f>
        <v>718.77</v>
      </c>
      <c r="F42" s="53">
        <f>IF(F16="","",F16*(1-Paramètres!$B$2))</f>
        <v>745.44499999999994</v>
      </c>
      <c r="G42" s="53">
        <f>IF(G16="","",G16*(1-Paramètres!$B$2))</f>
        <v>769.69499999999994</v>
      </c>
      <c r="H42" s="53">
        <f>IF(H16="","",H16*(1-Paramètres!$B$2))</f>
        <v>794.91499999999996</v>
      </c>
      <c r="I42" s="53">
        <f>IF(I16="","",I16*(1-Paramètres!$B$2))</f>
        <v>820.62</v>
      </c>
      <c r="J42" s="53">
        <f>IF(J16="","",J16*(1-Paramètres!$B$2))</f>
        <v>846.32499999999993</v>
      </c>
      <c r="K42" s="53">
        <f>IF(K16="","",K16*(1-Paramètres!$B$2))</f>
        <v>858.93499999999995</v>
      </c>
    </row>
    <row r="43" spans="1:11" ht="15" customHeight="1" x14ac:dyDescent="0.25">
      <c r="A43" s="43">
        <v>1750</v>
      </c>
      <c r="B43" s="53">
        <f>IF(B17="","",B17*(1-Paramètres!$B$2))</f>
        <v>660.08500000000004</v>
      </c>
      <c r="C43" s="53">
        <f>IF(C17="","",C17*(1-Paramètres!$B$2))</f>
        <v>686.27499999999998</v>
      </c>
      <c r="D43" s="53">
        <f>IF(D17="","",D17*(1-Paramètres!$B$2))</f>
        <v>711.98</v>
      </c>
      <c r="E43" s="53">
        <f>IF(E17="","",E17*(1-Paramètres!$B$2))</f>
        <v>736.23</v>
      </c>
      <c r="F43" s="53">
        <f>IF(F17="","",F17*(1-Paramètres!$B$2))</f>
        <v>763.875</v>
      </c>
      <c r="G43" s="53">
        <f>IF(G17="","",G17*(1-Paramètres!$B$2))</f>
        <v>789.09500000000003</v>
      </c>
      <c r="H43" s="53">
        <f>IF(H17="","",H17*(1-Paramètres!$B$2))</f>
        <v>815.77</v>
      </c>
      <c r="I43" s="53">
        <f>IF(I17="","",I17*(1-Paramètres!$B$2))</f>
        <v>840.99</v>
      </c>
      <c r="J43" s="53">
        <f>IF(J17="","",J17*(1-Paramètres!$B$2))</f>
        <v>867.18</v>
      </c>
      <c r="K43" s="53">
        <f>IF(K17="","",K17*(1-Paramètres!$B$2))</f>
        <v>880.27499999999998</v>
      </c>
    </row>
    <row r="44" spans="1:11" ht="15" customHeight="1" x14ac:dyDescent="0.25">
      <c r="A44" s="43">
        <v>1850</v>
      </c>
      <c r="B44" s="53">
        <f>IF(B18="","",B18*(1-Paramètres!$B$2))</f>
        <v>674.63499999999999</v>
      </c>
      <c r="C44" s="53">
        <f>IF(C18="","",C18*(1-Paramètres!$B$2))</f>
        <v>703.25</v>
      </c>
      <c r="D44" s="53">
        <f>IF(D18="","",D18*(1-Paramètres!$B$2))</f>
        <v>728.95499999999993</v>
      </c>
      <c r="E44" s="53">
        <f>IF(E18="","",E18*(1-Paramètres!$B$2))</f>
        <v>754.66</v>
      </c>
      <c r="F44" s="53">
        <f>IF(F18="","",F18*(1-Paramètres!$B$2))</f>
        <v>781.81999999999994</v>
      </c>
      <c r="G44" s="53">
        <f>IF(G18="","",G18*(1-Paramètres!$B$2))</f>
        <v>808.495</v>
      </c>
      <c r="H44" s="53">
        <f>IF(H18="","",H18*(1-Paramètres!$B$2))</f>
        <v>835.65499999999997</v>
      </c>
      <c r="I44" s="53">
        <f>IF(I18="","",I18*(1-Paramètres!$B$2))</f>
        <v>862.32999999999993</v>
      </c>
      <c r="J44" s="53">
        <f>IF(J18="","",J18*(1-Paramètres!$B$2))</f>
        <v>888.52</v>
      </c>
      <c r="K44" s="53">
        <f>IF(K18="","",K18*(1-Paramètres!$B$2))</f>
        <v>901.13</v>
      </c>
    </row>
    <row r="45" spans="1:11" ht="15" customHeight="1" x14ac:dyDescent="0.25">
      <c r="A45" s="43">
        <v>1950</v>
      </c>
      <c r="B45" s="53">
        <f>IF(B19="","",B19*(1-Paramètres!$B$2))</f>
        <v>691.61</v>
      </c>
      <c r="C45" s="53">
        <f>IF(C19="","",C19*(1-Paramètres!$B$2))</f>
        <v>717.8</v>
      </c>
      <c r="D45" s="53">
        <f>IF(D19="","",D19*(1-Paramètres!$B$2))</f>
        <v>745.93</v>
      </c>
      <c r="E45" s="53">
        <f>IF(E19="","",E19*(1-Paramètres!$B$2))</f>
        <v>772.60500000000002</v>
      </c>
      <c r="F45" s="53">
        <f>IF(F19="","",F19*(1-Paramètres!$B$2))</f>
        <v>800.25</v>
      </c>
      <c r="G45" s="53">
        <f>IF(G19="","",G19*(1-Paramètres!$B$2))</f>
        <v>828.86500000000001</v>
      </c>
      <c r="H45" s="53">
        <f>IF(H19="","",H19*(1-Paramètres!$B$2))</f>
        <v>856.51</v>
      </c>
      <c r="I45" s="53">
        <f>IF(I19="","",I19*(1-Paramètres!$B$2))</f>
        <v>883.18499999999995</v>
      </c>
      <c r="J45" s="53">
        <f>IF(J19="","",J19*(1-Paramètres!$B$2))</f>
        <v>909.375</v>
      </c>
      <c r="K45" s="53">
        <f>IF(K19="","",K19*(1-Paramètres!$B$2))</f>
        <v>923.43999999999994</v>
      </c>
    </row>
    <row r="46" spans="1:11" ht="15" customHeight="1" x14ac:dyDescent="0.25">
      <c r="A46" s="43">
        <v>2050</v>
      </c>
      <c r="B46" s="53">
        <f>IF(B20="","",B20*(1-Paramètres!$B$2))</f>
        <v>706.16</v>
      </c>
      <c r="C46" s="53">
        <f>IF(C20="","",C20*(1-Paramètres!$B$2))</f>
        <v>733.80499999999995</v>
      </c>
      <c r="D46" s="53">
        <f>IF(D20="","",D20*(1-Paramètres!$B$2))</f>
        <v>761.93499999999995</v>
      </c>
      <c r="E46" s="53">
        <f>IF(E20="","",E20*(1-Paramètres!$B$2))</f>
        <v>789.57999999999993</v>
      </c>
      <c r="F46" s="53">
        <f>IF(F20="","",F20*(1-Paramètres!$B$2))</f>
        <v>819.16499999999996</v>
      </c>
      <c r="G46" s="53">
        <f>IF(G20="","",G20*(1-Paramètres!$B$2))</f>
        <v>846.81</v>
      </c>
      <c r="H46" s="53">
        <f>IF(H20="","",H20*(1-Paramètres!$B$2))</f>
        <v>875.42499999999995</v>
      </c>
      <c r="I46" s="53">
        <f>IF(I20="","",I20*(1-Paramètres!$B$2))</f>
        <v>903.06999999999994</v>
      </c>
      <c r="J46" s="53">
        <f>IF(J20="","",J20*(1-Paramètres!$B$2))</f>
        <v>931.68499999999995</v>
      </c>
      <c r="K46" s="53">
        <f>IF(K20="","",K20*(1-Paramètres!$B$2))</f>
        <v>945.26499999999999</v>
      </c>
    </row>
    <row r="47" spans="1:11" ht="15" customHeight="1" x14ac:dyDescent="0.25">
      <c r="A47" s="43">
        <v>2150</v>
      </c>
      <c r="B47" s="53">
        <f>IF(B21="","",B21*(1-Paramètres!$B$2))</f>
        <v>722.65</v>
      </c>
      <c r="C47" s="53">
        <f>IF(C21="","",C21*(1-Paramètres!$B$2))</f>
        <v>750.29499999999996</v>
      </c>
      <c r="D47" s="53">
        <f>IF(D21="","",D21*(1-Paramètres!$B$2))</f>
        <v>779.39499999999998</v>
      </c>
      <c r="E47" s="53">
        <f>IF(E21="","",E21*(1-Paramètres!$B$2))</f>
        <v>808.01</v>
      </c>
      <c r="F47" s="53">
        <f>IF(F21="","",F21*(1-Paramètres!$B$2))</f>
        <v>837.11</v>
      </c>
      <c r="G47" s="53">
        <f>IF(G21="","",G21*(1-Paramètres!$B$2))</f>
        <v>865.24</v>
      </c>
      <c r="H47" s="53">
        <f>IF(H21="","",H21*(1-Paramètres!$B$2))</f>
        <v>895.31</v>
      </c>
      <c r="I47" s="53">
        <f>IF(I21="","",I21*(1-Paramètres!$B$2))</f>
        <v>923.43999999999994</v>
      </c>
      <c r="J47" s="53">
        <f>IF(J21="","",J21*(1-Paramètres!$B$2))</f>
        <v>953.02499999999998</v>
      </c>
      <c r="K47" s="53">
        <f>IF(K21="","",K21*(1-Paramètres!$B$2))</f>
        <v>968.54499999999996</v>
      </c>
    </row>
    <row r="48" spans="1:11" ht="15" customHeight="1" x14ac:dyDescent="0.25">
      <c r="A48" s="43">
        <v>2250</v>
      </c>
      <c r="B48" s="53">
        <f>IF(B22="","",B22*(1-Paramètres!$B$2))</f>
        <v>736.23</v>
      </c>
      <c r="C48" s="53">
        <f>IF(C22="","",C22*(1-Paramètres!$B$2))</f>
        <v>767.27</v>
      </c>
      <c r="D48" s="53">
        <f>IF(D22="","",D22*(1-Paramètres!$B$2))</f>
        <v>795.4</v>
      </c>
      <c r="E48" s="53">
        <f>IF(E22="","",E22*(1-Paramètres!$B$2))</f>
        <v>825.95499999999993</v>
      </c>
      <c r="F48" s="53">
        <f>IF(F22="","",F22*(1-Paramètres!$B$2))</f>
        <v>856.51</v>
      </c>
      <c r="G48" s="53">
        <f>IF(G22="","",G22*(1-Paramètres!$B$2))</f>
        <v>885.125</v>
      </c>
      <c r="H48" s="53">
        <f>IF(H22="","",H22*(1-Paramètres!$B$2))</f>
        <v>915.19499999999994</v>
      </c>
      <c r="I48" s="53">
        <f>IF(I22="","",I22*(1-Paramètres!$B$2))</f>
        <v>945.26499999999999</v>
      </c>
      <c r="J48" s="53">
        <f>IF(J22="","",J22*(1-Paramètres!$B$2))</f>
        <v>974.85</v>
      </c>
      <c r="K48" s="53">
        <f>IF(K22="","",K22*(1-Paramètres!$B$2))</f>
        <v>1003.9499999999999</v>
      </c>
    </row>
    <row r="49" spans="1:11" ht="15" customHeight="1" x14ac:dyDescent="0.25">
      <c r="A49" s="43">
        <v>2350</v>
      </c>
      <c r="B49" s="53">
        <f>IF(B23="","",B23*(1-Paramètres!$B$2))</f>
        <v>745.44499999999994</v>
      </c>
      <c r="C49" s="53">
        <f>IF(C23="","",C23*(1-Paramètres!$B$2))</f>
        <v>775.03</v>
      </c>
      <c r="D49" s="53">
        <f>IF(D23="","",D23*(1-Paramètres!$B$2))</f>
        <v>804.61500000000001</v>
      </c>
      <c r="E49" s="53">
        <f>IF(E23="","",E23*(1-Paramètres!$B$2))</f>
        <v>835.65499999999997</v>
      </c>
      <c r="F49" s="53">
        <f>IF(F23="","",F23*(1-Paramètres!$B$2))</f>
        <v>864.27</v>
      </c>
      <c r="G49" s="53">
        <f>IF(G23="","",G23*(1-Paramètres!$B$2))</f>
        <v>895.79499999999996</v>
      </c>
      <c r="H49" s="53">
        <f>IF(H23="","",H23*(1-Paramètres!$B$2))</f>
        <v>924.89499999999998</v>
      </c>
      <c r="I49" s="53">
        <f>IF(I23="","",I23*(1-Paramètres!$B$2))</f>
        <v>956.90499999999997</v>
      </c>
      <c r="J49" s="53">
        <f>IF(J23="","",J23*(1-Paramètres!$B$2))</f>
        <v>988.43</v>
      </c>
      <c r="K49" s="53">
        <f>IF(K23="","",K23*(1-Paramètres!$B$2))</f>
        <v>1019.47</v>
      </c>
    </row>
    <row r="50" spans="1:11" ht="15" customHeight="1" x14ac:dyDescent="0.25">
      <c r="A50" s="43">
        <v>2450</v>
      </c>
      <c r="B50" s="53">
        <f>IF(B24="","",B24*(1-Paramètres!$B$2))</f>
        <v>748.84</v>
      </c>
      <c r="C50" s="53">
        <f>IF(C24="","",C24*(1-Paramètres!$B$2))</f>
        <v>779.39499999999998</v>
      </c>
      <c r="D50" s="53">
        <f>IF(D24="","",D24*(1-Paramètres!$B$2))</f>
        <v>808.495</v>
      </c>
      <c r="E50" s="53">
        <f>IF(E24="","",E24*(1-Paramètres!$B$2))</f>
        <v>839.53499999999997</v>
      </c>
      <c r="F50" s="53">
        <f>IF(F24="","",F24*(1-Paramètres!$B$2))</f>
        <v>869.12</v>
      </c>
      <c r="G50" s="53">
        <f>IF(G24="","",G24*(1-Paramètres!$B$2))</f>
        <v>899.67499999999995</v>
      </c>
      <c r="H50" s="53">
        <f>IF(H24="","",H24*(1-Paramètres!$B$2))</f>
        <v>930.23</v>
      </c>
      <c r="I50" s="53">
        <f>IF(I24="","",I24*(1-Paramètres!$B$2))</f>
        <v>961.755</v>
      </c>
      <c r="J50" s="53">
        <f>IF(J24="","",J24*(1-Paramètres!$B$2))</f>
        <v>994.25</v>
      </c>
      <c r="K50" s="53">
        <f>IF(K24="","",K24*(1-Paramètres!$B$2))</f>
        <v>1025.7749999999999</v>
      </c>
    </row>
    <row r="51" spans="1:11" ht="15" customHeight="1" x14ac:dyDescent="0.25">
      <c r="A51" s="43">
        <v>2500</v>
      </c>
      <c r="B51" s="53">
        <f>IF(B25="","",B25*(1-Paramètres!$B$2))</f>
        <v>753.20499999999993</v>
      </c>
      <c r="C51" s="53">
        <f>IF(C25="","",C25*(1-Paramètres!$B$2))</f>
        <v>782.30499999999995</v>
      </c>
      <c r="D51" s="53">
        <f>IF(D25="","",D25*(1-Paramètres!$B$2))</f>
        <v>812.375</v>
      </c>
      <c r="E51" s="53">
        <f>IF(E25="","",E25*(1-Paramètres!$B$2))</f>
        <v>843.41499999999996</v>
      </c>
      <c r="F51" s="53">
        <f>IF(F25="","",F25*(1-Paramètres!$B$2))</f>
        <v>873.97</v>
      </c>
      <c r="G51" s="53">
        <f>IF(G25="","",G25*(1-Paramètres!$B$2))</f>
        <v>903.06999999999994</v>
      </c>
      <c r="H51" s="53">
        <f>IF(H25="","",H25*(1-Paramètres!$B$2))</f>
        <v>934.59500000000003</v>
      </c>
      <c r="I51" s="53">
        <f>IF(I25="","",I25*(1-Paramètres!$B$2))</f>
        <v>967.08999999999992</v>
      </c>
      <c r="J51" s="53">
        <f>IF(J25="","",J25*(1-Paramètres!$B$2))</f>
        <v>999.58499999999992</v>
      </c>
      <c r="K51" s="53">
        <f>IF(K25="","",K25*(1-Paramètres!$B$2))</f>
        <v>1032.08</v>
      </c>
    </row>
  </sheetData>
  <mergeCells count="3">
    <mergeCell ref="A1:K1"/>
    <mergeCell ref="A28:K28"/>
    <mergeCell ref="A3:K3"/>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51"/>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24" customWidth="1"/>
    <col min="2" max="19" width="9" customWidth="1"/>
  </cols>
  <sheetData>
    <row r="1" spans="1:19" ht="24" customHeight="1" x14ac:dyDescent="0.25">
      <c r="A1" s="126" t="s">
        <v>663</v>
      </c>
      <c r="B1" s="93"/>
      <c r="C1" s="93"/>
      <c r="D1" s="93"/>
      <c r="E1" s="93"/>
      <c r="F1" s="93"/>
      <c r="G1" s="93"/>
      <c r="H1" s="93"/>
      <c r="I1" s="93"/>
      <c r="J1" s="93"/>
      <c r="K1" s="93"/>
      <c r="L1" s="93"/>
      <c r="M1" s="93"/>
      <c r="N1" s="93"/>
      <c r="O1" s="93"/>
      <c r="P1" s="93"/>
      <c r="Q1" s="93"/>
      <c r="R1" s="93"/>
      <c r="S1" s="93"/>
    </row>
    <row r="3" spans="1:19" ht="15" customHeight="1" x14ac:dyDescent="0.25">
      <c r="A3" s="121" t="s">
        <v>259</v>
      </c>
      <c r="B3" s="93"/>
      <c r="C3" s="93"/>
      <c r="D3" s="93"/>
      <c r="E3" s="93"/>
      <c r="F3" s="93"/>
      <c r="G3" s="93"/>
      <c r="H3" s="93"/>
      <c r="I3" s="93"/>
      <c r="J3" s="93"/>
      <c r="K3" s="93"/>
      <c r="L3" s="93"/>
      <c r="M3" s="93"/>
      <c r="N3" s="93"/>
      <c r="O3" s="93"/>
      <c r="P3" s="93"/>
      <c r="Q3" s="93"/>
      <c r="R3" s="93"/>
      <c r="S3" s="93"/>
    </row>
    <row r="4" spans="1:19" ht="15" customHeight="1" x14ac:dyDescent="0.25">
      <c r="A4" s="43" t="s">
        <v>260</v>
      </c>
      <c r="B4" s="43">
        <v>700</v>
      </c>
      <c r="C4" s="43">
        <v>800</v>
      </c>
      <c r="D4" s="43">
        <v>900</v>
      </c>
      <c r="E4" s="43">
        <v>1000</v>
      </c>
      <c r="F4" s="43">
        <v>1100</v>
      </c>
      <c r="G4" s="43">
        <v>1200</v>
      </c>
      <c r="H4" s="43">
        <v>1300</v>
      </c>
      <c r="I4" s="43">
        <v>1400</v>
      </c>
      <c r="J4" s="43">
        <v>1500</v>
      </c>
      <c r="K4" s="43">
        <v>1600</v>
      </c>
      <c r="L4" s="43">
        <v>1700</v>
      </c>
      <c r="M4" s="43">
        <v>1800</v>
      </c>
      <c r="N4" s="43">
        <v>1900</v>
      </c>
      <c r="O4" s="43">
        <v>2000</v>
      </c>
      <c r="P4" s="43">
        <v>2100</v>
      </c>
      <c r="Q4" s="43">
        <v>2200</v>
      </c>
      <c r="R4" s="43">
        <v>2300</v>
      </c>
      <c r="S4" s="43">
        <v>2400</v>
      </c>
    </row>
    <row r="5" spans="1:19" ht="15" customHeight="1" x14ac:dyDescent="0.25">
      <c r="A5" s="43">
        <v>550</v>
      </c>
      <c r="B5" s="44">
        <v>1467</v>
      </c>
      <c r="C5" s="44">
        <v>1501</v>
      </c>
      <c r="D5" s="44">
        <v>1535</v>
      </c>
      <c r="E5" s="44">
        <v>1565</v>
      </c>
      <c r="F5" s="44">
        <v>1600</v>
      </c>
      <c r="G5" s="44">
        <v>1635</v>
      </c>
      <c r="H5" s="51"/>
      <c r="I5" s="51"/>
      <c r="J5" s="51"/>
      <c r="K5" s="51"/>
      <c r="L5" s="51"/>
      <c r="M5" s="51"/>
      <c r="N5" s="51"/>
      <c r="O5" s="51"/>
      <c r="P5" s="51"/>
      <c r="Q5" s="51"/>
      <c r="R5" s="51"/>
      <c r="S5" s="51"/>
    </row>
    <row r="6" spans="1:19" ht="15" customHeight="1" x14ac:dyDescent="0.25">
      <c r="A6" s="43">
        <v>650</v>
      </c>
      <c r="B6" s="44">
        <v>1512</v>
      </c>
      <c r="C6" s="44">
        <v>1549</v>
      </c>
      <c r="D6" s="44">
        <v>1585</v>
      </c>
      <c r="E6" s="44">
        <v>1620</v>
      </c>
      <c r="F6" s="44">
        <v>1656</v>
      </c>
      <c r="G6" s="44">
        <v>1691</v>
      </c>
      <c r="H6" s="44">
        <v>1727</v>
      </c>
      <c r="I6" s="44">
        <v>1765</v>
      </c>
      <c r="J6" s="51"/>
      <c r="K6" s="51"/>
      <c r="L6" s="51"/>
      <c r="M6" s="51"/>
      <c r="N6" s="51"/>
      <c r="O6" s="51"/>
      <c r="P6" s="51"/>
      <c r="Q6" s="51"/>
      <c r="R6" s="51"/>
      <c r="S6" s="51"/>
    </row>
    <row r="7" spans="1:19" ht="15" customHeight="1" x14ac:dyDescent="0.25">
      <c r="A7" s="43">
        <v>750</v>
      </c>
      <c r="B7" s="44">
        <v>1559</v>
      </c>
      <c r="C7" s="44">
        <v>1597</v>
      </c>
      <c r="D7" s="44">
        <v>1635</v>
      </c>
      <c r="E7" s="44">
        <v>1672</v>
      </c>
      <c r="F7" s="44">
        <v>1712</v>
      </c>
      <c r="G7" s="44">
        <v>1747</v>
      </c>
      <c r="H7" s="44">
        <v>1783</v>
      </c>
      <c r="I7" s="44">
        <v>1823</v>
      </c>
      <c r="J7" s="44">
        <v>1858</v>
      </c>
      <c r="K7" s="44">
        <v>1896</v>
      </c>
      <c r="L7" s="51"/>
      <c r="M7" s="51"/>
      <c r="N7" s="51"/>
      <c r="O7" s="51"/>
      <c r="P7" s="51"/>
      <c r="Q7" s="51"/>
      <c r="R7" s="51"/>
      <c r="S7" s="51"/>
    </row>
    <row r="8" spans="1:19" ht="15" customHeight="1" x14ac:dyDescent="0.25">
      <c r="A8" s="43">
        <v>850</v>
      </c>
      <c r="B8" s="44">
        <v>1608</v>
      </c>
      <c r="C8" s="44">
        <v>1646</v>
      </c>
      <c r="D8" s="44">
        <v>1687</v>
      </c>
      <c r="E8" s="44">
        <v>1726</v>
      </c>
      <c r="F8" s="44">
        <v>1766</v>
      </c>
      <c r="G8" s="44">
        <v>1804</v>
      </c>
      <c r="H8" s="44">
        <v>1844</v>
      </c>
      <c r="I8" s="44">
        <v>1881</v>
      </c>
      <c r="J8" s="44">
        <v>1921</v>
      </c>
      <c r="K8" s="44">
        <v>1959</v>
      </c>
      <c r="L8" s="44">
        <v>1998</v>
      </c>
      <c r="M8" s="51"/>
      <c r="N8" s="51"/>
      <c r="O8" s="51"/>
      <c r="P8" s="51"/>
      <c r="Q8" s="51"/>
      <c r="R8" s="51"/>
      <c r="S8" s="51"/>
    </row>
    <row r="9" spans="1:19" ht="15" customHeight="1" x14ac:dyDescent="0.25">
      <c r="A9" s="43">
        <v>950</v>
      </c>
      <c r="B9" s="44">
        <v>1656</v>
      </c>
      <c r="C9" s="44">
        <v>1697</v>
      </c>
      <c r="D9" s="44">
        <v>1737</v>
      </c>
      <c r="E9" s="44">
        <v>1778</v>
      </c>
      <c r="F9" s="44">
        <v>1818</v>
      </c>
      <c r="G9" s="44">
        <v>1858</v>
      </c>
      <c r="H9" s="44">
        <v>1898</v>
      </c>
      <c r="I9" s="44">
        <v>1939</v>
      </c>
      <c r="J9" s="44">
        <v>1982</v>
      </c>
      <c r="K9" s="44">
        <v>2021</v>
      </c>
      <c r="L9" s="44">
        <v>2062</v>
      </c>
      <c r="M9" s="44">
        <v>2103</v>
      </c>
      <c r="N9" s="44">
        <v>2144</v>
      </c>
      <c r="O9" s="44">
        <v>2185</v>
      </c>
      <c r="P9" s="44">
        <v>2226</v>
      </c>
      <c r="Q9" s="44">
        <v>2268</v>
      </c>
      <c r="R9" s="44">
        <v>2310</v>
      </c>
      <c r="S9" s="44">
        <v>2351</v>
      </c>
    </row>
    <row r="10" spans="1:19" ht="15" customHeight="1" x14ac:dyDescent="0.25">
      <c r="A10" s="43">
        <v>1050</v>
      </c>
      <c r="B10" s="44">
        <v>1708</v>
      </c>
      <c r="C10" s="44">
        <v>1747</v>
      </c>
      <c r="D10" s="44">
        <v>1789</v>
      </c>
      <c r="E10" s="44">
        <v>1830</v>
      </c>
      <c r="F10" s="44">
        <v>1873</v>
      </c>
      <c r="G10" s="44">
        <v>1913</v>
      </c>
      <c r="H10" s="44">
        <v>1956</v>
      </c>
      <c r="I10" s="44">
        <v>1999</v>
      </c>
      <c r="J10" s="44">
        <v>2041</v>
      </c>
      <c r="K10" s="44">
        <v>2085</v>
      </c>
      <c r="L10" s="44">
        <v>2125</v>
      </c>
      <c r="M10" s="44">
        <v>2165</v>
      </c>
      <c r="N10" s="44">
        <v>2205</v>
      </c>
      <c r="O10" s="44">
        <v>2245</v>
      </c>
      <c r="P10" s="44">
        <v>2285</v>
      </c>
      <c r="Q10" s="44">
        <v>2325</v>
      </c>
      <c r="R10" s="44">
        <v>2365</v>
      </c>
      <c r="S10" s="44">
        <v>2405</v>
      </c>
    </row>
    <row r="11" spans="1:19" ht="15" customHeight="1" x14ac:dyDescent="0.25">
      <c r="A11" s="43">
        <v>1150</v>
      </c>
      <c r="B11" s="44">
        <v>1752</v>
      </c>
      <c r="C11" s="44">
        <v>1795</v>
      </c>
      <c r="D11" s="44">
        <v>1842</v>
      </c>
      <c r="E11" s="44">
        <v>1885</v>
      </c>
      <c r="F11" s="44">
        <v>1929</v>
      </c>
      <c r="G11" s="44">
        <v>1973</v>
      </c>
      <c r="H11" s="44">
        <v>2013</v>
      </c>
      <c r="I11" s="44">
        <v>2058</v>
      </c>
      <c r="J11" s="44">
        <v>2102</v>
      </c>
      <c r="K11" s="44">
        <v>2145</v>
      </c>
      <c r="L11" s="44">
        <v>2187</v>
      </c>
      <c r="M11" s="44">
        <v>2228</v>
      </c>
      <c r="N11" s="44">
        <v>2270</v>
      </c>
      <c r="O11" s="44">
        <v>2311</v>
      </c>
      <c r="P11" s="44">
        <v>2352</v>
      </c>
      <c r="Q11" s="44">
        <v>2394</v>
      </c>
      <c r="R11" s="44">
        <v>2434</v>
      </c>
      <c r="S11" s="44">
        <v>2476</v>
      </c>
    </row>
    <row r="12" spans="1:19" ht="15" customHeight="1" x14ac:dyDescent="0.25">
      <c r="A12" s="43">
        <v>1250</v>
      </c>
      <c r="B12" s="44">
        <v>1803</v>
      </c>
      <c r="C12" s="44">
        <v>1847</v>
      </c>
      <c r="D12" s="44">
        <v>1892</v>
      </c>
      <c r="E12" s="44">
        <v>1937</v>
      </c>
      <c r="F12" s="44">
        <v>1983</v>
      </c>
      <c r="G12" s="44">
        <v>2028</v>
      </c>
      <c r="H12" s="44">
        <v>2073</v>
      </c>
      <c r="I12" s="44">
        <v>2118</v>
      </c>
      <c r="J12" s="44">
        <v>2162</v>
      </c>
      <c r="K12" s="44">
        <v>2208</v>
      </c>
      <c r="L12" s="44">
        <v>2254</v>
      </c>
      <c r="M12" s="44">
        <v>2299</v>
      </c>
      <c r="N12" s="44">
        <v>2345</v>
      </c>
      <c r="O12" s="44">
        <v>2393</v>
      </c>
      <c r="P12" s="44">
        <v>2439</v>
      </c>
      <c r="Q12" s="44">
        <v>2484</v>
      </c>
      <c r="R12" s="44">
        <v>2530</v>
      </c>
      <c r="S12" s="44">
        <v>2576</v>
      </c>
    </row>
    <row r="13" spans="1:19" ht="15" customHeight="1" x14ac:dyDescent="0.25">
      <c r="A13" s="43">
        <v>1350</v>
      </c>
      <c r="B13" s="44">
        <v>1848</v>
      </c>
      <c r="C13" s="44">
        <v>1895</v>
      </c>
      <c r="D13" s="44">
        <v>1942</v>
      </c>
      <c r="E13" s="44">
        <v>1989</v>
      </c>
      <c r="F13" s="44">
        <v>2038</v>
      </c>
      <c r="G13" s="44">
        <v>2084</v>
      </c>
      <c r="H13" s="44">
        <v>2128</v>
      </c>
      <c r="I13" s="44">
        <v>2177</v>
      </c>
      <c r="J13" s="44">
        <v>2224</v>
      </c>
      <c r="K13" s="44">
        <v>2271</v>
      </c>
      <c r="L13" s="44">
        <v>2318</v>
      </c>
      <c r="M13" s="44">
        <v>2365</v>
      </c>
      <c r="N13" s="44">
        <v>2412</v>
      </c>
      <c r="O13" s="44">
        <v>2458</v>
      </c>
      <c r="P13" s="44">
        <v>2507</v>
      </c>
      <c r="Q13" s="44">
        <v>2554</v>
      </c>
      <c r="R13" s="44">
        <v>2601</v>
      </c>
      <c r="S13" s="44">
        <v>2648</v>
      </c>
    </row>
    <row r="14" spans="1:19" ht="15" customHeight="1" x14ac:dyDescent="0.25">
      <c r="A14" s="43">
        <v>1450</v>
      </c>
      <c r="B14" s="44">
        <v>1897</v>
      </c>
      <c r="C14" s="44">
        <v>1947</v>
      </c>
      <c r="D14" s="44">
        <v>1994</v>
      </c>
      <c r="E14" s="44">
        <v>2042</v>
      </c>
      <c r="F14" s="44">
        <v>2092</v>
      </c>
      <c r="G14" s="44">
        <v>2139</v>
      </c>
      <c r="H14" s="44">
        <v>2185</v>
      </c>
      <c r="I14" s="44">
        <v>2235</v>
      </c>
      <c r="J14" s="44">
        <v>2285</v>
      </c>
      <c r="K14" s="44">
        <v>2333</v>
      </c>
      <c r="L14" s="44">
        <v>2379</v>
      </c>
      <c r="M14" s="44">
        <v>2428</v>
      </c>
      <c r="N14" s="44">
        <v>2475</v>
      </c>
      <c r="O14" s="44">
        <v>2522</v>
      </c>
      <c r="P14" s="44">
        <v>2569</v>
      </c>
      <c r="Q14" s="44">
        <v>2615</v>
      </c>
      <c r="R14" s="44">
        <v>2663</v>
      </c>
      <c r="S14" s="44">
        <v>2710</v>
      </c>
    </row>
    <row r="15" spans="1:19" ht="15" customHeight="1" x14ac:dyDescent="0.25">
      <c r="A15" s="43">
        <v>1550</v>
      </c>
      <c r="B15" s="44">
        <v>1945</v>
      </c>
      <c r="C15" s="44">
        <v>1996</v>
      </c>
      <c r="D15" s="44">
        <v>2046</v>
      </c>
      <c r="E15" s="44">
        <v>2096</v>
      </c>
      <c r="F15" s="44">
        <v>2144</v>
      </c>
      <c r="G15" s="44">
        <v>2196</v>
      </c>
      <c r="H15" s="44">
        <v>2247</v>
      </c>
      <c r="I15" s="44">
        <v>2294</v>
      </c>
      <c r="J15" s="44">
        <v>2344</v>
      </c>
      <c r="K15" s="44">
        <v>2395</v>
      </c>
      <c r="L15" s="44">
        <v>2445</v>
      </c>
      <c r="M15" s="44">
        <v>2496</v>
      </c>
      <c r="N15" s="44">
        <v>2547</v>
      </c>
      <c r="O15" s="44">
        <v>2597</v>
      </c>
      <c r="P15" s="44">
        <v>2648</v>
      </c>
      <c r="Q15" s="44">
        <v>2698</v>
      </c>
      <c r="R15" s="44">
        <v>2750</v>
      </c>
      <c r="S15" s="44">
        <v>2800</v>
      </c>
    </row>
    <row r="16" spans="1:19" ht="15" customHeight="1" x14ac:dyDescent="0.25">
      <c r="A16" s="43">
        <v>1650</v>
      </c>
      <c r="B16" s="44">
        <v>1994</v>
      </c>
      <c r="C16" s="44">
        <v>2046</v>
      </c>
      <c r="D16" s="44">
        <v>2098</v>
      </c>
      <c r="E16" s="44">
        <v>2147</v>
      </c>
      <c r="F16" s="44">
        <v>2200</v>
      </c>
      <c r="G16" s="44">
        <v>2251</v>
      </c>
      <c r="H16" s="44">
        <v>2304</v>
      </c>
      <c r="I16" s="44">
        <v>2353</v>
      </c>
      <c r="J16" s="44">
        <v>2405</v>
      </c>
      <c r="K16" s="44">
        <v>2455</v>
      </c>
      <c r="L16" s="44">
        <v>2510</v>
      </c>
      <c r="M16" s="44">
        <v>2564</v>
      </c>
      <c r="N16" s="44">
        <v>2618</v>
      </c>
      <c r="O16" s="44">
        <v>2673</v>
      </c>
      <c r="P16" s="44">
        <v>2727</v>
      </c>
      <c r="Q16" s="44">
        <v>2782</v>
      </c>
      <c r="R16" s="44">
        <v>2835</v>
      </c>
      <c r="S16" s="44">
        <v>2889</v>
      </c>
    </row>
    <row r="17" spans="1:19" ht="15" customHeight="1" x14ac:dyDescent="0.25">
      <c r="A17" s="43">
        <v>1750</v>
      </c>
      <c r="B17" s="44">
        <v>2041</v>
      </c>
      <c r="C17" s="44">
        <v>2095</v>
      </c>
      <c r="D17" s="44">
        <v>2147</v>
      </c>
      <c r="E17" s="44">
        <v>2202</v>
      </c>
      <c r="F17" s="44">
        <v>2254</v>
      </c>
      <c r="G17" s="44">
        <v>2308</v>
      </c>
      <c r="H17" s="44">
        <v>2362</v>
      </c>
      <c r="I17" s="44">
        <v>2414</v>
      </c>
      <c r="J17" s="44">
        <v>2467</v>
      </c>
      <c r="K17" s="44">
        <v>2521</v>
      </c>
      <c r="L17" s="44">
        <v>2573</v>
      </c>
      <c r="M17" s="44">
        <v>2627</v>
      </c>
      <c r="N17" s="44">
        <v>2680</v>
      </c>
      <c r="O17" s="44">
        <v>2732</v>
      </c>
      <c r="P17" s="44">
        <v>2786</v>
      </c>
      <c r="Q17" s="44">
        <v>2839</v>
      </c>
      <c r="R17" s="44">
        <v>2891</v>
      </c>
      <c r="S17" s="44">
        <v>2945</v>
      </c>
    </row>
    <row r="18" spans="1:19" ht="15" customHeight="1" x14ac:dyDescent="0.25">
      <c r="A18" s="43">
        <v>1850</v>
      </c>
      <c r="B18" s="44">
        <v>2091</v>
      </c>
      <c r="C18" s="44">
        <v>2144</v>
      </c>
      <c r="D18" s="44">
        <v>2200</v>
      </c>
      <c r="E18" s="44">
        <v>2254</v>
      </c>
      <c r="F18" s="44">
        <v>2310</v>
      </c>
      <c r="G18" s="44">
        <v>2364</v>
      </c>
      <c r="H18" s="44">
        <v>2418</v>
      </c>
      <c r="I18" s="44">
        <v>2475</v>
      </c>
      <c r="J18" s="44">
        <v>2530</v>
      </c>
      <c r="K18" s="44">
        <v>2582</v>
      </c>
      <c r="L18" s="44">
        <v>2638</v>
      </c>
      <c r="M18" s="44">
        <v>2693</v>
      </c>
      <c r="N18" s="44">
        <v>2750</v>
      </c>
      <c r="O18" s="44">
        <v>2805</v>
      </c>
      <c r="P18" s="44">
        <v>2860</v>
      </c>
      <c r="Q18" s="44">
        <v>2915</v>
      </c>
      <c r="R18" s="44">
        <v>2970</v>
      </c>
      <c r="S18" s="44">
        <v>3026</v>
      </c>
    </row>
    <row r="19" spans="1:19" ht="15" customHeight="1" x14ac:dyDescent="0.25">
      <c r="A19" s="43">
        <v>1950</v>
      </c>
      <c r="B19" s="44">
        <v>2138</v>
      </c>
      <c r="C19" s="44">
        <v>2195</v>
      </c>
      <c r="D19" s="44">
        <v>2250</v>
      </c>
      <c r="E19" s="44">
        <v>2308</v>
      </c>
      <c r="F19" s="44">
        <v>2364</v>
      </c>
      <c r="G19" s="44">
        <v>2419</v>
      </c>
      <c r="H19" s="44">
        <v>2477</v>
      </c>
      <c r="I19" s="44">
        <v>2533</v>
      </c>
      <c r="J19" s="44">
        <v>2588</v>
      </c>
      <c r="K19" s="44">
        <v>2646</v>
      </c>
      <c r="L19" s="44">
        <v>2703</v>
      </c>
      <c r="M19" s="44">
        <v>2759</v>
      </c>
      <c r="N19" s="44">
        <v>2814</v>
      </c>
      <c r="O19" s="44">
        <v>2871</v>
      </c>
      <c r="P19" s="44">
        <v>2927</v>
      </c>
      <c r="Q19" s="44">
        <v>2985</v>
      </c>
      <c r="R19" s="44">
        <v>3041</v>
      </c>
      <c r="S19" s="44">
        <v>3098</v>
      </c>
    </row>
    <row r="20" spans="1:19" ht="15" customHeight="1" x14ac:dyDescent="0.25">
      <c r="A20" s="43">
        <v>2050</v>
      </c>
      <c r="B20" s="44">
        <v>2184</v>
      </c>
      <c r="C20" s="44">
        <v>2244</v>
      </c>
      <c r="D20" s="44">
        <v>2303</v>
      </c>
      <c r="E20" s="44">
        <v>2360</v>
      </c>
      <c r="F20" s="44">
        <v>2418</v>
      </c>
      <c r="G20" s="44">
        <v>2476</v>
      </c>
      <c r="H20" s="44">
        <v>2534</v>
      </c>
      <c r="I20" s="44">
        <v>2593</v>
      </c>
      <c r="J20" s="44">
        <v>2649</v>
      </c>
      <c r="K20" s="44">
        <v>2707</v>
      </c>
      <c r="L20" s="44">
        <v>2764</v>
      </c>
      <c r="M20" s="44">
        <v>2822</v>
      </c>
      <c r="N20" s="44">
        <v>2880</v>
      </c>
      <c r="O20" s="44">
        <v>2938</v>
      </c>
      <c r="P20" s="44">
        <v>2995</v>
      </c>
      <c r="Q20" s="44">
        <v>3052</v>
      </c>
      <c r="R20" s="44">
        <v>3110</v>
      </c>
      <c r="S20" s="44">
        <v>3168</v>
      </c>
    </row>
    <row r="21" spans="1:19" ht="15" customHeight="1" x14ac:dyDescent="0.25">
      <c r="A21" s="43">
        <v>2150</v>
      </c>
      <c r="B21" s="44">
        <v>2233</v>
      </c>
      <c r="C21" s="44">
        <v>2292</v>
      </c>
      <c r="D21" s="44">
        <v>2352</v>
      </c>
      <c r="E21" s="44">
        <v>2411</v>
      </c>
      <c r="F21" s="44">
        <v>2474</v>
      </c>
      <c r="G21" s="44">
        <v>2532</v>
      </c>
      <c r="H21" s="44">
        <v>2593</v>
      </c>
      <c r="I21" s="44">
        <v>2650</v>
      </c>
      <c r="J21" s="44">
        <v>2709</v>
      </c>
      <c r="K21" s="44">
        <v>2768</v>
      </c>
      <c r="L21" s="44">
        <v>2830</v>
      </c>
      <c r="M21" s="44">
        <v>2889</v>
      </c>
      <c r="N21" s="44">
        <v>2949</v>
      </c>
      <c r="O21" s="44">
        <v>3009</v>
      </c>
      <c r="P21" s="44">
        <v>3070</v>
      </c>
      <c r="Q21" s="44">
        <v>3129</v>
      </c>
      <c r="R21" s="44">
        <v>3190</v>
      </c>
      <c r="S21" s="44">
        <v>3249</v>
      </c>
    </row>
    <row r="22" spans="1:19" ht="15" customHeight="1" x14ac:dyDescent="0.25">
      <c r="A22" s="43">
        <v>2250</v>
      </c>
      <c r="B22" s="44">
        <v>2284</v>
      </c>
      <c r="C22" s="44">
        <v>2342</v>
      </c>
      <c r="D22" s="44">
        <v>2402</v>
      </c>
      <c r="E22" s="44">
        <v>2465</v>
      </c>
      <c r="F22" s="44">
        <v>2528</v>
      </c>
      <c r="G22" s="44">
        <v>2587</v>
      </c>
      <c r="H22" s="44">
        <v>2649</v>
      </c>
      <c r="I22" s="44">
        <v>2709</v>
      </c>
      <c r="J22" s="44">
        <v>2770</v>
      </c>
      <c r="K22" s="44">
        <v>2832</v>
      </c>
      <c r="L22" s="44">
        <v>2891</v>
      </c>
      <c r="M22" s="44">
        <v>2951</v>
      </c>
      <c r="N22" s="44">
        <v>3012</v>
      </c>
      <c r="O22" s="44">
        <v>3072</v>
      </c>
      <c r="P22" s="44">
        <v>3131</v>
      </c>
      <c r="Q22" s="44">
        <v>3192</v>
      </c>
      <c r="R22" s="44">
        <v>3253</v>
      </c>
      <c r="S22" s="44">
        <v>3312</v>
      </c>
    </row>
    <row r="23" spans="1:19" ht="15" customHeight="1" x14ac:dyDescent="0.25">
      <c r="A23" s="43">
        <v>2350</v>
      </c>
      <c r="B23" s="44">
        <v>2310</v>
      </c>
      <c r="C23" s="44">
        <v>2370</v>
      </c>
      <c r="D23" s="44">
        <v>2429</v>
      </c>
      <c r="E23" s="44">
        <v>2491</v>
      </c>
      <c r="F23" s="44">
        <v>2556</v>
      </c>
      <c r="G23" s="44">
        <v>2615</v>
      </c>
      <c r="H23" s="44">
        <v>2676</v>
      </c>
      <c r="I23" s="44">
        <v>2741</v>
      </c>
      <c r="J23" s="44">
        <v>2802</v>
      </c>
      <c r="K23" s="44">
        <v>2865</v>
      </c>
      <c r="L23" s="44">
        <v>2925</v>
      </c>
      <c r="M23" s="44">
        <v>2988</v>
      </c>
      <c r="N23" s="44">
        <v>3048</v>
      </c>
      <c r="O23" s="44">
        <v>3109</v>
      </c>
      <c r="P23" s="44">
        <v>3171</v>
      </c>
      <c r="Q23" s="44">
        <v>3232</v>
      </c>
      <c r="R23" s="44">
        <v>3294</v>
      </c>
      <c r="S23" s="44">
        <v>3355</v>
      </c>
    </row>
    <row r="24" spans="1:19" ht="15" customHeight="1" x14ac:dyDescent="0.25">
      <c r="A24" s="43">
        <v>2450</v>
      </c>
      <c r="B24" s="44">
        <v>2321</v>
      </c>
      <c r="C24" s="44">
        <v>2379</v>
      </c>
      <c r="D24" s="44">
        <v>2441</v>
      </c>
      <c r="E24" s="44">
        <v>2502</v>
      </c>
      <c r="F24" s="44">
        <v>2570</v>
      </c>
      <c r="G24" s="44">
        <v>2629</v>
      </c>
      <c r="H24" s="44">
        <v>2692</v>
      </c>
      <c r="I24" s="44">
        <v>2754</v>
      </c>
      <c r="J24" s="44">
        <v>2817</v>
      </c>
      <c r="K24" s="44">
        <v>2879</v>
      </c>
      <c r="L24" s="44">
        <v>2939</v>
      </c>
      <c r="M24" s="44">
        <v>2999</v>
      </c>
      <c r="N24" s="44">
        <v>3060</v>
      </c>
      <c r="O24" s="44">
        <v>3119</v>
      </c>
      <c r="P24" s="44">
        <v>3179</v>
      </c>
      <c r="Q24" s="44">
        <v>3239</v>
      </c>
      <c r="R24" s="44">
        <v>3300</v>
      </c>
      <c r="S24" s="44">
        <v>3359</v>
      </c>
    </row>
    <row r="25" spans="1:19" ht="15" customHeight="1" x14ac:dyDescent="0.25">
      <c r="A25" s="43">
        <v>2500</v>
      </c>
      <c r="B25" s="44">
        <v>2333</v>
      </c>
      <c r="C25" s="44">
        <v>2391</v>
      </c>
      <c r="D25" s="44">
        <v>2452</v>
      </c>
      <c r="E25" s="44">
        <v>2515</v>
      </c>
      <c r="F25" s="44">
        <v>2584</v>
      </c>
      <c r="G25" s="44">
        <v>2641</v>
      </c>
      <c r="H25" s="44">
        <v>2709</v>
      </c>
      <c r="I25" s="44">
        <v>2766</v>
      </c>
      <c r="J25" s="44">
        <v>2833</v>
      </c>
      <c r="K25" s="44">
        <v>2892</v>
      </c>
      <c r="L25" s="44">
        <v>2951</v>
      </c>
      <c r="M25" s="44">
        <v>3011</v>
      </c>
      <c r="N25" s="44">
        <v>3070</v>
      </c>
      <c r="O25" s="44">
        <v>3128</v>
      </c>
      <c r="P25" s="44">
        <v>3187</v>
      </c>
      <c r="Q25" s="44">
        <v>3246</v>
      </c>
      <c r="R25" s="44">
        <v>3305</v>
      </c>
      <c r="S25" s="44">
        <v>3363</v>
      </c>
    </row>
    <row r="26" spans="1:19" ht="15" customHeight="1" x14ac:dyDescent="0.25">
      <c r="A26" s="46" t="s">
        <v>243</v>
      </c>
      <c r="B26" s="47">
        <v>263</v>
      </c>
      <c r="C26" s="47">
        <v>271</v>
      </c>
      <c r="D26" s="47">
        <v>280</v>
      </c>
      <c r="E26" s="47">
        <v>285</v>
      </c>
      <c r="F26" s="47">
        <v>292</v>
      </c>
      <c r="G26" s="47">
        <v>298</v>
      </c>
      <c r="H26" s="47">
        <v>314</v>
      </c>
      <c r="I26" s="47">
        <v>321</v>
      </c>
      <c r="J26" s="47">
        <v>327</v>
      </c>
      <c r="K26" s="47">
        <v>334</v>
      </c>
      <c r="L26" s="47">
        <v>341</v>
      </c>
      <c r="M26" s="47">
        <v>338</v>
      </c>
      <c r="N26" s="47">
        <v>357</v>
      </c>
      <c r="O26" s="47">
        <v>362</v>
      </c>
      <c r="P26" s="47">
        <v>370</v>
      </c>
      <c r="Q26" s="47">
        <v>375</v>
      </c>
      <c r="R26" s="47">
        <v>382</v>
      </c>
      <c r="S26" s="47">
        <v>399</v>
      </c>
    </row>
    <row r="28" spans="1:19" ht="15" customHeight="1" x14ac:dyDescent="0.25">
      <c r="A28" s="121" t="s">
        <v>262</v>
      </c>
      <c r="B28" s="93"/>
      <c r="C28" s="93"/>
      <c r="D28" s="93"/>
      <c r="E28" s="93"/>
      <c r="F28" s="93"/>
      <c r="G28" s="93"/>
      <c r="H28" s="93"/>
      <c r="I28" s="93"/>
      <c r="J28" s="93"/>
      <c r="K28" s="93"/>
      <c r="L28" s="93"/>
      <c r="M28" s="93"/>
      <c r="N28" s="93"/>
      <c r="O28" s="93"/>
      <c r="P28" s="93"/>
      <c r="Q28" s="93"/>
      <c r="R28" s="93"/>
      <c r="S28" s="93"/>
    </row>
    <row r="29" spans="1:19" ht="15" customHeight="1" x14ac:dyDescent="0.25">
      <c r="A29" s="48" t="s">
        <v>263</v>
      </c>
      <c r="B29" s="49">
        <f>Paramètres!$B$2</f>
        <v>0.51500000000000001</v>
      </c>
    </row>
    <row r="30" spans="1:19" ht="15" customHeight="1" x14ac:dyDescent="0.25">
      <c r="A30" s="43" t="s">
        <v>260</v>
      </c>
      <c r="B30" s="43">
        <v>700</v>
      </c>
      <c r="C30" s="43">
        <v>800</v>
      </c>
      <c r="D30" s="43">
        <v>900</v>
      </c>
      <c r="E30" s="43">
        <v>1000</v>
      </c>
      <c r="F30" s="43">
        <v>1100</v>
      </c>
      <c r="G30" s="43">
        <v>1200</v>
      </c>
      <c r="H30" s="43">
        <v>1300</v>
      </c>
      <c r="I30" s="43">
        <v>1400</v>
      </c>
      <c r="J30" s="43">
        <v>1500</v>
      </c>
      <c r="K30" s="43">
        <v>1600</v>
      </c>
      <c r="L30" s="43">
        <v>1700</v>
      </c>
      <c r="M30" s="43">
        <v>1800</v>
      </c>
      <c r="N30" s="43">
        <v>1900</v>
      </c>
      <c r="O30" s="43">
        <v>2000</v>
      </c>
      <c r="P30" s="43">
        <v>2100</v>
      </c>
      <c r="Q30" s="43">
        <v>2200</v>
      </c>
      <c r="R30" s="43">
        <v>2300</v>
      </c>
      <c r="S30" s="43">
        <v>2400</v>
      </c>
    </row>
    <row r="31" spans="1:19" ht="15" customHeight="1" x14ac:dyDescent="0.25">
      <c r="A31" s="43">
        <v>550</v>
      </c>
      <c r="B31" s="53">
        <f>IF(B5="","",B5*(1-Paramètres!$B$2))</f>
        <v>711.495</v>
      </c>
      <c r="C31" s="53">
        <f>IF(C5="","",C5*(1-Paramètres!$B$2))</f>
        <v>727.98500000000001</v>
      </c>
      <c r="D31" s="53">
        <f>IF(D5="","",D5*(1-Paramètres!$B$2))</f>
        <v>744.47500000000002</v>
      </c>
      <c r="E31" s="53">
        <f>IF(E5="","",E5*(1-Paramètres!$B$2))</f>
        <v>759.02499999999998</v>
      </c>
      <c r="F31" s="53">
        <f>IF(F5="","",F5*(1-Paramètres!$B$2))</f>
        <v>776</v>
      </c>
      <c r="G31" s="53">
        <f>IF(G5="","",G5*(1-Paramètres!$B$2))</f>
        <v>792.97500000000002</v>
      </c>
      <c r="H31" s="54" t="str">
        <f>IF(H5="","",H5*(1-Paramètres!$B$2))</f>
        <v/>
      </c>
      <c r="I31" s="54" t="str">
        <f>IF(I5="","",I5*(1-Paramètres!$B$2))</f>
        <v/>
      </c>
      <c r="J31" s="54" t="str">
        <f>IF(J5="","",J5*(1-Paramètres!$B$2))</f>
        <v/>
      </c>
      <c r="K31" s="54" t="str">
        <f>IF(K5="","",K5*(1-Paramètres!$B$2))</f>
        <v/>
      </c>
      <c r="L31" s="54" t="str">
        <f>IF(L5="","",L5*(1-Paramètres!$B$2))</f>
        <v/>
      </c>
      <c r="M31" s="54" t="str">
        <f>IF(M5="","",M5*(1-Paramètres!$B$2))</f>
        <v/>
      </c>
      <c r="N31" s="54" t="str">
        <f>IF(N5="","",N5*(1-Paramètres!$B$2))</f>
        <v/>
      </c>
      <c r="O31" s="54" t="str">
        <f>IF(O5="","",O5*(1-Paramètres!$B$2))</f>
        <v/>
      </c>
      <c r="P31" s="54" t="str">
        <f>IF(P5="","",P5*(1-Paramètres!$B$2))</f>
        <v/>
      </c>
      <c r="Q31" s="54" t="str">
        <f>IF(Q5="","",Q5*(1-Paramètres!$B$2))</f>
        <v/>
      </c>
      <c r="R31" s="54" t="str">
        <f>IF(R5="","",R5*(1-Paramètres!$B$2))</f>
        <v/>
      </c>
      <c r="S31" s="54" t="str">
        <f>IF(S5="","",S5*(1-Paramètres!$B$2))</f>
        <v/>
      </c>
    </row>
    <row r="32" spans="1:19" ht="15" customHeight="1" x14ac:dyDescent="0.25">
      <c r="A32" s="43">
        <v>650</v>
      </c>
      <c r="B32" s="53">
        <f>IF(B6="","",B6*(1-Paramètres!$B$2))</f>
        <v>733.31999999999994</v>
      </c>
      <c r="C32" s="53">
        <f>IF(C6="","",C6*(1-Paramètres!$B$2))</f>
        <v>751.26499999999999</v>
      </c>
      <c r="D32" s="53">
        <f>IF(D6="","",D6*(1-Paramètres!$B$2))</f>
        <v>768.72500000000002</v>
      </c>
      <c r="E32" s="53">
        <f>IF(E6="","",E6*(1-Paramètres!$B$2))</f>
        <v>785.69999999999993</v>
      </c>
      <c r="F32" s="53">
        <f>IF(F6="","",F6*(1-Paramètres!$B$2))</f>
        <v>803.16</v>
      </c>
      <c r="G32" s="53">
        <f>IF(G6="","",G6*(1-Paramètres!$B$2))</f>
        <v>820.13499999999999</v>
      </c>
      <c r="H32" s="53">
        <f>IF(H6="","",H6*(1-Paramètres!$B$2))</f>
        <v>837.59500000000003</v>
      </c>
      <c r="I32" s="53">
        <f>IF(I6="","",I6*(1-Paramètres!$B$2))</f>
        <v>856.02499999999998</v>
      </c>
      <c r="J32" s="54" t="str">
        <f>IF(J6="","",J6*(1-Paramètres!$B$2))</f>
        <v/>
      </c>
      <c r="K32" s="54" t="str">
        <f>IF(K6="","",K6*(1-Paramètres!$B$2))</f>
        <v/>
      </c>
      <c r="L32" s="54" t="str">
        <f>IF(L6="","",L6*(1-Paramètres!$B$2))</f>
        <v/>
      </c>
      <c r="M32" s="54" t="str">
        <f>IF(M6="","",M6*(1-Paramètres!$B$2))</f>
        <v/>
      </c>
      <c r="N32" s="54" t="str">
        <f>IF(N6="","",N6*(1-Paramètres!$B$2))</f>
        <v/>
      </c>
      <c r="O32" s="54" t="str">
        <f>IF(O6="","",O6*(1-Paramètres!$B$2))</f>
        <v/>
      </c>
      <c r="P32" s="54" t="str">
        <f>IF(P6="","",P6*(1-Paramètres!$B$2))</f>
        <v/>
      </c>
      <c r="Q32" s="54" t="str">
        <f>IF(Q6="","",Q6*(1-Paramètres!$B$2))</f>
        <v/>
      </c>
      <c r="R32" s="54" t="str">
        <f>IF(R6="","",R6*(1-Paramètres!$B$2))</f>
        <v/>
      </c>
      <c r="S32" s="54" t="str">
        <f>IF(S6="","",S6*(1-Paramètres!$B$2))</f>
        <v/>
      </c>
    </row>
    <row r="33" spans="1:19" ht="15" customHeight="1" x14ac:dyDescent="0.25">
      <c r="A33" s="43">
        <v>750</v>
      </c>
      <c r="B33" s="53">
        <f>IF(B7="","",B7*(1-Paramètres!$B$2))</f>
        <v>756.11500000000001</v>
      </c>
      <c r="C33" s="53">
        <f>IF(C7="","",C7*(1-Paramètres!$B$2))</f>
        <v>774.54499999999996</v>
      </c>
      <c r="D33" s="53">
        <f>IF(D7="","",D7*(1-Paramètres!$B$2))</f>
        <v>792.97500000000002</v>
      </c>
      <c r="E33" s="53">
        <f>IF(E7="","",E7*(1-Paramètres!$B$2))</f>
        <v>810.92</v>
      </c>
      <c r="F33" s="53">
        <f>IF(F7="","",F7*(1-Paramètres!$B$2))</f>
        <v>830.31999999999994</v>
      </c>
      <c r="G33" s="53">
        <f>IF(G7="","",G7*(1-Paramètres!$B$2))</f>
        <v>847.29499999999996</v>
      </c>
      <c r="H33" s="53">
        <f>IF(H7="","",H7*(1-Paramètres!$B$2))</f>
        <v>864.755</v>
      </c>
      <c r="I33" s="53">
        <f>IF(I7="","",I7*(1-Paramètres!$B$2))</f>
        <v>884.15499999999997</v>
      </c>
      <c r="J33" s="53">
        <f>IF(J7="","",J7*(1-Paramètres!$B$2))</f>
        <v>901.13</v>
      </c>
      <c r="K33" s="53">
        <f>IF(K7="","",K7*(1-Paramètres!$B$2))</f>
        <v>919.56</v>
      </c>
      <c r="L33" s="54" t="str">
        <f>IF(L7="","",L7*(1-Paramètres!$B$2))</f>
        <v/>
      </c>
      <c r="M33" s="54" t="str">
        <f>IF(M7="","",M7*(1-Paramètres!$B$2))</f>
        <v/>
      </c>
      <c r="N33" s="54" t="str">
        <f>IF(N7="","",N7*(1-Paramètres!$B$2))</f>
        <v/>
      </c>
      <c r="O33" s="54" t="str">
        <f>IF(O7="","",O7*(1-Paramètres!$B$2))</f>
        <v/>
      </c>
      <c r="P33" s="54" t="str">
        <f>IF(P7="","",P7*(1-Paramètres!$B$2))</f>
        <v/>
      </c>
      <c r="Q33" s="54" t="str">
        <f>IF(Q7="","",Q7*(1-Paramètres!$B$2))</f>
        <v/>
      </c>
      <c r="R33" s="54" t="str">
        <f>IF(R7="","",R7*(1-Paramètres!$B$2))</f>
        <v/>
      </c>
      <c r="S33" s="54" t="str">
        <f>IF(S7="","",S7*(1-Paramètres!$B$2))</f>
        <v/>
      </c>
    </row>
    <row r="34" spans="1:19" ht="15" customHeight="1" x14ac:dyDescent="0.25">
      <c r="A34" s="43">
        <v>850</v>
      </c>
      <c r="B34" s="53">
        <f>IF(B8="","",B8*(1-Paramètres!$B$2))</f>
        <v>779.88</v>
      </c>
      <c r="C34" s="53">
        <f>IF(C8="","",C8*(1-Paramètres!$B$2))</f>
        <v>798.31</v>
      </c>
      <c r="D34" s="53">
        <f>IF(D8="","",D8*(1-Paramètres!$B$2))</f>
        <v>818.19499999999994</v>
      </c>
      <c r="E34" s="53">
        <f>IF(E8="","",E8*(1-Paramètres!$B$2))</f>
        <v>837.11</v>
      </c>
      <c r="F34" s="53">
        <f>IF(F8="","",F8*(1-Paramètres!$B$2))</f>
        <v>856.51</v>
      </c>
      <c r="G34" s="53">
        <f>IF(G8="","",G8*(1-Paramètres!$B$2))</f>
        <v>874.93999999999994</v>
      </c>
      <c r="H34" s="53">
        <f>IF(H8="","",H8*(1-Paramètres!$B$2))</f>
        <v>894.34</v>
      </c>
      <c r="I34" s="53">
        <f>IF(I8="","",I8*(1-Paramètres!$B$2))</f>
        <v>912.28499999999997</v>
      </c>
      <c r="J34" s="53">
        <f>IF(J8="","",J8*(1-Paramètres!$B$2))</f>
        <v>931.68499999999995</v>
      </c>
      <c r="K34" s="53">
        <f>IF(K8="","",K8*(1-Paramètres!$B$2))</f>
        <v>950.11500000000001</v>
      </c>
      <c r="L34" s="53">
        <f>IF(L8="","",L8*(1-Paramètres!$B$2))</f>
        <v>969.03</v>
      </c>
      <c r="M34" s="54" t="str">
        <f>IF(M8="","",M8*(1-Paramètres!$B$2))</f>
        <v/>
      </c>
      <c r="N34" s="54" t="str">
        <f>IF(N8="","",N8*(1-Paramètres!$B$2))</f>
        <v/>
      </c>
      <c r="O34" s="54" t="str">
        <f>IF(O8="","",O8*(1-Paramètres!$B$2))</f>
        <v/>
      </c>
      <c r="P34" s="54" t="str">
        <f>IF(P8="","",P8*(1-Paramètres!$B$2))</f>
        <v/>
      </c>
      <c r="Q34" s="54" t="str">
        <f>IF(Q8="","",Q8*(1-Paramètres!$B$2))</f>
        <v/>
      </c>
      <c r="R34" s="54" t="str">
        <f>IF(R8="","",R8*(1-Paramètres!$B$2))</f>
        <v/>
      </c>
      <c r="S34" s="54" t="str">
        <f>IF(S8="","",S8*(1-Paramètres!$B$2))</f>
        <v/>
      </c>
    </row>
    <row r="35" spans="1:19" ht="15" customHeight="1" x14ac:dyDescent="0.25">
      <c r="A35" s="43">
        <v>950</v>
      </c>
      <c r="B35" s="53">
        <f>IF(B9="","",B9*(1-Paramètres!$B$2))</f>
        <v>803.16</v>
      </c>
      <c r="C35" s="53">
        <f>IF(C9="","",C9*(1-Paramètres!$B$2))</f>
        <v>823.04499999999996</v>
      </c>
      <c r="D35" s="53">
        <f>IF(D9="","",D9*(1-Paramètres!$B$2))</f>
        <v>842.44499999999994</v>
      </c>
      <c r="E35" s="53">
        <f>IF(E9="","",E9*(1-Paramètres!$B$2))</f>
        <v>862.32999999999993</v>
      </c>
      <c r="F35" s="53">
        <f>IF(F9="","",F9*(1-Paramètres!$B$2))</f>
        <v>881.73</v>
      </c>
      <c r="G35" s="53">
        <f>IF(G9="","",G9*(1-Paramètres!$B$2))</f>
        <v>901.13</v>
      </c>
      <c r="H35" s="53">
        <f>IF(H9="","",H9*(1-Paramètres!$B$2))</f>
        <v>920.53</v>
      </c>
      <c r="I35" s="53">
        <f>IF(I9="","",I9*(1-Paramètres!$B$2))</f>
        <v>940.41499999999996</v>
      </c>
      <c r="J35" s="53">
        <f>IF(J9="","",J9*(1-Paramètres!$B$2))</f>
        <v>961.27</v>
      </c>
      <c r="K35" s="53">
        <f>IF(K9="","",K9*(1-Paramètres!$B$2))</f>
        <v>980.18499999999995</v>
      </c>
      <c r="L35" s="53">
        <f>IF(L9="","",L9*(1-Paramètres!$B$2))</f>
        <v>1000.0699999999999</v>
      </c>
      <c r="M35" s="53">
        <f>IF(M9="","",M9*(1-Paramètres!$B$2))</f>
        <v>1019.9549999999999</v>
      </c>
      <c r="N35" s="53">
        <f>IF(N9="","",N9*(1-Paramètres!$B$2))</f>
        <v>1039.8399999999999</v>
      </c>
      <c r="O35" s="53">
        <f>IF(O9="","",O9*(1-Paramètres!$B$2))</f>
        <v>1059.7249999999999</v>
      </c>
      <c r="P35" s="53">
        <f>IF(P9="","",P9*(1-Paramètres!$B$2))</f>
        <v>1079.6099999999999</v>
      </c>
      <c r="Q35" s="53">
        <f>IF(Q9="","",Q9*(1-Paramètres!$B$2))</f>
        <v>1099.98</v>
      </c>
      <c r="R35" s="53">
        <f>IF(R9="","",R9*(1-Paramètres!$B$2))</f>
        <v>1120.3499999999999</v>
      </c>
      <c r="S35" s="53">
        <f>IF(S9="","",S9*(1-Paramètres!$B$2))</f>
        <v>1140.2349999999999</v>
      </c>
    </row>
    <row r="36" spans="1:19" ht="15" customHeight="1" x14ac:dyDescent="0.25">
      <c r="A36" s="43">
        <v>1050</v>
      </c>
      <c r="B36" s="53">
        <f>IF(B10="","",B10*(1-Paramètres!$B$2))</f>
        <v>828.38</v>
      </c>
      <c r="C36" s="53">
        <f>IF(C10="","",C10*(1-Paramètres!$B$2))</f>
        <v>847.29499999999996</v>
      </c>
      <c r="D36" s="53">
        <f>IF(D10="","",D10*(1-Paramètres!$B$2))</f>
        <v>867.66499999999996</v>
      </c>
      <c r="E36" s="53">
        <f>IF(E10="","",E10*(1-Paramètres!$B$2))</f>
        <v>887.55</v>
      </c>
      <c r="F36" s="53">
        <f>IF(F10="","",F10*(1-Paramètres!$B$2))</f>
        <v>908.40499999999997</v>
      </c>
      <c r="G36" s="53">
        <f>IF(G10="","",G10*(1-Paramètres!$B$2))</f>
        <v>927.80499999999995</v>
      </c>
      <c r="H36" s="53">
        <f>IF(H10="","",H10*(1-Paramètres!$B$2))</f>
        <v>948.66</v>
      </c>
      <c r="I36" s="53">
        <f>IF(I10="","",I10*(1-Paramètres!$B$2))</f>
        <v>969.51499999999999</v>
      </c>
      <c r="J36" s="53">
        <f>IF(J10="","",J10*(1-Paramètres!$B$2))</f>
        <v>989.88499999999999</v>
      </c>
      <c r="K36" s="53">
        <f>IF(K10="","",K10*(1-Paramètres!$B$2))</f>
        <v>1011.225</v>
      </c>
      <c r="L36" s="53">
        <f>IF(L10="","",L10*(1-Paramètres!$B$2))</f>
        <v>1030.625</v>
      </c>
      <c r="M36" s="53">
        <f>IF(M10="","",M10*(1-Paramètres!$B$2))</f>
        <v>1050.0249999999999</v>
      </c>
      <c r="N36" s="53">
        <f>IF(N10="","",N10*(1-Paramètres!$B$2))</f>
        <v>1069.425</v>
      </c>
      <c r="O36" s="53">
        <f>IF(O10="","",O10*(1-Paramètres!$B$2))</f>
        <v>1088.825</v>
      </c>
      <c r="P36" s="53">
        <f>IF(P10="","",P10*(1-Paramètres!$B$2))</f>
        <v>1108.2249999999999</v>
      </c>
      <c r="Q36" s="53">
        <f>IF(Q10="","",Q10*(1-Paramètres!$B$2))</f>
        <v>1127.625</v>
      </c>
      <c r="R36" s="53">
        <f>IF(R10="","",R10*(1-Paramètres!$B$2))</f>
        <v>1147.0249999999999</v>
      </c>
      <c r="S36" s="53">
        <f>IF(S10="","",S10*(1-Paramètres!$B$2))</f>
        <v>1166.425</v>
      </c>
    </row>
    <row r="37" spans="1:19" ht="15" customHeight="1" x14ac:dyDescent="0.25">
      <c r="A37" s="43">
        <v>1150</v>
      </c>
      <c r="B37" s="53">
        <f>IF(B11="","",B11*(1-Paramètres!$B$2))</f>
        <v>849.72</v>
      </c>
      <c r="C37" s="53">
        <f>IF(C11="","",C11*(1-Paramètres!$B$2))</f>
        <v>870.57499999999993</v>
      </c>
      <c r="D37" s="53">
        <f>IF(D11="","",D11*(1-Paramètres!$B$2))</f>
        <v>893.37</v>
      </c>
      <c r="E37" s="53">
        <f>IF(E11="","",E11*(1-Paramètres!$B$2))</f>
        <v>914.22500000000002</v>
      </c>
      <c r="F37" s="53">
        <f>IF(F11="","",F11*(1-Paramètres!$B$2))</f>
        <v>935.56499999999994</v>
      </c>
      <c r="G37" s="53">
        <f>IF(G11="","",G11*(1-Paramètres!$B$2))</f>
        <v>956.90499999999997</v>
      </c>
      <c r="H37" s="53">
        <f>IF(H11="","",H11*(1-Paramètres!$B$2))</f>
        <v>976.30499999999995</v>
      </c>
      <c r="I37" s="53">
        <f>IF(I11="","",I11*(1-Paramètres!$B$2))</f>
        <v>998.13</v>
      </c>
      <c r="J37" s="53">
        <f>IF(J11="","",J11*(1-Paramètres!$B$2))</f>
        <v>1019.47</v>
      </c>
      <c r="K37" s="53">
        <f>IF(K11="","",K11*(1-Paramètres!$B$2))</f>
        <v>1040.325</v>
      </c>
      <c r="L37" s="53">
        <f>IF(L11="","",L11*(1-Paramètres!$B$2))</f>
        <v>1060.6949999999999</v>
      </c>
      <c r="M37" s="53">
        <f>IF(M11="","",M11*(1-Paramètres!$B$2))</f>
        <v>1080.58</v>
      </c>
      <c r="N37" s="53">
        <f>IF(N11="","",N11*(1-Paramètres!$B$2))</f>
        <v>1100.95</v>
      </c>
      <c r="O37" s="53">
        <f>IF(O11="","",O11*(1-Paramètres!$B$2))</f>
        <v>1120.835</v>
      </c>
      <c r="P37" s="53">
        <f>IF(P11="","",P11*(1-Paramètres!$B$2))</f>
        <v>1140.72</v>
      </c>
      <c r="Q37" s="53">
        <f>IF(Q11="","",Q11*(1-Paramètres!$B$2))</f>
        <v>1161.0899999999999</v>
      </c>
      <c r="R37" s="53">
        <f>IF(R11="","",R11*(1-Paramètres!$B$2))</f>
        <v>1180.49</v>
      </c>
      <c r="S37" s="53">
        <f>IF(S11="","",S11*(1-Paramètres!$B$2))</f>
        <v>1200.8599999999999</v>
      </c>
    </row>
    <row r="38" spans="1:19" ht="15" customHeight="1" x14ac:dyDescent="0.25">
      <c r="A38" s="43">
        <v>1250</v>
      </c>
      <c r="B38" s="53">
        <f>IF(B12="","",B12*(1-Paramètres!$B$2))</f>
        <v>874.45499999999993</v>
      </c>
      <c r="C38" s="53">
        <f>IF(C12="","",C12*(1-Paramètres!$B$2))</f>
        <v>895.79499999999996</v>
      </c>
      <c r="D38" s="53">
        <f>IF(D12="","",D12*(1-Paramètres!$B$2))</f>
        <v>917.62</v>
      </c>
      <c r="E38" s="53">
        <f>IF(E12="","",E12*(1-Paramètres!$B$2))</f>
        <v>939.44499999999994</v>
      </c>
      <c r="F38" s="53">
        <f>IF(F12="","",F12*(1-Paramètres!$B$2))</f>
        <v>961.755</v>
      </c>
      <c r="G38" s="53">
        <f>IF(G12="","",G12*(1-Paramètres!$B$2))</f>
        <v>983.57999999999993</v>
      </c>
      <c r="H38" s="53">
        <f>IF(H12="","",H12*(1-Paramètres!$B$2))</f>
        <v>1005.405</v>
      </c>
      <c r="I38" s="53">
        <f>IF(I12="","",I12*(1-Paramètres!$B$2))</f>
        <v>1027.23</v>
      </c>
      <c r="J38" s="53">
        <f>IF(J12="","",J12*(1-Paramètres!$B$2))</f>
        <v>1048.57</v>
      </c>
      <c r="K38" s="53">
        <f>IF(K12="","",K12*(1-Paramètres!$B$2))</f>
        <v>1070.8799999999999</v>
      </c>
      <c r="L38" s="53">
        <f>IF(L12="","",L12*(1-Paramètres!$B$2))</f>
        <v>1093.19</v>
      </c>
      <c r="M38" s="53">
        <f>IF(M12="","",M12*(1-Paramètres!$B$2))</f>
        <v>1115.0149999999999</v>
      </c>
      <c r="N38" s="53">
        <f>IF(N12="","",N12*(1-Paramètres!$B$2))</f>
        <v>1137.325</v>
      </c>
      <c r="O38" s="53">
        <f>IF(O12="","",O12*(1-Paramètres!$B$2))</f>
        <v>1160.605</v>
      </c>
      <c r="P38" s="53">
        <f>IF(P12="","",P12*(1-Paramètres!$B$2))</f>
        <v>1182.915</v>
      </c>
      <c r="Q38" s="53">
        <f>IF(Q12="","",Q12*(1-Paramètres!$B$2))</f>
        <v>1204.74</v>
      </c>
      <c r="R38" s="53">
        <f>IF(R12="","",R12*(1-Paramètres!$B$2))</f>
        <v>1227.05</v>
      </c>
      <c r="S38" s="53">
        <f>IF(S12="","",S12*(1-Paramètres!$B$2))</f>
        <v>1249.3599999999999</v>
      </c>
    </row>
    <row r="39" spans="1:19" ht="15" customHeight="1" x14ac:dyDescent="0.25">
      <c r="A39" s="43">
        <v>1350</v>
      </c>
      <c r="B39" s="53">
        <f>IF(B13="","",B13*(1-Paramètres!$B$2))</f>
        <v>896.28</v>
      </c>
      <c r="C39" s="53">
        <f>IF(C13="","",C13*(1-Paramètres!$B$2))</f>
        <v>919.07499999999993</v>
      </c>
      <c r="D39" s="53">
        <f>IF(D13="","",D13*(1-Paramètres!$B$2))</f>
        <v>941.87</v>
      </c>
      <c r="E39" s="53">
        <f>IF(E13="","",E13*(1-Paramètres!$B$2))</f>
        <v>964.66499999999996</v>
      </c>
      <c r="F39" s="53">
        <f>IF(F13="","",F13*(1-Paramètres!$B$2))</f>
        <v>988.43</v>
      </c>
      <c r="G39" s="53">
        <f>IF(G13="","",G13*(1-Paramètres!$B$2))</f>
        <v>1010.74</v>
      </c>
      <c r="H39" s="53">
        <f>IF(H13="","",H13*(1-Paramètres!$B$2))</f>
        <v>1032.08</v>
      </c>
      <c r="I39" s="53">
        <f>IF(I13="","",I13*(1-Paramètres!$B$2))</f>
        <v>1055.845</v>
      </c>
      <c r="J39" s="53">
        <f>IF(J13="","",J13*(1-Paramètres!$B$2))</f>
        <v>1078.6399999999999</v>
      </c>
      <c r="K39" s="53">
        <f>IF(K13="","",K13*(1-Paramètres!$B$2))</f>
        <v>1101.4349999999999</v>
      </c>
      <c r="L39" s="53">
        <f>IF(L13="","",L13*(1-Paramètres!$B$2))</f>
        <v>1124.23</v>
      </c>
      <c r="M39" s="53">
        <f>IF(M13="","",M13*(1-Paramètres!$B$2))</f>
        <v>1147.0249999999999</v>
      </c>
      <c r="N39" s="53">
        <f>IF(N13="","",N13*(1-Paramètres!$B$2))</f>
        <v>1169.82</v>
      </c>
      <c r="O39" s="53">
        <f>IF(O13="","",O13*(1-Paramètres!$B$2))</f>
        <v>1192.1299999999999</v>
      </c>
      <c r="P39" s="53">
        <f>IF(P13="","",P13*(1-Paramètres!$B$2))</f>
        <v>1215.895</v>
      </c>
      <c r="Q39" s="53">
        <f>IF(Q13="","",Q13*(1-Paramètres!$B$2))</f>
        <v>1238.69</v>
      </c>
      <c r="R39" s="53">
        <f>IF(R13="","",R13*(1-Paramètres!$B$2))</f>
        <v>1261.4849999999999</v>
      </c>
      <c r="S39" s="53">
        <f>IF(S13="","",S13*(1-Paramètres!$B$2))</f>
        <v>1284.28</v>
      </c>
    </row>
    <row r="40" spans="1:19" ht="15" customHeight="1" x14ac:dyDescent="0.25">
      <c r="A40" s="43">
        <v>1450</v>
      </c>
      <c r="B40" s="53">
        <f>IF(B14="","",B14*(1-Paramètres!$B$2))</f>
        <v>920.04499999999996</v>
      </c>
      <c r="C40" s="53">
        <f>IF(C14="","",C14*(1-Paramètres!$B$2))</f>
        <v>944.29499999999996</v>
      </c>
      <c r="D40" s="53">
        <f>IF(D14="","",D14*(1-Paramètres!$B$2))</f>
        <v>967.08999999999992</v>
      </c>
      <c r="E40" s="53">
        <f>IF(E14="","",E14*(1-Paramètres!$B$2))</f>
        <v>990.37</v>
      </c>
      <c r="F40" s="53">
        <f>IF(F14="","",F14*(1-Paramètres!$B$2))</f>
        <v>1014.62</v>
      </c>
      <c r="G40" s="53">
        <f>IF(G14="","",G14*(1-Paramètres!$B$2))</f>
        <v>1037.415</v>
      </c>
      <c r="H40" s="53">
        <f>IF(H14="","",H14*(1-Paramètres!$B$2))</f>
        <v>1059.7249999999999</v>
      </c>
      <c r="I40" s="53">
        <f>IF(I14="","",I14*(1-Paramètres!$B$2))</f>
        <v>1083.9749999999999</v>
      </c>
      <c r="J40" s="53">
        <f>IF(J14="","",J14*(1-Paramètres!$B$2))</f>
        <v>1108.2249999999999</v>
      </c>
      <c r="K40" s="53">
        <f>IF(K14="","",K14*(1-Paramètres!$B$2))</f>
        <v>1131.5049999999999</v>
      </c>
      <c r="L40" s="53">
        <f>IF(L14="","",L14*(1-Paramètres!$B$2))</f>
        <v>1153.8150000000001</v>
      </c>
      <c r="M40" s="53">
        <f>IF(M14="","",M14*(1-Paramètres!$B$2))</f>
        <v>1177.58</v>
      </c>
      <c r="N40" s="53">
        <f>IF(N14="","",N14*(1-Paramètres!$B$2))</f>
        <v>1200.375</v>
      </c>
      <c r="O40" s="53">
        <f>IF(O14="","",O14*(1-Paramètres!$B$2))</f>
        <v>1223.17</v>
      </c>
      <c r="P40" s="53">
        <f>IF(P14="","",P14*(1-Paramètres!$B$2))</f>
        <v>1245.9649999999999</v>
      </c>
      <c r="Q40" s="53">
        <f>IF(Q14="","",Q14*(1-Paramètres!$B$2))</f>
        <v>1268.2749999999999</v>
      </c>
      <c r="R40" s="53">
        <f>IF(R14="","",R14*(1-Paramètres!$B$2))</f>
        <v>1291.5550000000001</v>
      </c>
      <c r="S40" s="53">
        <f>IF(S14="","",S14*(1-Paramètres!$B$2))</f>
        <v>1314.35</v>
      </c>
    </row>
    <row r="41" spans="1:19" ht="15" customHeight="1" x14ac:dyDescent="0.25">
      <c r="A41" s="43">
        <v>1550</v>
      </c>
      <c r="B41" s="53">
        <f>IF(B15="","",B15*(1-Paramètres!$B$2))</f>
        <v>943.32499999999993</v>
      </c>
      <c r="C41" s="53">
        <f>IF(C15="","",C15*(1-Paramètres!$B$2))</f>
        <v>968.06</v>
      </c>
      <c r="D41" s="53">
        <f>IF(D15="","",D15*(1-Paramètres!$B$2))</f>
        <v>992.31</v>
      </c>
      <c r="E41" s="53">
        <f>IF(E15="","",E15*(1-Paramètres!$B$2))</f>
        <v>1016.56</v>
      </c>
      <c r="F41" s="53">
        <f>IF(F15="","",F15*(1-Paramètres!$B$2))</f>
        <v>1039.8399999999999</v>
      </c>
      <c r="G41" s="53">
        <f>IF(G15="","",G15*(1-Paramètres!$B$2))</f>
        <v>1065.06</v>
      </c>
      <c r="H41" s="53">
        <f>IF(H15="","",H15*(1-Paramètres!$B$2))</f>
        <v>1089.7950000000001</v>
      </c>
      <c r="I41" s="53">
        <f>IF(I15="","",I15*(1-Paramètres!$B$2))</f>
        <v>1112.5899999999999</v>
      </c>
      <c r="J41" s="53">
        <f>IF(J15="","",J15*(1-Paramètres!$B$2))</f>
        <v>1136.8399999999999</v>
      </c>
      <c r="K41" s="53">
        <f>IF(K15="","",K15*(1-Paramètres!$B$2))</f>
        <v>1161.575</v>
      </c>
      <c r="L41" s="53">
        <f>IF(L15="","",L15*(1-Paramètres!$B$2))</f>
        <v>1185.825</v>
      </c>
      <c r="M41" s="53">
        <f>IF(M15="","",M15*(1-Paramètres!$B$2))</f>
        <v>1210.56</v>
      </c>
      <c r="N41" s="53">
        <f>IF(N15="","",N15*(1-Paramètres!$B$2))</f>
        <v>1235.2950000000001</v>
      </c>
      <c r="O41" s="53">
        <f>IF(O15="","",O15*(1-Paramètres!$B$2))</f>
        <v>1259.5450000000001</v>
      </c>
      <c r="P41" s="53">
        <f>IF(P15="","",P15*(1-Paramètres!$B$2))</f>
        <v>1284.28</v>
      </c>
      <c r="Q41" s="53">
        <f>IF(Q15="","",Q15*(1-Paramètres!$B$2))</f>
        <v>1308.53</v>
      </c>
      <c r="R41" s="53">
        <f>IF(R15="","",R15*(1-Paramètres!$B$2))</f>
        <v>1333.75</v>
      </c>
      <c r="S41" s="53">
        <f>IF(S15="","",S15*(1-Paramètres!$B$2))</f>
        <v>1358</v>
      </c>
    </row>
    <row r="42" spans="1:19" ht="15" customHeight="1" x14ac:dyDescent="0.25">
      <c r="A42" s="43">
        <v>1650</v>
      </c>
      <c r="B42" s="53">
        <f>IF(B16="","",B16*(1-Paramètres!$B$2))</f>
        <v>967.08999999999992</v>
      </c>
      <c r="C42" s="53">
        <f>IF(C16="","",C16*(1-Paramètres!$B$2))</f>
        <v>992.31</v>
      </c>
      <c r="D42" s="53">
        <f>IF(D16="","",D16*(1-Paramètres!$B$2))</f>
        <v>1017.53</v>
      </c>
      <c r="E42" s="53">
        <f>IF(E16="","",E16*(1-Paramètres!$B$2))</f>
        <v>1041.2950000000001</v>
      </c>
      <c r="F42" s="53">
        <f>IF(F16="","",F16*(1-Paramètres!$B$2))</f>
        <v>1067</v>
      </c>
      <c r="G42" s="53">
        <f>IF(G16="","",G16*(1-Paramètres!$B$2))</f>
        <v>1091.7349999999999</v>
      </c>
      <c r="H42" s="53">
        <f>IF(H16="","",H16*(1-Paramètres!$B$2))</f>
        <v>1117.44</v>
      </c>
      <c r="I42" s="53">
        <f>IF(I16="","",I16*(1-Paramètres!$B$2))</f>
        <v>1141.2049999999999</v>
      </c>
      <c r="J42" s="53">
        <f>IF(J16="","",J16*(1-Paramètres!$B$2))</f>
        <v>1166.425</v>
      </c>
      <c r="K42" s="53">
        <f>IF(K16="","",K16*(1-Paramètres!$B$2))</f>
        <v>1190.675</v>
      </c>
      <c r="L42" s="53">
        <f>IF(L16="","",L16*(1-Paramètres!$B$2))</f>
        <v>1217.3499999999999</v>
      </c>
      <c r="M42" s="53">
        <f>IF(M16="","",M16*(1-Paramètres!$B$2))</f>
        <v>1243.54</v>
      </c>
      <c r="N42" s="53">
        <f>IF(N16="","",N16*(1-Paramètres!$B$2))</f>
        <v>1269.73</v>
      </c>
      <c r="O42" s="53">
        <f>IF(O16="","",O16*(1-Paramètres!$B$2))</f>
        <v>1296.405</v>
      </c>
      <c r="P42" s="53">
        <f>IF(P16="","",P16*(1-Paramètres!$B$2))</f>
        <v>1322.595</v>
      </c>
      <c r="Q42" s="53">
        <f>IF(Q16="","",Q16*(1-Paramètres!$B$2))</f>
        <v>1349.27</v>
      </c>
      <c r="R42" s="53">
        <f>IF(R16="","",R16*(1-Paramètres!$B$2))</f>
        <v>1374.9749999999999</v>
      </c>
      <c r="S42" s="53">
        <f>IF(S16="","",S16*(1-Paramètres!$B$2))</f>
        <v>1401.165</v>
      </c>
    </row>
    <row r="43" spans="1:19" ht="15" customHeight="1" x14ac:dyDescent="0.25">
      <c r="A43" s="43">
        <v>1750</v>
      </c>
      <c r="B43" s="53">
        <f>IF(B17="","",B17*(1-Paramètres!$B$2))</f>
        <v>989.88499999999999</v>
      </c>
      <c r="C43" s="53">
        <f>IF(C17="","",C17*(1-Paramètres!$B$2))</f>
        <v>1016.0749999999999</v>
      </c>
      <c r="D43" s="53">
        <f>IF(D17="","",D17*(1-Paramètres!$B$2))</f>
        <v>1041.2950000000001</v>
      </c>
      <c r="E43" s="53">
        <f>IF(E17="","",E17*(1-Paramètres!$B$2))</f>
        <v>1067.97</v>
      </c>
      <c r="F43" s="53">
        <f>IF(F17="","",F17*(1-Paramètres!$B$2))</f>
        <v>1093.19</v>
      </c>
      <c r="G43" s="53">
        <f>IF(G17="","",G17*(1-Paramètres!$B$2))</f>
        <v>1119.3799999999999</v>
      </c>
      <c r="H43" s="53">
        <f>IF(H17="","",H17*(1-Paramètres!$B$2))</f>
        <v>1145.57</v>
      </c>
      <c r="I43" s="53">
        <f>IF(I17="","",I17*(1-Paramètres!$B$2))</f>
        <v>1170.79</v>
      </c>
      <c r="J43" s="53">
        <f>IF(J17="","",J17*(1-Paramètres!$B$2))</f>
        <v>1196.4949999999999</v>
      </c>
      <c r="K43" s="53">
        <f>IF(K17="","",K17*(1-Paramètres!$B$2))</f>
        <v>1222.6849999999999</v>
      </c>
      <c r="L43" s="53">
        <f>IF(L17="","",L17*(1-Paramètres!$B$2))</f>
        <v>1247.905</v>
      </c>
      <c r="M43" s="53">
        <f>IF(M17="","",M17*(1-Paramètres!$B$2))</f>
        <v>1274.095</v>
      </c>
      <c r="N43" s="53">
        <f>IF(N17="","",N17*(1-Paramètres!$B$2))</f>
        <v>1299.8</v>
      </c>
      <c r="O43" s="53">
        <f>IF(O17="","",O17*(1-Paramètres!$B$2))</f>
        <v>1325.02</v>
      </c>
      <c r="P43" s="53">
        <f>IF(P17="","",P17*(1-Paramètres!$B$2))</f>
        <v>1351.21</v>
      </c>
      <c r="Q43" s="53">
        <f>IF(Q17="","",Q17*(1-Paramètres!$B$2))</f>
        <v>1376.915</v>
      </c>
      <c r="R43" s="53">
        <f>IF(R17="","",R17*(1-Paramètres!$B$2))</f>
        <v>1402.135</v>
      </c>
      <c r="S43" s="53">
        <f>IF(S17="","",S17*(1-Paramètres!$B$2))</f>
        <v>1428.325</v>
      </c>
    </row>
    <row r="44" spans="1:19" ht="15" customHeight="1" x14ac:dyDescent="0.25">
      <c r="A44" s="43">
        <v>1850</v>
      </c>
      <c r="B44" s="53">
        <f>IF(B18="","",B18*(1-Paramètres!$B$2))</f>
        <v>1014.135</v>
      </c>
      <c r="C44" s="53">
        <f>IF(C18="","",C18*(1-Paramètres!$B$2))</f>
        <v>1039.8399999999999</v>
      </c>
      <c r="D44" s="53">
        <f>IF(D18="","",D18*(1-Paramètres!$B$2))</f>
        <v>1067</v>
      </c>
      <c r="E44" s="53">
        <f>IF(E18="","",E18*(1-Paramètres!$B$2))</f>
        <v>1093.19</v>
      </c>
      <c r="F44" s="53">
        <f>IF(F18="","",F18*(1-Paramètres!$B$2))</f>
        <v>1120.3499999999999</v>
      </c>
      <c r="G44" s="53">
        <f>IF(G18="","",G18*(1-Paramètres!$B$2))</f>
        <v>1146.54</v>
      </c>
      <c r="H44" s="53">
        <f>IF(H18="","",H18*(1-Paramètres!$B$2))</f>
        <v>1172.73</v>
      </c>
      <c r="I44" s="53">
        <f>IF(I18="","",I18*(1-Paramètres!$B$2))</f>
        <v>1200.375</v>
      </c>
      <c r="J44" s="53">
        <f>IF(J18="","",J18*(1-Paramètres!$B$2))</f>
        <v>1227.05</v>
      </c>
      <c r="K44" s="53">
        <f>IF(K18="","",K18*(1-Paramètres!$B$2))</f>
        <v>1252.27</v>
      </c>
      <c r="L44" s="53">
        <f>IF(L18="","",L18*(1-Paramètres!$B$2))</f>
        <v>1279.43</v>
      </c>
      <c r="M44" s="53">
        <f>IF(M18="","",M18*(1-Paramètres!$B$2))</f>
        <v>1306.105</v>
      </c>
      <c r="N44" s="53">
        <f>IF(N18="","",N18*(1-Paramètres!$B$2))</f>
        <v>1333.75</v>
      </c>
      <c r="O44" s="53">
        <f>IF(O18="","",O18*(1-Paramètres!$B$2))</f>
        <v>1360.425</v>
      </c>
      <c r="P44" s="53">
        <f>IF(P18="","",P18*(1-Paramètres!$B$2))</f>
        <v>1387.1</v>
      </c>
      <c r="Q44" s="53">
        <f>IF(Q18="","",Q18*(1-Paramètres!$B$2))</f>
        <v>1413.7749999999999</v>
      </c>
      <c r="R44" s="53">
        <f>IF(R18="","",R18*(1-Paramètres!$B$2))</f>
        <v>1440.45</v>
      </c>
      <c r="S44" s="53">
        <f>IF(S18="","",S18*(1-Paramètres!$B$2))</f>
        <v>1467.61</v>
      </c>
    </row>
    <row r="45" spans="1:19" ht="15" customHeight="1" x14ac:dyDescent="0.25">
      <c r="A45" s="43">
        <v>1950</v>
      </c>
      <c r="B45" s="53">
        <f>IF(B19="","",B19*(1-Paramètres!$B$2))</f>
        <v>1036.93</v>
      </c>
      <c r="C45" s="53">
        <f>IF(C19="","",C19*(1-Paramètres!$B$2))</f>
        <v>1064.575</v>
      </c>
      <c r="D45" s="53">
        <f>IF(D19="","",D19*(1-Paramètres!$B$2))</f>
        <v>1091.25</v>
      </c>
      <c r="E45" s="53">
        <f>IF(E19="","",E19*(1-Paramètres!$B$2))</f>
        <v>1119.3799999999999</v>
      </c>
      <c r="F45" s="53">
        <f>IF(F19="","",F19*(1-Paramètres!$B$2))</f>
        <v>1146.54</v>
      </c>
      <c r="G45" s="53">
        <f>IF(G19="","",G19*(1-Paramètres!$B$2))</f>
        <v>1173.2149999999999</v>
      </c>
      <c r="H45" s="53">
        <f>IF(H19="","",H19*(1-Paramètres!$B$2))</f>
        <v>1201.345</v>
      </c>
      <c r="I45" s="53">
        <f>IF(I19="","",I19*(1-Paramètres!$B$2))</f>
        <v>1228.5049999999999</v>
      </c>
      <c r="J45" s="53">
        <f>IF(J19="","",J19*(1-Paramètres!$B$2))</f>
        <v>1255.18</v>
      </c>
      <c r="K45" s="53">
        <f>IF(K19="","",K19*(1-Paramètres!$B$2))</f>
        <v>1283.31</v>
      </c>
      <c r="L45" s="53">
        <f>IF(L19="","",L19*(1-Paramètres!$B$2))</f>
        <v>1310.9549999999999</v>
      </c>
      <c r="M45" s="53">
        <f>IF(M19="","",M19*(1-Paramètres!$B$2))</f>
        <v>1338.115</v>
      </c>
      <c r="N45" s="53">
        <f>IF(N19="","",N19*(1-Paramètres!$B$2))</f>
        <v>1364.79</v>
      </c>
      <c r="O45" s="53">
        <f>IF(O19="","",O19*(1-Paramètres!$B$2))</f>
        <v>1392.4349999999999</v>
      </c>
      <c r="P45" s="53">
        <f>IF(P19="","",P19*(1-Paramètres!$B$2))</f>
        <v>1419.595</v>
      </c>
      <c r="Q45" s="53">
        <f>IF(Q19="","",Q19*(1-Paramètres!$B$2))</f>
        <v>1447.7249999999999</v>
      </c>
      <c r="R45" s="53">
        <f>IF(R19="","",R19*(1-Paramètres!$B$2))</f>
        <v>1474.885</v>
      </c>
      <c r="S45" s="53">
        <f>IF(S19="","",S19*(1-Paramètres!$B$2))</f>
        <v>1502.53</v>
      </c>
    </row>
    <row r="46" spans="1:19" ht="15" customHeight="1" x14ac:dyDescent="0.25">
      <c r="A46" s="43">
        <v>2050</v>
      </c>
      <c r="B46" s="53">
        <f>IF(B20="","",B20*(1-Paramètres!$B$2))</f>
        <v>1059.24</v>
      </c>
      <c r="C46" s="53">
        <f>IF(C20="","",C20*(1-Paramètres!$B$2))</f>
        <v>1088.3399999999999</v>
      </c>
      <c r="D46" s="53">
        <f>IF(D20="","",D20*(1-Paramètres!$B$2))</f>
        <v>1116.9549999999999</v>
      </c>
      <c r="E46" s="53">
        <f>IF(E20="","",E20*(1-Paramètres!$B$2))</f>
        <v>1144.5999999999999</v>
      </c>
      <c r="F46" s="53">
        <f>IF(F20="","",F20*(1-Paramètres!$B$2))</f>
        <v>1172.73</v>
      </c>
      <c r="G46" s="53">
        <f>IF(G20="","",G20*(1-Paramètres!$B$2))</f>
        <v>1200.8599999999999</v>
      </c>
      <c r="H46" s="53">
        <f>IF(H20="","",H20*(1-Paramètres!$B$2))</f>
        <v>1228.99</v>
      </c>
      <c r="I46" s="53">
        <f>IF(I20="","",I20*(1-Paramètres!$B$2))</f>
        <v>1257.605</v>
      </c>
      <c r="J46" s="53">
        <f>IF(J20="","",J20*(1-Paramètres!$B$2))</f>
        <v>1284.7649999999999</v>
      </c>
      <c r="K46" s="53">
        <f>IF(K20="","",K20*(1-Paramètres!$B$2))</f>
        <v>1312.895</v>
      </c>
      <c r="L46" s="53">
        <f>IF(L20="","",L20*(1-Paramètres!$B$2))</f>
        <v>1340.54</v>
      </c>
      <c r="M46" s="53">
        <f>IF(M20="","",M20*(1-Paramètres!$B$2))</f>
        <v>1368.67</v>
      </c>
      <c r="N46" s="53">
        <f>IF(N20="","",N20*(1-Paramètres!$B$2))</f>
        <v>1396.8</v>
      </c>
      <c r="O46" s="53">
        <f>IF(O20="","",O20*(1-Paramètres!$B$2))</f>
        <v>1424.93</v>
      </c>
      <c r="P46" s="53">
        <f>IF(P20="","",P20*(1-Paramètres!$B$2))</f>
        <v>1452.575</v>
      </c>
      <c r="Q46" s="53">
        <f>IF(Q20="","",Q20*(1-Paramètres!$B$2))</f>
        <v>1480.22</v>
      </c>
      <c r="R46" s="53">
        <f>IF(R20="","",R20*(1-Paramètres!$B$2))</f>
        <v>1508.35</v>
      </c>
      <c r="S46" s="53">
        <f>IF(S20="","",S20*(1-Paramètres!$B$2))</f>
        <v>1536.48</v>
      </c>
    </row>
    <row r="47" spans="1:19" ht="15" customHeight="1" x14ac:dyDescent="0.25">
      <c r="A47" s="43">
        <v>2150</v>
      </c>
      <c r="B47" s="53">
        <f>IF(B21="","",B21*(1-Paramètres!$B$2))</f>
        <v>1083.0049999999999</v>
      </c>
      <c r="C47" s="53">
        <f>IF(C21="","",C21*(1-Paramètres!$B$2))</f>
        <v>1111.6199999999999</v>
      </c>
      <c r="D47" s="53">
        <f>IF(D21="","",D21*(1-Paramètres!$B$2))</f>
        <v>1140.72</v>
      </c>
      <c r="E47" s="53">
        <f>IF(E21="","",E21*(1-Paramètres!$B$2))</f>
        <v>1169.335</v>
      </c>
      <c r="F47" s="53">
        <f>IF(F21="","",F21*(1-Paramètres!$B$2))</f>
        <v>1199.8899999999999</v>
      </c>
      <c r="G47" s="53">
        <f>IF(G21="","",G21*(1-Paramètres!$B$2))</f>
        <v>1228.02</v>
      </c>
      <c r="H47" s="53">
        <f>IF(H21="","",H21*(1-Paramètres!$B$2))</f>
        <v>1257.605</v>
      </c>
      <c r="I47" s="53">
        <f>IF(I21="","",I21*(1-Paramètres!$B$2))</f>
        <v>1285.25</v>
      </c>
      <c r="J47" s="53">
        <f>IF(J21="","",J21*(1-Paramètres!$B$2))</f>
        <v>1313.865</v>
      </c>
      <c r="K47" s="53">
        <f>IF(K21="","",K21*(1-Paramètres!$B$2))</f>
        <v>1342.48</v>
      </c>
      <c r="L47" s="53">
        <f>IF(L21="","",L21*(1-Paramètres!$B$2))</f>
        <v>1372.55</v>
      </c>
      <c r="M47" s="53">
        <f>IF(M21="","",M21*(1-Paramètres!$B$2))</f>
        <v>1401.165</v>
      </c>
      <c r="N47" s="53">
        <f>IF(N21="","",N21*(1-Paramètres!$B$2))</f>
        <v>1430.2649999999999</v>
      </c>
      <c r="O47" s="53">
        <f>IF(O21="","",O21*(1-Paramètres!$B$2))</f>
        <v>1459.365</v>
      </c>
      <c r="P47" s="53">
        <f>IF(P21="","",P21*(1-Paramètres!$B$2))</f>
        <v>1488.95</v>
      </c>
      <c r="Q47" s="53">
        <f>IF(Q21="","",Q21*(1-Paramètres!$B$2))</f>
        <v>1517.5650000000001</v>
      </c>
      <c r="R47" s="53">
        <f>IF(R21="","",R21*(1-Paramètres!$B$2))</f>
        <v>1547.1499999999999</v>
      </c>
      <c r="S47" s="53">
        <f>IF(S21="","",S21*(1-Paramètres!$B$2))</f>
        <v>1575.7649999999999</v>
      </c>
    </row>
    <row r="48" spans="1:19" ht="15" customHeight="1" x14ac:dyDescent="0.25">
      <c r="A48" s="43">
        <v>2250</v>
      </c>
      <c r="B48" s="53">
        <f>IF(B22="","",B22*(1-Paramètres!$B$2))</f>
        <v>1107.74</v>
      </c>
      <c r="C48" s="53">
        <f>IF(C22="","",C22*(1-Paramètres!$B$2))</f>
        <v>1135.8699999999999</v>
      </c>
      <c r="D48" s="53">
        <f>IF(D22="","",D22*(1-Paramètres!$B$2))</f>
        <v>1164.97</v>
      </c>
      <c r="E48" s="53">
        <f>IF(E22="","",E22*(1-Paramètres!$B$2))</f>
        <v>1195.5249999999999</v>
      </c>
      <c r="F48" s="53">
        <f>IF(F22="","",F22*(1-Paramètres!$B$2))</f>
        <v>1226.08</v>
      </c>
      <c r="G48" s="53">
        <f>IF(G22="","",G22*(1-Paramètres!$B$2))</f>
        <v>1254.6949999999999</v>
      </c>
      <c r="H48" s="53">
        <f>IF(H22="","",H22*(1-Paramètres!$B$2))</f>
        <v>1284.7649999999999</v>
      </c>
      <c r="I48" s="53">
        <f>IF(I22="","",I22*(1-Paramètres!$B$2))</f>
        <v>1313.865</v>
      </c>
      <c r="J48" s="53">
        <f>IF(J22="","",J22*(1-Paramètres!$B$2))</f>
        <v>1343.45</v>
      </c>
      <c r="K48" s="53">
        <f>IF(K22="","",K22*(1-Paramètres!$B$2))</f>
        <v>1373.52</v>
      </c>
      <c r="L48" s="53">
        <f>IF(L22="","",L22*(1-Paramètres!$B$2))</f>
        <v>1402.135</v>
      </c>
      <c r="M48" s="53">
        <f>IF(M22="","",M22*(1-Paramètres!$B$2))</f>
        <v>1431.2349999999999</v>
      </c>
      <c r="N48" s="53">
        <f>IF(N22="","",N22*(1-Paramètres!$B$2))</f>
        <v>1460.82</v>
      </c>
      <c r="O48" s="53">
        <f>IF(O22="","",O22*(1-Paramètres!$B$2))</f>
        <v>1489.92</v>
      </c>
      <c r="P48" s="53">
        <f>IF(P22="","",P22*(1-Paramètres!$B$2))</f>
        <v>1518.5349999999999</v>
      </c>
      <c r="Q48" s="53">
        <f>IF(Q22="","",Q22*(1-Paramètres!$B$2))</f>
        <v>1548.12</v>
      </c>
      <c r="R48" s="53">
        <f>IF(R22="","",R22*(1-Paramètres!$B$2))</f>
        <v>1577.7049999999999</v>
      </c>
      <c r="S48" s="53">
        <f>IF(S22="","",S22*(1-Paramètres!$B$2))</f>
        <v>1606.32</v>
      </c>
    </row>
    <row r="49" spans="1:19" ht="15" customHeight="1" x14ac:dyDescent="0.25">
      <c r="A49" s="43">
        <v>2350</v>
      </c>
      <c r="B49" s="53">
        <f>IF(B23="","",B23*(1-Paramètres!$B$2))</f>
        <v>1120.3499999999999</v>
      </c>
      <c r="C49" s="53">
        <f>IF(C23="","",C23*(1-Paramètres!$B$2))</f>
        <v>1149.45</v>
      </c>
      <c r="D49" s="53">
        <f>IF(D23="","",D23*(1-Paramètres!$B$2))</f>
        <v>1178.0650000000001</v>
      </c>
      <c r="E49" s="53">
        <f>IF(E23="","",E23*(1-Paramètres!$B$2))</f>
        <v>1208.135</v>
      </c>
      <c r="F49" s="53">
        <f>IF(F23="","",F23*(1-Paramètres!$B$2))</f>
        <v>1239.6599999999999</v>
      </c>
      <c r="G49" s="53">
        <f>IF(G23="","",G23*(1-Paramètres!$B$2))</f>
        <v>1268.2749999999999</v>
      </c>
      <c r="H49" s="53">
        <f>IF(H23="","",H23*(1-Paramètres!$B$2))</f>
        <v>1297.8599999999999</v>
      </c>
      <c r="I49" s="53">
        <f>IF(I23="","",I23*(1-Paramètres!$B$2))</f>
        <v>1329.385</v>
      </c>
      <c r="J49" s="53">
        <f>IF(J23="","",J23*(1-Paramètres!$B$2))</f>
        <v>1358.97</v>
      </c>
      <c r="K49" s="53">
        <f>IF(K23="","",K23*(1-Paramètres!$B$2))</f>
        <v>1389.5249999999999</v>
      </c>
      <c r="L49" s="53">
        <f>IF(L23="","",L23*(1-Paramètres!$B$2))</f>
        <v>1418.625</v>
      </c>
      <c r="M49" s="53">
        <f>IF(M23="","",M23*(1-Paramètres!$B$2))</f>
        <v>1449.18</v>
      </c>
      <c r="N49" s="53">
        <f>IF(N23="","",N23*(1-Paramètres!$B$2))</f>
        <v>1478.28</v>
      </c>
      <c r="O49" s="53">
        <f>IF(O23="","",O23*(1-Paramètres!$B$2))</f>
        <v>1507.865</v>
      </c>
      <c r="P49" s="53">
        <f>IF(P23="","",P23*(1-Paramètres!$B$2))</f>
        <v>1537.9349999999999</v>
      </c>
      <c r="Q49" s="53">
        <f>IF(Q23="","",Q23*(1-Paramètres!$B$2))</f>
        <v>1567.52</v>
      </c>
      <c r="R49" s="53">
        <f>IF(R23="","",R23*(1-Paramètres!$B$2))</f>
        <v>1597.59</v>
      </c>
      <c r="S49" s="53">
        <f>IF(S23="","",S23*(1-Paramètres!$B$2))</f>
        <v>1627.175</v>
      </c>
    </row>
    <row r="50" spans="1:19" ht="15" customHeight="1" x14ac:dyDescent="0.25">
      <c r="A50" s="43">
        <v>2450</v>
      </c>
      <c r="B50" s="53">
        <f>IF(B24="","",B24*(1-Paramètres!$B$2))</f>
        <v>1125.6849999999999</v>
      </c>
      <c r="C50" s="53">
        <f>IF(C24="","",C24*(1-Paramètres!$B$2))</f>
        <v>1153.8150000000001</v>
      </c>
      <c r="D50" s="53">
        <f>IF(D24="","",D24*(1-Paramètres!$B$2))</f>
        <v>1183.885</v>
      </c>
      <c r="E50" s="53">
        <f>IF(E24="","",E24*(1-Paramètres!$B$2))</f>
        <v>1213.47</v>
      </c>
      <c r="F50" s="53">
        <f>IF(F24="","",F24*(1-Paramètres!$B$2))</f>
        <v>1246.45</v>
      </c>
      <c r="G50" s="53">
        <f>IF(G24="","",G24*(1-Paramètres!$B$2))</f>
        <v>1275.0650000000001</v>
      </c>
      <c r="H50" s="53">
        <f>IF(H24="","",H24*(1-Paramètres!$B$2))</f>
        <v>1305.6199999999999</v>
      </c>
      <c r="I50" s="53">
        <f>IF(I24="","",I24*(1-Paramètres!$B$2))</f>
        <v>1335.69</v>
      </c>
      <c r="J50" s="53">
        <f>IF(J24="","",J24*(1-Paramètres!$B$2))</f>
        <v>1366.2449999999999</v>
      </c>
      <c r="K50" s="53">
        <f>IF(K24="","",K24*(1-Paramètres!$B$2))</f>
        <v>1396.3150000000001</v>
      </c>
      <c r="L50" s="53">
        <f>IF(L24="","",L24*(1-Paramètres!$B$2))</f>
        <v>1425.415</v>
      </c>
      <c r="M50" s="53">
        <f>IF(M24="","",M24*(1-Paramètres!$B$2))</f>
        <v>1454.5149999999999</v>
      </c>
      <c r="N50" s="53">
        <f>IF(N24="","",N24*(1-Paramètres!$B$2))</f>
        <v>1484.1</v>
      </c>
      <c r="O50" s="53">
        <f>IF(O24="","",O24*(1-Paramètres!$B$2))</f>
        <v>1512.7149999999999</v>
      </c>
      <c r="P50" s="53">
        <f>IF(P24="","",P24*(1-Paramètres!$B$2))</f>
        <v>1541.8150000000001</v>
      </c>
      <c r="Q50" s="53">
        <f>IF(Q24="","",Q24*(1-Paramètres!$B$2))</f>
        <v>1570.915</v>
      </c>
      <c r="R50" s="53">
        <f>IF(R24="","",R24*(1-Paramètres!$B$2))</f>
        <v>1600.5</v>
      </c>
      <c r="S50" s="53">
        <f>IF(S24="","",S24*(1-Paramètres!$B$2))</f>
        <v>1629.115</v>
      </c>
    </row>
    <row r="51" spans="1:19" ht="15" customHeight="1" x14ac:dyDescent="0.25">
      <c r="A51" s="43">
        <v>2500</v>
      </c>
      <c r="B51" s="53">
        <f>IF(B25="","",B25*(1-Paramètres!$B$2))</f>
        <v>1131.5049999999999</v>
      </c>
      <c r="C51" s="53">
        <f>IF(C25="","",C25*(1-Paramètres!$B$2))</f>
        <v>1159.635</v>
      </c>
      <c r="D51" s="53">
        <f>IF(D25="","",D25*(1-Paramètres!$B$2))</f>
        <v>1189.22</v>
      </c>
      <c r="E51" s="53">
        <f>IF(E25="","",E25*(1-Paramètres!$B$2))</f>
        <v>1219.7749999999999</v>
      </c>
      <c r="F51" s="53">
        <f>IF(F25="","",F25*(1-Paramètres!$B$2))</f>
        <v>1253.24</v>
      </c>
      <c r="G51" s="53">
        <f>IF(G25="","",G25*(1-Paramètres!$B$2))</f>
        <v>1280.885</v>
      </c>
      <c r="H51" s="53">
        <f>IF(H25="","",H25*(1-Paramètres!$B$2))</f>
        <v>1313.865</v>
      </c>
      <c r="I51" s="53">
        <f>IF(I25="","",I25*(1-Paramètres!$B$2))</f>
        <v>1341.51</v>
      </c>
      <c r="J51" s="53">
        <f>IF(J25="","",J25*(1-Paramètres!$B$2))</f>
        <v>1374.0049999999999</v>
      </c>
      <c r="K51" s="53">
        <f>IF(K25="","",K25*(1-Paramètres!$B$2))</f>
        <v>1402.62</v>
      </c>
      <c r="L51" s="53">
        <f>IF(L25="","",L25*(1-Paramètres!$B$2))</f>
        <v>1431.2349999999999</v>
      </c>
      <c r="M51" s="53">
        <f>IF(M25="","",M25*(1-Paramètres!$B$2))</f>
        <v>1460.335</v>
      </c>
      <c r="N51" s="53">
        <f>IF(N25="","",N25*(1-Paramètres!$B$2))</f>
        <v>1488.95</v>
      </c>
      <c r="O51" s="53">
        <f>IF(O25="","",O25*(1-Paramètres!$B$2))</f>
        <v>1517.08</v>
      </c>
      <c r="P51" s="53">
        <f>IF(P25="","",P25*(1-Paramètres!$B$2))</f>
        <v>1545.6949999999999</v>
      </c>
      <c r="Q51" s="53">
        <f>IF(Q25="","",Q25*(1-Paramètres!$B$2))</f>
        <v>1574.31</v>
      </c>
      <c r="R51" s="53">
        <f>IF(R25="","",R25*(1-Paramètres!$B$2))</f>
        <v>1602.925</v>
      </c>
      <c r="S51" s="53">
        <f>IF(S25="","",S25*(1-Paramètres!$B$2))</f>
        <v>1631.0550000000001</v>
      </c>
    </row>
  </sheetData>
  <mergeCells count="3">
    <mergeCell ref="A3:S3"/>
    <mergeCell ref="A1:S1"/>
    <mergeCell ref="A28:S2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24</vt:i4>
      </vt:variant>
      <vt:variant>
        <vt:lpstr>Plages nommées</vt:lpstr>
      </vt:variant>
      <vt:variant>
        <vt:i4>2</vt:i4>
      </vt:variant>
    </vt:vector>
  </HeadingPairs>
  <TitlesOfParts>
    <vt:vector size="26" baseType="lpstr">
      <vt:lpstr>Notice d'utilisation</vt:lpstr>
      <vt:lpstr>Paramètres</vt:lpstr>
      <vt:lpstr>Sommaire</vt:lpstr>
      <vt:lpstr>Devis</vt:lpstr>
      <vt:lpstr>Coulissant 2 vantaux 2 rails</vt:lpstr>
      <vt:lpstr>Coulissant 3 vantaux 2 rails</vt:lpstr>
      <vt:lpstr>Coulissant 4 vantaux 2 rails</vt:lpstr>
      <vt:lpstr>Coulissant 3 vantaux 3 rails</vt:lpstr>
      <vt:lpstr>Coulissant 6 vantaux 3 rails</vt:lpstr>
      <vt:lpstr>Galandage 1 vantail 1 rail</vt:lpstr>
      <vt:lpstr>Galandage 2 vantaux 1 rail</vt:lpstr>
      <vt:lpstr>Galandage 2 vantaux 2 rails</vt:lpstr>
      <vt:lpstr>Galandage 4 vantaux 2 rails</vt:lpstr>
      <vt:lpstr>Châssis fixe vitré</vt:lpstr>
      <vt:lpstr>Porte Lourde 1 vantail</vt:lpstr>
      <vt:lpstr>Porte Lourde 2 vantaux</vt:lpstr>
      <vt:lpstr>Doubles Vitrages</vt:lpstr>
      <vt:lpstr>Options dormant</vt:lpstr>
      <vt:lpstr>Teintes &amp; Finitions</vt:lpstr>
      <vt:lpstr>_Données</vt:lpstr>
      <vt:lpstr>Fenêtre OF 1 vantail</vt:lpstr>
      <vt:lpstr>Fenêtre OF 2 vantaux</vt:lpstr>
      <vt:lpstr>Fenêtre OB 1 vantail</vt:lpstr>
      <vt:lpstr>Fenêtre OB 2 vantaux</vt:lpstr>
      <vt:lpstr>Devis!Zone_d_impression</vt:lpstr>
      <vt:lpstr>'Notice d''utilisation'!Zone_d_impression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Adrien CARBONERO</cp:lastModifiedBy>
  <cp:revision>0</cp:revision>
  <dcterms:created xsi:type="dcterms:W3CDTF">2026-05-05T16:52:53Z</dcterms:created>
  <dcterms:modified xsi:type="dcterms:W3CDTF">2026-06-20T10:48:52Z</dcterms:modified>
  <dc:language>en-US</dc:language>
</cp:coreProperties>
</file>